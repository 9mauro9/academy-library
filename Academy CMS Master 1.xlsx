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ssets" sheetId="1" r:id="rId5"/>
    <sheet state="hidden" name="Network Foundations Track" sheetId="2" r:id="rId6"/>
    <sheet state="hidden" name="DC Track" sheetId="3" r:id="rId7"/>
    <sheet state="hidden" name="Campus Track" sheetId="4" r:id="rId8"/>
    <sheet state="hidden" name="Automation Fundamentals" sheetId="5" r:id="rId9"/>
    <sheet state="hidden" name="Automation Advanced - Nader" sheetId="6" r:id="rId10"/>
    <sheet state="hidden" name="Routing-MPLS Core" sheetId="7" r:id="rId11"/>
    <sheet state="hidden" name="AI Track" sheetId="8" r:id="rId12"/>
    <sheet state="hidden" name="Troubleshooting Techtorial" sheetId="9" r:id="rId13"/>
    <sheet state="hidden" name="QoS Techtorial" sheetId="10" r:id="rId14"/>
    <sheet state="hidden" name="Multicast Techtorial" sheetId="11" r:id="rId15"/>
    <sheet state="hidden" name="7130 - Ultra low Latency Techto" sheetId="12" r:id="rId16"/>
    <sheet state="hidden" name="Copy of Network Foundations Tra" sheetId="13" r:id="rId17"/>
    <sheet state="hidden" name="Copy of Campus Track" sheetId="14" r:id="rId18"/>
    <sheet state="hidden" name="Copy of Automation Advanced - N" sheetId="15" r:id="rId19"/>
    <sheet state="hidden" name="Copy of Troubleshooting Techtor" sheetId="16" r:id="rId20"/>
    <sheet state="hidden" name="Copy of Automation Fundamentals" sheetId="17" r:id="rId21"/>
    <sheet state="hidden" name="Copy of Multicast Techtorial" sheetId="18" r:id="rId22"/>
    <sheet state="hidden" name="Copy of DC Track" sheetId="19" r:id="rId23"/>
    <sheet state="hidden" name="Copy of AI Track" sheetId="20" r:id="rId24"/>
    <sheet state="hidden" name="Copy of Routing-MPLS Core" sheetId="21" r:id="rId25"/>
    <sheet state="hidden" name="Copy of 7130 - Ultra low Latenc" sheetId="22" r:id="rId26"/>
    <sheet state="hidden" name="Copy of QoS Techtorial" sheetId="23" r:id="rId27"/>
  </sheets>
  <definedNames/>
  <calcPr/>
</workbook>
</file>

<file path=xl/sharedStrings.xml><?xml version="1.0" encoding="utf-8"?>
<sst xmlns="http://schemas.openxmlformats.org/spreadsheetml/2006/main" count="16158" uniqueCount="1762">
  <si>
    <t>firestore_asset_id</t>
  </si>
  <si>
    <t>asset_name</t>
  </si>
  <si>
    <t>asset_type</t>
  </si>
  <si>
    <t>duration</t>
  </si>
  <si>
    <t>prerequisite</t>
  </si>
  <si>
    <t>difficulty_level</t>
  </si>
  <si>
    <t>skill_tag</t>
  </si>
  <si>
    <t>last_updated</t>
  </si>
  <si>
    <t>cvp_cv-cue_version</t>
  </si>
  <si>
    <t>eos_version</t>
  </si>
  <si>
    <t>avd_version</t>
  </si>
  <si>
    <t>needs_update</t>
  </si>
  <si>
    <t>comments</t>
  </si>
  <si>
    <t>TOPIC</t>
  </si>
  <si>
    <t>Introduction to Networks</t>
  </si>
  <si>
    <t>video</t>
  </si>
  <si>
    <t>network definition, network components, topology, network types, network characteristics</t>
  </si>
  <si>
    <t>Pre-2025</t>
  </si>
  <si>
    <t>N/A</t>
  </si>
  <si>
    <t>No</t>
  </si>
  <si>
    <t>Introduction to Network Models</t>
  </si>
  <si>
    <t>network models</t>
  </si>
  <si>
    <t>Voice a bit low</t>
  </si>
  <si>
    <t>Network Introduction</t>
  </si>
  <si>
    <t>OSI in Action</t>
  </si>
  <si>
    <t>OSI, application layer, presentation layer, session layer, transport layer, internet layer, datalink layer, physical layer</t>
  </si>
  <si>
    <t>Wireshark and TCP/IP</t>
  </si>
  <si>
    <t>wireshark, packet capture, TCP/IP</t>
  </si>
  <si>
    <t>Cabling and Connectivity - Part 1 - Copper and PoE</t>
  </si>
  <si>
    <t>physical layer, coaxial, copper, poe</t>
  </si>
  <si>
    <t>Physical Layer</t>
  </si>
  <si>
    <t>Cabling and Connectivity - Part 2 - Fiber and Wireless</t>
  </si>
  <si>
    <t>fiber optics, sfp, wireless</t>
  </si>
  <si>
    <t>Ethernet and MAC Address</t>
  </si>
  <si>
    <t>LAN, Ethernet, MAC Address, ethernet frame</t>
  </si>
  <si>
    <t>Data Link Layer</t>
  </si>
  <si>
    <t>L2 Devices Learning and Forwarding</t>
  </si>
  <si>
    <t>message types, l2 switching, hub, bridge, switch, collision domain, broadcast domain, duplex, switch learning, switch forwarding</t>
  </si>
  <si>
    <t>Introduction to IPv4</t>
  </si>
  <si>
    <t>IPv4 address, octet, byte, bit, decimal, binary, packet, L3 Header</t>
  </si>
  <si>
    <t>Network Layer</t>
  </si>
  <si>
    <t>What is a Subnet Mask?</t>
  </si>
  <si>
    <t>Network Part, Host Part, Subnet mask</t>
  </si>
  <si>
    <t>IPv4 Classes</t>
  </si>
  <si>
    <t xml:space="preserve"> IPv4 Classes, Class A, Class B, Class C, Class D, Class E</t>
  </si>
  <si>
    <t>Reserved IPv4 Addresses</t>
  </si>
  <si>
    <t>reserved ipv4, network address, broadcast address, all ipv4 networks, loopback addresses, link local addresses</t>
  </si>
  <si>
    <t>Default Gateway</t>
  </si>
  <si>
    <t>default gateway</t>
  </si>
  <si>
    <t>Subnetting</t>
  </si>
  <si>
    <t>subnetting</t>
  </si>
  <si>
    <t>DHCP</t>
  </si>
  <si>
    <t>dhcp, dynamic host configuration protocol</t>
  </si>
  <si>
    <t>Network Protocols</t>
  </si>
  <si>
    <t xml:space="preserve">ICMP </t>
  </si>
  <si>
    <t>icmp, ping, traceroute, tracert</t>
  </si>
  <si>
    <t>DNS</t>
  </si>
  <si>
    <t>dns, domain name system</t>
  </si>
  <si>
    <t>ARP</t>
  </si>
  <si>
    <t>arp, address resolution protocol</t>
  </si>
  <si>
    <t>NTP</t>
  </si>
  <si>
    <t>ntp, network time protocol</t>
  </si>
  <si>
    <t>Transport Layer Responsibilities</t>
  </si>
  <si>
    <t>transport layer, segmentation, error detection, port numbers</t>
  </si>
  <si>
    <t>Transport and Application Layer</t>
  </si>
  <si>
    <t>TCP vs UDP</t>
  </si>
  <si>
    <t>tcp, udp, segment, segmentation, sequencing, flow control, l4 header</t>
  </si>
  <si>
    <t>Consistent Networking with EOS</t>
  </si>
  <si>
    <t>EOS, consistent OS, EOS benefits</t>
  </si>
  <si>
    <t>EOS Overview</t>
  </si>
  <si>
    <t>Introduction to Arista EOS</t>
  </si>
  <si>
    <t>eos, veos, ceos, eos architecture, eos form factors</t>
  </si>
  <si>
    <t>What is SysDB</t>
  </si>
  <si>
    <t>sysdb, message service</t>
  </si>
  <si>
    <t>Arista SE Video</t>
  </si>
  <si>
    <t>Introduction to Network Database (NetDB)</t>
  </si>
  <si>
    <t>EOS, netdb, network database</t>
  </si>
  <si>
    <t>EOS Network DataLake (NetDL)</t>
  </si>
  <si>
    <t>EOS, netdl, network datalake</t>
  </si>
  <si>
    <t>Arista cEOS</t>
  </si>
  <si>
    <t>EOS, cEOS, Containerzed EOS, Containers</t>
  </si>
  <si>
    <t>The Secret Sauce of Arista EOS Quality</t>
  </si>
  <si>
    <t>EOS, EOS Quality</t>
  </si>
  <si>
    <t>Connect to Network Devices</t>
  </si>
  <si>
    <t>switch installation, terminal emulator, console, management</t>
  </si>
  <si>
    <t>Getting Started with EOS</t>
  </si>
  <si>
    <t>EOS Booting Process</t>
  </si>
  <si>
    <t>Boot process, Aboot</t>
  </si>
  <si>
    <t>CLI Configuration Modes</t>
  </si>
  <si>
    <t>exec mode, privilege mode,config mode, eos shortcuts, ambiguous, show command,</t>
  </si>
  <si>
    <t>4.30.1F</t>
  </si>
  <si>
    <t>CLI Basic Config</t>
  </si>
  <si>
    <t>running-config, startup-config, ram , flash, cli errors,, alias, group change configuration, usernames, enable password, banner, motd, telnet, ssh</t>
  </si>
  <si>
    <t>Interfaces and Ports</t>
  </si>
  <si>
    <t>interface, port, management, usb, console</t>
  </si>
  <si>
    <t>Configuration Checkpoints</t>
  </si>
  <si>
    <t>checkpoints, configuration checkpoints, eos checkpoints, restore checkpoints</t>
  </si>
  <si>
    <t>Configuration Sessions</t>
  </si>
  <si>
    <t>config sessions, configuration session, EOS</t>
  </si>
  <si>
    <t>Lab - Introduction to EOS CLI</t>
  </si>
  <si>
    <t>lab</t>
  </si>
  <si>
    <t>4.32.1F</t>
  </si>
  <si>
    <t>Lab - Setting up the Management Connectivity</t>
  </si>
  <si>
    <t>Lab - Understanding and Working with Network Protocols</t>
  </si>
  <si>
    <t>Introduction to Neighbor Discovery</t>
  </si>
  <si>
    <t>discovery protocols, lldp, link layer discovery protocols</t>
  </si>
  <si>
    <t>Neighbor Discovery</t>
  </si>
  <si>
    <t>Creating a Network Diagram using LLDP</t>
  </si>
  <si>
    <t>lldp, network diagram</t>
  </si>
  <si>
    <t>Lab - Creating a Network Diagram using LLDP</t>
  </si>
  <si>
    <t>Introduction to VLANs</t>
  </si>
  <si>
    <t>ethernet, switching, subnets, vlan, logical, layer 2, L2</t>
  </si>
  <si>
    <t>Voice a bit low + Can't move forward in video??</t>
  </si>
  <si>
    <t>Virtual Local Area Networks (VLANs)</t>
  </si>
  <si>
    <t>Introduction to Trunking Protocols 802.1Q</t>
  </si>
  <si>
    <t>ethernet, switching, subnets, vlan, logical, layer 2, access port, trunk port, trunking protocol, dot1q, allowed vlans</t>
  </si>
  <si>
    <t>Configuring VLANs on a Single Switch</t>
  </si>
  <si>
    <t>ethernet, switching, subnets, vlan, logical, layer 2, access port</t>
  </si>
  <si>
    <t>Configuring VLANs between two switches</t>
  </si>
  <si>
    <t>ethernet, switching, subnets, vlan, logical, layer 2, access port, trunk port</t>
  </si>
  <si>
    <t>Video Missing from Arista Academy</t>
  </si>
  <si>
    <t>Intervlan Routing</t>
  </si>
  <si>
    <t>ethernet, switching, subnets, vlan, logical, layer 2, L2, L3, SVI, inter-vlan, routing</t>
  </si>
  <si>
    <t>Configuring Router on a Stick</t>
  </si>
  <si>
    <t>ethernet, switching, subnets, vlan, logical, layer2, L2,L3, roas, router on a stick, inter-vlan, routing</t>
  </si>
  <si>
    <t>Lab - Configure VLANs</t>
  </si>
  <si>
    <t xml:space="preserve">Lab - Configure Inter-VLAN Routing </t>
  </si>
  <si>
    <t>Introduction to Spanning Tree Protocol (STP)</t>
  </si>
  <si>
    <t>broadcast storm, loops, ethernet, layer 2, spanning tree, stp, 802.1d</t>
  </si>
  <si>
    <t>Spanning Tree Protocol (STP)</t>
  </si>
  <si>
    <t>STP Operation</t>
  </si>
  <si>
    <t>STP election, root port, designated port, blocked port, bpdu</t>
  </si>
  <si>
    <t>STP Modes</t>
  </si>
  <si>
    <t>stp, rstp, rapid stp, per vlan spanning tree, pvst, rapid pvst, rapid, multiple spanning tree, mst</t>
  </si>
  <si>
    <t xml:space="preserve">Lab - Configure STP </t>
  </si>
  <si>
    <t>Introduction to Link Aggregation</t>
  </si>
  <si>
    <t>LACP, lag, port channel, etherchannel, static mode</t>
  </si>
  <si>
    <t>Link Aggregation Protocols</t>
  </si>
  <si>
    <t>Configuring Link Aggregation</t>
  </si>
  <si>
    <t>LACP, lag, port channel, etherchannel, mode on, mode active, mode passive, static mode</t>
  </si>
  <si>
    <t>Introduction to MLAG</t>
  </si>
  <si>
    <t>multi-chassis lag, mlag, l2ls, vpc</t>
  </si>
  <si>
    <t>Lab - Configuring LACP and MLAG</t>
  </si>
  <si>
    <t>Lab - Configure L3 Addresses</t>
  </si>
  <si>
    <t>Introduction to Routers</t>
  </si>
  <si>
    <t>Introduction to Static Routing</t>
  </si>
  <si>
    <t>routing, static routing. Ip route, default static route</t>
  </si>
  <si>
    <t>Routing</t>
  </si>
  <si>
    <t>Lab - Configure Static Routing</t>
  </si>
  <si>
    <t>Metric and Admin Distance</t>
  </si>
  <si>
    <t>metric, admin distance, AD</t>
  </si>
  <si>
    <t>Distance Vector Protocols - RIP</t>
  </si>
  <si>
    <t>distance vector, rip, routing information protocol, routing protocol</t>
  </si>
  <si>
    <t>RIPv1 vs RIPv2</t>
  </si>
  <si>
    <t>rip version 1, rip version 2, classfull, classless, routing protocol, triggered updates, ripv1, ripv2</t>
  </si>
  <si>
    <t>Introduction to Link State Routing</t>
  </si>
  <si>
    <t>link state, routing protocol, OSPF, open shortest path first, LSA, LSDB</t>
  </si>
  <si>
    <t>Lab - Configure Routing Protocols</t>
  </si>
  <si>
    <t>Wide Area Network</t>
  </si>
  <si>
    <t>wan, wide area network, leased line, modems, demarc, demaraction point</t>
  </si>
  <si>
    <t>Internet and WAN</t>
  </si>
  <si>
    <t>Network Address Translation (NAT)</t>
  </si>
  <si>
    <t>nat, pat, static nat, dynamic nat, dynamic nat with overload, network address translation</t>
  </si>
  <si>
    <t>Introduction to Access Lists</t>
  </si>
  <si>
    <t>access list, ACL, implicit deny</t>
  </si>
  <si>
    <t>Security</t>
  </si>
  <si>
    <t>ACL Types</t>
  </si>
  <si>
    <t>access list, ACL, standard acl, ip acl, mac acl</t>
  </si>
  <si>
    <t>DHCP Snooping</t>
  </si>
  <si>
    <t>dhcp, snooping</t>
  </si>
  <si>
    <t>IP Source Guard and ARP Inspection</t>
  </si>
  <si>
    <t>ARP Spoofing, ARP Posioning, IP Spoofing, MAC Spoofing, IPSG, IP Source Guard, ARP Inspection, ARP Attack</t>
  </si>
  <si>
    <t>Lab - Access List</t>
  </si>
  <si>
    <t>Lab - Troubleshooting ACL</t>
  </si>
  <si>
    <t>Introduction to QoS</t>
  </si>
  <si>
    <t>qos, traffic characteristics, Bandwidth, delay, jitter, packet loss</t>
  </si>
  <si>
    <t>Quality of Service</t>
  </si>
  <si>
    <t>Classification and Marking Marking</t>
  </si>
  <si>
    <t>qos, classification, quality of service, marking, class of service, cos, tos, type of service, tos, dscp, ip percedence, differentiated service code point, trust boundary</t>
  </si>
  <si>
    <t>Congestion Management</t>
  </si>
  <si>
    <t>congestion, congestion management, queueing, round robin, weigted round robin, priority queueing</t>
  </si>
  <si>
    <t>Introduction to IPv6</t>
  </si>
  <si>
    <t>ipv6, ipv6 advantages, ipv6 shortcuts, ipv6 format</t>
  </si>
  <si>
    <t>IPV7</t>
  </si>
  <si>
    <t>IPv6 Address Types</t>
  </si>
  <si>
    <t>ipv6 address types, ipv6 unicast, ipv6 multicast, ipv6 anycast, ipv6 local address, ipv6 global address, ipv6 link local address, ipv6 unspecified</t>
  </si>
  <si>
    <t>IPV8</t>
  </si>
  <si>
    <t>Lab -  Configure IPv6 Addresses</t>
  </si>
  <si>
    <t>IPV9</t>
  </si>
  <si>
    <t>Why Automation</t>
  </si>
  <si>
    <t>why automation, challenges with manual config, modern network automation requirements</t>
  </si>
  <si>
    <t>CloudVision</t>
  </si>
  <si>
    <t>Automation Methods</t>
  </si>
  <si>
    <t>configuration generation, cicd, pipeline, configuration management, supplemental automation</t>
  </si>
  <si>
    <t>Introduction to CloudVision</t>
  </si>
  <si>
    <t>cloudvision introduction, device management, telemetry</t>
  </si>
  <si>
    <t>Lab -  Navigating CloudVision Portal</t>
  </si>
  <si>
    <t>Drivers for Layer 2 Leaf Spine Topologies</t>
  </si>
  <si>
    <t>Arista L2LS, LeafSpineArchitecture, Clos Topology, Modern Data Center, Non Blocking Architecture, High Availability Design, Active Active Connectivity</t>
  </si>
  <si>
    <t>Q2 '25</t>
  </si>
  <si>
    <t>L2LS Architecture</t>
  </si>
  <si>
    <t>L2LS Design Overview</t>
  </si>
  <si>
    <t>Arista L2LS,  LeafSpine Architecture, ClosTopology, ModernDataCenter, Non Blocking Architecture, High Availability Design, Active Active Connectivity, DualHomed Servers, selection for data center growth, Data Center Design, MLAG</t>
  </si>
  <si>
    <t>L2LS Architecture: Plan for Performance, Redundancy, and Growth</t>
  </si>
  <si>
    <t>Arista L2LS, LeafSpine Architecture, Clos Topology, Modern Data Center, Non Blocking Architecture, High Availability Design, Active Active Connectivity, Dual Homed Servers, Data center switches, Arista hardware platform, Leaf and Spine switch selection for data center growth,DataCenterDesign,Designing scalable Layer 2 Leaf Spine networks</t>
  </si>
  <si>
    <t>VLAN Overview</t>
  </si>
  <si>
    <t>L2LS,VLANs, segmentation, broadcast domain,Layer 2 domain</t>
  </si>
  <si>
    <t>VLANs</t>
  </si>
  <si>
    <t>Configuring Access and Trunk Ports</t>
  </si>
  <si>
    <t>L2LS,VLANs, segmentation, broadcast domain, access port, trunk port</t>
  </si>
  <si>
    <t>Introduction to Inter-VLAN Routing</t>
  </si>
  <si>
    <t>Layer 3 interfaces,routing,Inter-VLAN Routing,VLANs</t>
  </si>
  <si>
    <t>Troubleshooting VLANs</t>
  </si>
  <si>
    <t>L2LS,VLANs, segmentation, broadcast domain, access port, trunk port,inter-VLAN communication,SVI,Inter-VLAN Routing</t>
  </si>
  <si>
    <t>Spanning Tree Overview</t>
  </si>
  <si>
    <t>spanning-tree,ethernet loop, VLANs,Arista STP,Arista Spanning Tree,MSTP​</t>
  </si>
  <si>
    <t>STP</t>
  </si>
  <si>
    <t>STP Enhancements</t>
  </si>
  <si>
    <t>spanning-tree,ethernet loop, VLANs,portfast,root guard,loop guard, bpdu guard, bpdu filter, RPVST, MSTP</t>
  </si>
  <si>
    <t>Configuring STP on an Arista Switch</t>
  </si>
  <si>
    <t>spanning-tree,ethernet loop, VLANs,portfast,bpdu guard, MSTP,MST instance, MST region</t>
  </si>
  <si>
    <t>Troubleshooting STP on an Arista Switch</t>
  </si>
  <si>
    <t>spanning-tree,ethernet loop, VLANs,portfast,bpdu guard, MSTP,MST instance, Root guard</t>
  </si>
  <si>
    <t>Lab - STP</t>
  </si>
  <si>
    <t>LACP Overview</t>
  </si>
  <si>
    <t>Link Aggragation group, LACP,LAG,port-channel,layer 2 redundancy,Layer 2 load-balancing</t>
  </si>
  <si>
    <t>LACP</t>
  </si>
  <si>
    <t>Configuring LACP</t>
  </si>
  <si>
    <t>Link Aggragation group, LACP,LAG,port-channel,configuring lacp,layer 2 redundancy,Layer 2 load-balancing</t>
  </si>
  <si>
    <t>Troubleshooting LACP</t>
  </si>
  <si>
    <t>Link Aggragation group, LACP,LAG,port-channel,configuring lacp, troubleshooting LACP</t>
  </si>
  <si>
    <t>MLAG Overview</t>
  </si>
  <si>
    <t>Arista MLAG Introduction,What is MLAG,Arista Networks MLAG,MLAG Overview Arista,MLAG Explained,Understanding MLAG,MLAG Benefits and Use Cases,High Availability with MLAG,MLAG vs LACP,MLAG in Data Centers,MLAG for Redundancy,</t>
  </si>
  <si>
    <t>MLAG</t>
  </si>
  <si>
    <t>Configuring MLAG</t>
  </si>
  <si>
    <t>MLAG Setup Arista,Arista MLAG Configuration,Configuring MLAG on Arista,MLAG Step-by-Step Guide,MLAG Commands Arista,Arista MLAG VLAN Configuration,MLAG Interface Configuration,MLAG Best Practices</t>
  </si>
  <si>
    <t>Lab - Deploying MLAG</t>
  </si>
  <si>
    <t>Lab - Troubleshooting MLAG</t>
  </si>
  <si>
    <t>FHRP Overview</t>
  </si>
  <si>
    <t>Arista FHRP,Arista VRRP configuration​,Arista VARP configuration​,Arista Virtual Router Redundancy Protocol​,Arista Virtual ARP​,Arista MLAG FHRP​,Arista active-active redundancy,Arista gateway redundancy,Arista switch redundancy protocols</t>
  </si>
  <si>
    <t>Default Gateway Redundancy (FHRP)</t>
  </si>
  <si>
    <t>Configuring VRRP</t>
  </si>
  <si>
    <t>VRRP,Arista VRRP,Arista EOS VRRP,Arista VRRP setup,VRRP vs VARP​,Arista MLAG VRRPVRRP tutorial</t>
  </si>
  <si>
    <t>Configuring VARP</t>
  </si>
  <si>
    <t>Arista VARP,Virtual ARP​,Active-active redundancy,Arista MLAG,Arista VARP configuration,VARP tutorial​,VARP vs VRRP,First Hop Redundancy Protocol,Arista VARP tutorial</t>
  </si>
  <si>
    <t>Configuring L2LS with CLI</t>
  </si>
  <si>
    <t>Arista L2LS, Leaf Spine Architecture,  MLAG Bowtie, MLAG, Configure L2LS, Verify L2LS</t>
  </si>
  <si>
    <t>Build L2LS DC Network Using CLI</t>
  </si>
  <si>
    <t>Lab - Build L2LS with MLAG and VARP</t>
  </si>
  <si>
    <t>L2LS Design and Topology Overview</t>
  </si>
  <si>
    <t>Arista L2LS, Leaf SpineArchitecture, Clos Topology,Modern DataCenter,Non Blocking Architecture,High Availability Design, Active Active Connectivity, Dual Homed Servers,Data Center Design, Designing, MLAG Bowtie, MLAG</t>
  </si>
  <si>
    <t>Build L2LS DC Network Using CVP Configlets</t>
  </si>
  <si>
    <t>Configuring L2LS with CVP Configlets</t>
  </si>
  <si>
    <t>L2LS, CVP, CloudVision, CVaaS, CloudVision as a Service, Configlets, Configure L2LS, Configure MLAG, Configure VLANs, Configure STP</t>
  </si>
  <si>
    <t>Yes</t>
  </si>
  <si>
    <t>L2LS Design Review</t>
  </si>
  <si>
    <t>universal cloud network, UCN, L2LS,L2LS protocols, L2LS scalability, L2LS challenges, layer 2 leaf spine, ethernet, switching, L2LS Technologies</t>
  </si>
  <si>
    <t>Taken from live class</t>
  </si>
  <si>
    <t>L2LS Review</t>
  </si>
  <si>
    <t>L2LS Example</t>
  </si>
  <si>
    <t>L2LS, layer 2 leaf spine, mlag,  L2LS config, mlag config</t>
  </si>
  <si>
    <t>Why BGP Underlay in L3LS Design</t>
  </si>
  <si>
    <t>universal cloud network, UCN, L3LS, L3LS Design, layer 3 leaf spine, ethernet, undelay, overlay, VXLAN, eVPN, MP-BGP, L3LS recommended design, l3ls best pratctices</t>
  </si>
  <si>
    <t>L3LS Design</t>
  </si>
  <si>
    <t>OSPF Overview</t>
  </si>
  <si>
    <t>OSPF, Open Shortest Path First, Routing Table</t>
  </si>
  <si>
    <t>OSPF</t>
  </si>
  <si>
    <t>OSPF Operations</t>
  </si>
  <si>
    <t>OSPF, Open Shortest Path First, OSPF Neighbor Discovery, OSPF Operation, LSA, Link State Advertisement, LSDB, Link State Data Base, SPF Algorithm, Metric, OSPF Cost, OSPF Timers</t>
  </si>
  <si>
    <t>OSPF Communications</t>
  </si>
  <si>
    <t>OSPF, Open Shortest Path First, OSPF Neighbor Requirements, OSPF Designated Routers, OSPF Network Types, OSPF Summary, OSPF Areas</t>
  </si>
  <si>
    <t>OSPF Configuration</t>
  </si>
  <si>
    <t>OSPF, Open Shortest Path First, OSPF Configuration</t>
  </si>
  <si>
    <t>IS-IS Intro and Operations</t>
  </si>
  <si>
    <t>is-is, routing, igp, underlay, Intermediate System Intermediate System, ISIS Level 1, ISIS Level 2, ISIS Level 3</t>
  </si>
  <si>
    <t>IS-IS</t>
  </si>
  <si>
    <t>IS-IS Communications</t>
  </si>
  <si>
    <t>is-is, routing, igp, underlay, Intermediate System Intermediate System, ISIS Level 1, ISIS Level 2, ISIS Level 3, ISIS Configuration</t>
  </si>
  <si>
    <t>BGP Overview</t>
  </si>
  <si>
    <t>universal cloud network, UCN, L3LS, L3LS Design, layer 3 leaf spine, ethernet, undelay, routing, routing table, directly connected, remote network, static, ip route, bgp, egp, exterior gateway protocol, as, autonomous system, ibgp, ebgp</t>
  </si>
  <si>
    <t>Introduction to BGP</t>
  </si>
  <si>
    <t>BGP Functions and Facts</t>
  </si>
  <si>
    <t>universal cloud network, UCN, L3LS, L3LS Design, layer 3 leaf spine, ethernet, undelay, bgp, as path, autonomous system path, path vector, bgp neighbor discovery, bgp authentication, bgp loop detection</t>
  </si>
  <si>
    <t>BGP Operation</t>
  </si>
  <si>
    <t>universal cloud network, UCN, L3LS, L3LS Design, layer 3 leaf spine, ethernet, undelay, bgp, bgp operation, bgp states, bgp messages, bgp router id, bgp config, bgp update, bgp keepalive, bgp open, idle state, active state, connected state, opensent, openconfirm, established, NLRI, Network layer reachability information</t>
  </si>
  <si>
    <t>L3LS eBGP Underlay Configuration</t>
  </si>
  <si>
    <t>universal cloud network, UCN, L3LS, L3LS Design, layer 3 leaf spine, ethernet, undelay, bgp, ebgp, bgp config, L3LS config, underlay config, discrete as, verify underlay</t>
  </si>
  <si>
    <t>eBGP Underlay Configuration</t>
  </si>
  <si>
    <t>eBGP Load Balancing Configuration</t>
  </si>
  <si>
    <t xml:space="preserve">universal cloud network, UCN, L3LS, L3LS Design, layer 3 leaf spine, ethernet, undelay, bgp, ebgp, bgp config, L3LS config, underlay config, load balancing, ecmp, maximum-path, maximum path, </t>
  </si>
  <si>
    <t>eBGP Configuration Enhancements</t>
  </si>
  <si>
    <t>universal cloud network, UCN, L3LS, L3LS Design, layer 3 leaf spine, ethernet, undelay, bgp, ebgp, bgp config, L3LS config, underlay config, peer group, peer groups, dynamic bgp peering, listen range, peer filter, peer-filter, dynamic peer</t>
  </si>
  <si>
    <t>BGP with MLAG</t>
  </si>
  <si>
    <t>universal cloud network, UCN, L3LS, L3LS Design, layer 3 leaf spine, ethernet, undelay, bgp, ebgp, mlag, mlag ibgp, next hop self, bgp with mlag, common as on all leafs, allowas in, allowas-in, common as design, common autonomous system design</t>
  </si>
  <si>
    <t>BGP Underlay Deployment Options</t>
  </si>
  <si>
    <t xml:space="preserve">Lab - Underlay Addressing with eBGP </t>
  </si>
  <si>
    <t>Introduction to VXLAN</t>
  </si>
  <si>
    <t xml:space="preserve">L3LS, layer 3 leaf spine, underlay, overlay, VXLAN Virtual Extensible LAN, VXLAN Header, VXLAN UDP Header, </t>
  </si>
  <si>
    <t>Remove link in Slide 21, rework slide 28</t>
  </si>
  <si>
    <t>VXLAN Overview</t>
  </si>
  <si>
    <t>VXLAN Load Balancing with ECMP</t>
  </si>
  <si>
    <t xml:space="preserve">Overlay, VXLAN, Virtual Extensible LAN, Why VXLAN, VXLAN Tunneling, VXLAN Encapsulation, VXLAN Decapsulation, VTEP, VNI, VXLAN Tunnel Endpoint, Virtual Network Identifier, VXLAN Header, VXLAN Header Hashing, ECMP and VXLAN, </t>
  </si>
  <si>
    <t>ARP Refresher</t>
  </si>
  <si>
    <t>ARP, Address Resolution Protocol, ARP in VXLAN, ARP Cache, ARP Request, ARP Reply</t>
  </si>
  <si>
    <t>VXLAN Control Plane Options</t>
  </si>
  <si>
    <t>VxLAN HER Control Plane</t>
  </si>
  <si>
    <t>L3LS, layer 3 leaf spine, Overlay, VXLAN, Virtual Extensible LAN, VXLAN Control Plane, VXLAN with HER, Head End Replication, ARP with VXLAN HER, VXLAN Unicast Replication, VXLAN HER Process, Flood List, VXLAN Flood List, Manual Flood List, Static Flood List</t>
  </si>
  <si>
    <t xml:space="preserve">Configuring VxLAN HER </t>
  </si>
  <si>
    <t>L3LS, layer 3 leaf spine, Overlay, VXLAN, Virtual Extensible LAN, VXLAN Control Plane, VXLAN with HER, Head End Replication, ARP with VXLAN HER, VXLAN Unicast Replication, VXLAN HER Process, Flood List, VXLAN Flood List, Manual Flood List, Static Flood List, Configuring HER, Configuring VXLAN with HER, VNI</t>
  </si>
  <si>
    <t>VxLAN VCS Control Plane</t>
  </si>
  <si>
    <t>Overlay, VXLAN, Virtual Extensible LAN, VXLAN Control Plane, VXLAN Controller Service, VCS, Flood List, Dynamic Flood List, HER, L3LS, Layer 3 leaf spine, HER, Head End Replication, VTEPS, VXLAN Tunnel Endpoints</t>
  </si>
  <si>
    <t>VxLAN EVPN Control Plane</t>
  </si>
  <si>
    <t>Overlay, VXLAN, Virtual Extensible LAN, VXLAN Control Plane, EVPN, Ethernet VPN, VXLAN with eVPN, EVPN Control Plane, L3LS, leaf 3 leaf spine, MP-BGP, MultiProtocol BGP, MAC Learning, ARP in eVPN, ARP Suppression, Route Type 2, Route Type 3, Dynamic Flood List</t>
  </si>
  <si>
    <t>Lab - Configure VXLAN Dataplane with HER</t>
  </si>
  <si>
    <t>Introduction to VXLAN with MLAG</t>
  </si>
  <si>
    <t>Overlay, VXLAN, Virtual Extensible LAN, MLAG, VXLAN with MLAG, VXLAN Anycast Address, VXLAN VTI, Virtual Tunnel Interface, VXLAN with MLAG Packet Flow</t>
  </si>
  <si>
    <t>VXLAN With MLAG</t>
  </si>
  <si>
    <t>Configuring VXLAN with MLAG</t>
  </si>
  <si>
    <t xml:space="preserve">Overlay, VXLAN, Virtual Extensible LAN, MLAG, VXLAN with MLAG, VXLAN Anycast Address, Configure VXLAN with MLAG, Verify VXLAN with MLAG, </t>
  </si>
  <si>
    <t>MTU and Jumbo Frames</t>
  </si>
  <si>
    <t>Overlay, VXLAN, Virtual Extensible LAN, VXLAN Best Practices, VXLAN MTU, VXLAN Jumbo Frames, VXLAN Frame Size, Jumbo Frame Test, VXLAN Recommendations</t>
  </si>
  <si>
    <t>VXLAN Best Practices</t>
  </si>
  <si>
    <t>DF Bit, VTEP, MLAG, and Timers</t>
  </si>
  <si>
    <t>Overlay, VXLAN, Virtual Extensible LAN, VXLAN Best Practices, DF Bits, Defragmentation Bits, VTEP Reachability, MLAG Reachability, VXLAN Aging Timers, VXLAN Recomendations</t>
  </si>
  <si>
    <t>Troubleshooting VxLAN</t>
  </si>
  <si>
    <t xml:space="preserve">L3LS, layer 3 leaf spine, Overlay, VXLAN, Virtual Extensible LAN, VXLAN Control Plane, VXLAN with HER, Head End Replication, Flood List, VXLAN Flood List, Manual Flood List, Static Flood List, Troubleshooting VXLAN, VXLAN Config Sanity, VXLAN Troubleshooting Commands, </t>
  </si>
  <si>
    <t>Troubleshooting VXLAN</t>
  </si>
  <si>
    <t>Introduction to eVPN</t>
  </si>
  <si>
    <t>eVPN, Ethernet VPN, MP-BGP, Multi Protocol BGP, L3LS, Layer 3 leaf spine, MP-BGP Address families, AFI, SAFI, Address Familiy identifier, sub address family identifier, TLV, Type Length Value</t>
  </si>
  <si>
    <t>eVPN Fundamentals</t>
  </si>
  <si>
    <t>eVPN Terminology</t>
  </si>
  <si>
    <t>eVPN Terminology, NVO, Network virtualization overlay, VRF, Virtual routing and forwarding, MAC VRF, RD, Route distinguisher, RT, Route Target, VNI, VXLAN Network Identifier, L2VNI, L3VNI, NVE, Network Virtualization Endpoint, VTEP, Vxlan Tunnel Endpoint</t>
  </si>
  <si>
    <t>VRF Operation</t>
  </si>
  <si>
    <t>VRF, Virtual Routing and Forwarding, VRF Operation, VRF Configuration, VRF Vertification</t>
  </si>
  <si>
    <t>MP-BGP Control Plane Part 1</t>
  </si>
  <si>
    <t xml:space="preserve">Ethernet VPN, eVPN, MP-BGP, RD, Route Distinguisher, Border Gateway Protocol, Multiprotocol Border Gateway Protocol, </t>
  </si>
  <si>
    <t>MP-BGP Control Plane Part 2</t>
  </si>
  <si>
    <t>Ethernet VPN, eVPN, MP-BGP, RD, Route Distinguisher, RT, Route Target, Border Gateway Protocol, Multiprotocol Border Gateway Protocol, AFI, Address family identifier, Extended Community</t>
  </si>
  <si>
    <t>Configuring MP-eBGP for eVPN</t>
  </si>
  <si>
    <t>Ethernet VPN, eVPN, MP-BGP, eBGP, Overlay, Configuring eVPN, Configure MP-BGP eVPN, Configure Overlay, peer group, peer filter</t>
  </si>
  <si>
    <t>eVPN Route Type 2 (MAC-IP)</t>
  </si>
  <si>
    <t>Ethernet VPN, eVPN, Route Type 2, MAC-IP, eVPN Route Type 2, MP-BGP, Multiprotocol BGP, Border Gateway Protocol, Overlay, ARP Suppression, eVPN Route Types, TLV, Type Length Value,</t>
  </si>
  <si>
    <t>eVPN Route Type 5 (IP Prefix)</t>
  </si>
  <si>
    <t>Ethernet VPN, eVPN, Route Type 5, IP Prefix</t>
  </si>
  <si>
    <t>Introduction to IRB</t>
  </si>
  <si>
    <t>eVPN IRB, Integrated Routing and Bridging, IRB</t>
  </si>
  <si>
    <t>eVPN Advanced Concepts</t>
  </si>
  <si>
    <t>Symmetric IRB Deep Dive</t>
  </si>
  <si>
    <t>eVPN IRB, Integrated Routing and Bridging, IRB, Symmetric IRB, Symmetric Integrated Routing and Bridging</t>
  </si>
  <si>
    <t>Configuring Symmetric IRB</t>
  </si>
  <si>
    <t>eVPN IRB, Integrated Routing and Bridging, IRB, Symmetric IRB, Symmetric Integrated Routing and Bridging, Configure Symmetric IRB</t>
  </si>
  <si>
    <t>Configuring Asymmetric IRB</t>
  </si>
  <si>
    <t>eVPN IRB, Integrated Routing and Bridging, IRB, Asymmetric IRB, Asymmetric Integrated Routing and Bridging, Configure Asymmetric IRB</t>
  </si>
  <si>
    <t>Lab - L3 EVPN Asymmetric IRB</t>
  </si>
  <si>
    <t>Introduction to Active Active Multihoming</t>
  </si>
  <si>
    <t>L3LS, layer 3 leaf spine, overlay, eVPN, Active Active multihoming, evpn multihoming,  ethernet segment, MLAG, multihoming vs mlag</t>
  </si>
  <si>
    <t xml:space="preserve">eVPN Multihoming </t>
  </si>
  <si>
    <t>Route Types 1 and ESI</t>
  </si>
  <si>
    <t>L3LS, layer 3 leaf spine, overlay, eVPN, Active Active multihoming, evpn multihoming,  ethernet segment, ESI, Route Type 1, Route Type 4, Per Ethernet Segment, Per EVI</t>
  </si>
  <si>
    <t>Route Type 1 and Route Type 4</t>
  </si>
  <si>
    <t>L3LS, layer 3 leaf spine, overlay, eVPN, Active Active multihoming, evpn multihoming, Mass withdrawal, Route Type 1, ECMP aliasing, Route Type 4, DF election, Split horizon rule</t>
  </si>
  <si>
    <t>Active Active Multihoming Configuration</t>
  </si>
  <si>
    <t>L3LS, layer 3 leaf spine, overlay, EVPN, Active-Active Multihoming Config, Route Type 1, Route Type 4, ESI Configuration, Designated Forwarder, DF Election, Modulus Algorithm, VXLAN, BGP EVPN Show Commands</t>
  </si>
  <si>
    <t>Lab - EVPN Multihoming</t>
  </si>
  <si>
    <t>iBGP between MLAG pairs and eBGP Multihop command</t>
  </si>
  <si>
    <t>L3LS, layer 3 leaf spine, overlay, EVPN, VXLAN, iBGP with MLAG, ebgp multihop, ebgp-multihop command, eVPN Best Practices</t>
  </si>
  <si>
    <t>eVPN Design Best Practices</t>
  </si>
  <si>
    <t>eBGP for Underlay and Overlay</t>
  </si>
  <si>
    <t>L3LS, layer 3 leaf spine, overlay, EVPN, VXLAN, eBGP Overlay, eBGP Underlay, eVPN Best Practices</t>
  </si>
  <si>
    <t>Configuring eVPN Services, Host Interfaces and External Networks using Studios</t>
  </si>
  <si>
    <t>Studios, User Interface, CVP, CloudVision,CVaaS, L3LS, Layer 3 Leaf Spine, Studios, VXLAN, eVPN, BGP, eVPN Services Studio, Interface Configuration Studio, MLAG, External Networks</t>
  </si>
  <si>
    <t>Configuring L3LS DC Network with CVP Studios</t>
  </si>
  <si>
    <t>Lab - Building L3LS, EVPN and MLAG in DC with Studios</t>
  </si>
  <si>
    <t>Why CloudVision</t>
  </si>
  <si>
    <t>CVP, CV, Cloud Vision, Cloudvision, Network Challenges, Modern Network Automation Requirements</t>
  </si>
  <si>
    <t>Cloudvision Overview</t>
  </si>
  <si>
    <t>Positioning CVP</t>
  </si>
  <si>
    <t>CVP, CloudVision, CloudVision Posiitioning, CVP On Prem, CVP Appliance, CVaaS, Private Cloud VM</t>
  </si>
  <si>
    <t>CVP Clustering</t>
  </si>
  <si>
    <t>CVP, CloudVision, CVP Clustering, CloudVision Clustering, 3 Node Cluster, Why CVP Clustering, How CVP Clustering works, CVP Node Failures, CVP Deployment Considerations</t>
  </si>
  <si>
    <t>CloudVision Setup</t>
  </si>
  <si>
    <t>CVP Multi-Node OVA Installation</t>
  </si>
  <si>
    <t xml:space="preserve">CVP, CloudVision, CVP Clustering, CloudVision Clustering, 3 Node Cluster, OVA Installation, CV Cluster Setup </t>
  </si>
  <si>
    <t>CVP Backup and Restore</t>
  </si>
  <si>
    <t>CVP, CloudVision, CVP Backup, CVP Restore, CVP Automated Backup, CVP Manual Backup, CVP Backup cronjob, backup.py</t>
  </si>
  <si>
    <t>Getting Familiar with CVP Interface</t>
  </si>
  <si>
    <t>CVP, CloudVision, CVaaS, CloudVision as a Service, CVP User interface</t>
  </si>
  <si>
    <t>CVP Profiles</t>
  </si>
  <si>
    <t>CVP, CloudVision, CVaaS, CloudVision as a Service, CVP Profiles, CloudVision Profiles, Built-in Profiles, Custom Profiles, CVP Users, User Management,</t>
  </si>
  <si>
    <t>CVP Help Center</t>
  </si>
  <si>
    <t>CVP, CloudVision, CVaaS, CloudVision as a Service, CVP Help Center</t>
  </si>
  <si>
    <t>License Key Management using CVP</t>
  </si>
  <si>
    <t>CVP, CloudVision, CVaaS, CloudVision as a Service, License Management, encryption key, Upload Licenses</t>
  </si>
  <si>
    <t>Lab - Navigating CVP</t>
  </si>
  <si>
    <t>Connecting Devices to CloudVision</t>
  </si>
  <si>
    <t xml:space="preserve">CVP, CloudVision, CVaaS, onboarding devices, TerminAttr, eAPI, EOS API, </t>
  </si>
  <si>
    <t>Device Registration</t>
  </si>
  <si>
    <t>Containers</t>
  </si>
  <si>
    <t>CVP, CloudVision, CVaaS, CloudVision as a Service, Containers</t>
  </si>
  <si>
    <t>Network Provisioning</t>
  </si>
  <si>
    <t>Configuration Sources</t>
  </si>
  <si>
    <t>CVP, CloudVision, CVaaS, CloudVision as a Service, Static configlet, configlet builder, studios, configuration sources</t>
  </si>
  <si>
    <t>Designed and Running Config</t>
  </si>
  <si>
    <t>CVP, CloudVision, CVaaS, CloudVision as a Service, Designed Config, Running Config, Proposed Config</t>
  </si>
  <si>
    <t>Configlets</t>
  </si>
  <si>
    <t>CVP, CloudVision, CVaaS, CloudVision as a Service, Designed Config, Running Config, Proposed Config, Static configlets, Exporting Configlet, Importing Configlet, Validate Configlet, Delete Configlet</t>
  </si>
  <si>
    <t>Tasks and Change Control</t>
  </si>
  <si>
    <t>CVP, CloudVision, CVaaS, CloudVision as a Service, Configlets, Tasks, Change Control, Rollback</t>
  </si>
  <si>
    <t>Reconcile</t>
  </si>
  <si>
    <t>CVP, CloudVision, CVaaS, CloudVision as a Service, Configlets, Tasks, Change Control, Reconcile</t>
  </si>
  <si>
    <t>Lab - Configlets</t>
  </si>
  <si>
    <t>Snapshots and Staging</t>
  </si>
  <si>
    <t>CVP, CloudVision, CVaaS, CloudVision as a Service, Configlets, Tasks, Change Control, Snapshots, Staging</t>
  </si>
  <si>
    <t>Rollback</t>
  </si>
  <si>
    <t>CVP, CloudVision, CVaaS, CloudVision as a Service, Configlets, Tasks, Change Control, Rollbacks</t>
  </si>
  <si>
    <t>Lab - Snapshots</t>
  </si>
  <si>
    <t>Lab - Change Control</t>
  </si>
  <si>
    <t>Configlet Builder</t>
  </si>
  <si>
    <t>CVP, CloudVision, CVaaS, CloudVision as a Service, Configlets, Tasks, Change Control, Configlet Builder</t>
  </si>
  <si>
    <t>Image Repository</t>
  </si>
  <si>
    <t>CVP, CloudVision, CVaaS, CloudVision as a Service, Configlets, Tasks, Change Control, Image Management, Image repository</t>
  </si>
  <si>
    <t>Zero Touch Provisioning (ZTP)</t>
  </si>
  <si>
    <t>CVP, CloudVision, CVaaS, CloudVision as a Service ZTP, zero touch provisioning</t>
  </si>
  <si>
    <t>Zero Touch Provisioning</t>
  </si>
  <si>
    <t>Deploying and Onboarding vEOS to CVP using ZTP</t>
  </si>
  <si>
    <t>CVP, CloudVision, CVaaS, CloudVision as a Service ZTP, zero touch provisioning, vEOS</t>
  </si>
  <si>
    <t>Zero Touch Replcement (ZTR)</t>
  </si>
  <si>
    <t>CVP, CloudVision, CVaaS, CloudVision as a Service ZTP, zero touch provisioning, ZTR, Zero Touch Replacement</t>
  </si>
  <si>
    <t>Introduction to Studios and Tags</t>
  </si>
  <si>
    <t>CVP, CloudVision, CVaaS, CloudVision as a Service, Studios, Tags, Labels</t>
  </si>
  <si>
    <t>Studios Overview</t>
  </si>
  <si>
    <t>Workspaces</t>
  </si>
  <si>
    <t>CVP, CloudVision, CVaaS, CloudVision as a Service, Studios, Worksapces</t>
  </si>
  <si>
    <t>Studio Deployment and Execution</t>
  </si>
  <si>
    <t>CVP, CloudVision, CVaaS, CloudVision as a Service, Studios, Worksapces, Inventory and Topology, Change Control, Workspace Conflict, Review Worksapce, Submit Workspace</t>
  </si>
  <si>
    <t>Lab - Using Studios</t>
  </si>
  <si>
    <t>Lab - Clean Up Studios</t>
  </si>
  <si>
    <t>New Studios UI</t>
  </si>
  <si>
    <t>Studios, User Interface, CVP, CloudVision</t>
  </si>
  <si>
    <t>Studios In Action</t>
  </si>
  <si>
    <t>Static Configuration Studio</t>
  </si>
  <si>
    <t>Studios, Static Configuration Studio, CVP, CloudVision, CVaaS</t>
  </si>
  <si>
    <t>Management Connectivity Studio</t>
  </si>
  <si>
    <t>Studios, Management Connectivity Studio, CVP, CloudVision, CVaaS</t>
  </si>
  <si>
    <t>Software Management Studio</t>
  </si>
  <si>
    <t>Studios, Software Management Studio, CVP, CloudVision, CVaaS</t>
  </si>
  <si>
    <t>End to End Provisioning with Studios</t>
  </si>
  <si>
    <t>Studios, ZTP, Inventory and Topology Studio, Static Configuration Studio, Software and Management Studio, CVP, CloudVision</t>
  </si>
  <si>
    <t>Provision New Devices with ZTP and Studios</t>
  </si>
  <si>
    <t>Configuring L3LS using Studios</t>
  </si>
  <si>
    <t>Studios, User Interface, CVP, CloudVision,CVaaS, L3LS, Layer 3 Leaf Spine, Studios, VXLAN, eVPN, BGP</t>
  </si>
  <si>
    <t>Compliance Overview</t>
  </si>
  <si>
    <t>CVP, CloudVision, CVaaS, CloudVision as a Service, Compliance Overview, Authentication Token</t>
  </si>
  <si>
    <t>Monitoring Devices with CVP</t>
  </si>
  <si>
    <t>Device input power</t>
  </si>
  <si>
    <t xml:space="preserve">CVP, CloudVision, CVaaS, CloudVision as a Service, Device Input Power, Environment, Power In, Device Power Consumption, Dashboard, Total Input Power, </t>
  </si>
  <si>
    <t>CloudVison and DMF Integration</t>
  </si>
  <si>
    <t xml:space="preserve">CVP, CloudVision, CVaaS, CloudVision as a Service, DMF, DANZ Monitoring Fabric, Pervasive Network Visibility, SPAN, GREenSPAN, Auto SPAN, DMF Policies, </t>
  </si>
  <si>
    <t>802.1X Details in Endpoint Search</t>
  </si>
  <si>
    <t>CVP, CloudVision, CVaaS, CloudVision as a Service, Endpoint Overview, Endpoint Search, 802.1X</t>
  </si>
  <si>
    <t>Dashboard Enhancements</t>
  </si>
  <si>
    <t>CVP, CloudVision, CVaaS, CloudVision as a Service, Dashobard, Dashboard Enhancements</t>
  </si>
  <si>
    <t>Dashboards</t>
  </si>
  <si>
    <t>Device Connectivity Health Panel Dashboard</t>
  </si>
  <si>
    <t>CVP, CloudVision, CVaaS, CloudVision as a Service, Device health connectivity, Dashboards, Connectivity Monitor, Connectivity Monitor Anomalies, Connectivity Monitor Metrics, CloudTracer, Connectivity Monitor and CloudTracer</t>
  </si>
  <si>
    <t>Compliance Counts Dashboard</t>
  </si>
  <si>
    <t xml:space="preserve">CVP, CloudVision, CVaaS, CloudVision as a Service, Compliance Counts, Compliance dashboard, Compliance panel, All Compliance Counts </t>
  </si>
  <si>
    <t>Dashboard Tabs Layout</t>
  </si>
  <si>
    <t>CVP, CloudVision, CVaaS, CloudVision as a Service, Dashboards, Tabs, Tab View</t>
  </si>
  <si>
    <t>Exporting and Importing Dashboards</t>
  </si>
  <si>
    <t xml:space="preserve">CVP, CloudVision, CVaaS, CloudVision as a Service, Packaging, Create a Package, Export Dashboard, Install Packages, Import Dashboard, </t>
  </si>
  <si>
    <t>Events</t>
  </si>
  <si>
    <t>CVP, CloudVision, CVaaS, CloudVision as a Service, Events</t>
  </si>
  <si>
    <t>Compliance Events</t>
  </si>
  <si>
    <t>CVP, CloudVision, CVaaS, CloudVision as a Service, Events, Compliance Events</t>
  </si>
  <si>
    <t>Config Sanity Check Events</t>
  </si>
  <si>
    <t>CVP, CloudVision, CVaaS, CloudVision as a Service, VXLAN Config Sanity Check, Sanity Check Results, EVPN Config Sanity Check</t>
  </si>
  <si>
    <t>Lab - Dashboards and Events</t>
  </si>
  <si>
    <t>Introduction to Topology</t>
  </si>
  <si>
    <t>CVP, CloudVision, CVaaS, CloudVision as a Service, Topology</t>
  </si>
  <si>
    <t>Topology</t>
  </si>
  <si>
    <t>Topology Icons and Settings</t>
  </si>
  <si>
    <t>CVP, CloudVision, CVaaS, CloudVision as a Service, Topology, Topology icons, Topology Settings</t>
  </si>
  <si>
    <t>Custom Topology Hierarchies</t>
  </si>
  <si>
    <t>CVP, CloudVision, CVaaS, CloudVision as a Service, Topology, Custom Topology Hierarchies</t>
  </si>
  <si>
    <t>User Defined Topology Filters</t>
  </si>
  <si>
    <t>CVP, CloudVision, CVaaS, CloudVision as a Service, Topology, User Defined Topology Filters</t>
  </si>
  <si>
    <t>PTP Overlay in CVP Topology</t>
  </si>
  <si>
    <t>CVP, CloudVision, CVaaS, CloudVision as a Service, PTP, Percision Time Protocol, PTP Telemetry, PTP Topology Overlay, CVP Topology, Grandmaster clock</t>
  </si>
  <si>
    <t>Lab - Topology</t>
  </si>
  <si>
    <t>Standard Upgrade vs Smart System Upgrade</t>
  </si>
  <si>
    <t>Standard Upgrade, Smart System Upgrade, SSU, fast boot, boot config file</t>
  </si>
  <si>
    <t>Arista TAC Video</t>
  </si>
  <si>
    <t>EOS Reloads and Upgrades</t>
  </si>
  <si>
    <t>Upgrading EOS with CLI</t>
  </si>
  <si>
    <t>Pre-upgrade checks, graceful restart, standard upgrade, smart system upgrade, SSU</t>
  </si>
  <si>
    <t>MLAG ISSU Upgrade and Reload with CLI</t>
  </si>
  <si>
    <t>EOS, Upgrade, Reloads, MLAG, MultiChassis Link Aggregation, reload delay, MLAG Upgrade Steps, MLAG ISSU Compatibility check, In Service Software upgrade, MLAG Config Sanity</t>
  </si>
  <si>
    <t>Chassis Upgrade and Reload</t>
  </si>
  <si>
    <t xml:space="preserve">EOS, Upgrade, Reloads, MLAG, MultiChassis Link Aggregation, RPR, SSO, Stateful Switchover, Route Processor Redundancy, Prechecks, config sanities, supervisor redundancy, supervisors, supervisor Replacements, PreUpgrade check, Post upgrade check, Install command, RCA, Root Cause analysis, log collection, alias, Multi-Supervisor Upgrade, redundancy, File Replication, reload all, STP Not Restartable, backup discarding state, Not ready for switchover, agents not ready, redundancy status, SSO not ready, linecards, </t>
  </si>
  <si>
    <t>SNMP</t>
  </si>
  <si>
    <t>SNMP, Simple Network management Protocol</t>
  </si>
  <si>
    <t>Video Format: Slides</t>
  </si>
  <si>
    <t xml:space="preserve">EOS Monitoring Tools </t>
  </si>
  <si>
    <t xml:space="preserve">sFlow </t>
  </si>
  <si>
    <t>sflow</t>
  </si>
  <si>
    <t>Watch and Diff Commands</t>
  </si>
  <si>
    <t>watch command, Diff command, EOS Monitoring</t>
  </si>
  <si>
    <t>Latency Analayzer (LANZ)</t>
  </si>
  <si>
    <t>LANZ, Latency Analyzer</t>
  </si>
  <si>
    <t>Port Mirroring</t>
  </si>
  <si>
    <t>SPAN, Port Mirroring</t>
  </si>
  <si>
    <t>TapAgg</t>
  </si>
  <si>
    <t>TAP Aggregation, TapAgg, DANZ Monitoring Fabric, DMF</t>
  </si>
  <si>
    <t>AEM - CLI Scheduler</t>
  </si>
  <si>
    <t>troubleshooting, cli scheduler, advacned Event manager, AEM</t>
  </si>
  <si>
    <t>Advanced Event Management (AEM)</t>
  </si>
  <si>
    <t>AEM - Event Monitor</t>
  </si>
  <si>
    <t>troubleshooting, event monitor, advacned Event manager, AEM</t>
  </si>
  <si>
    <t>AEM - Event Manager</t>
  </si>
  <si>
    <t>troubleshooting, event manager, advacned Event manager, AEM</t>
  </si>
  <si>
    <t>Lab - AEM</t>
  </si>
  <si>
    <t>System and Software Troubleshooting</t>
  </si>
  <si>
    <t xml:space="preserve">high memory issues, system reloads, top, show reload cause full, SEU error, Single event upset, SCD, System Control Device, kernel panic, watchdog, Reload reason Unknown, Aboot, system power events, PSU failure, Line card failure, fabric module failure, </t>
  </si>
  <si>
    <t xml:space="preserve">Troubleshooting EOS Hardware and Software </t>
  </si>
  <si>
    <t>SFP and Physical Errors</t>
  </si>
  <si>
    <t xml:space="preserve">Physical Link errors, layer 1 errors, counters errors, optical troubleshooting, cut through, store and forward, Link troubleshooting, interface flap, interface is down, interface not linking up errors, speed troubleshooting, duplex troubleshooting, speed group, transceiver light levels, errdisabled, error disable, error coding, Forward error correction, FEC, </t>
  </si>
  <si>
    <t>Arista EOS Health Checks - CLI and CVP</t>
  </si>
  <si>
    <t xml:space="preserve">health checks, CLI Health checks, CVP Health checks, CVP Device Overview, CVP Timeline, CVP system processes, CVP System log messages, CVP Hardware capacity, CVP Address Search, CVP Device Events, CVP Snapshots, </t>
  </si>
  <si>
    <t>Hardware Troubleshooting</t>
  </si>
  <si>
    <t xml:space="preserve">hardware troubleshooting, LED indicators, Hardware Drop Counter Alert, Reassembly Error, Frame Check Sequence, FCS, counters errors, DeqDeletePktCnt, Deqdelete, ingress queue delay, queue credits, </t>
  </si>
  <si>
    <t>Memory and Flash Errors</t>
  </si>
  <si>
    <t xml:space="preserve">Parity errors, CRC errors, ECC errors, bit flip, single event upset, show pci, flash errors, login errors, space errors, agent errors, agent crashes, </t>
  </si>
  <si>
    <t>Tcpdump and Iperf</t>
  </si>
  <si>
    <t xml:space="preserve">tcpdump, iperf, packet sniffer, Iperf Server, Iperf client, </t>
  </si>
  <si>
    <t>Installing Extensions</t>
  </si>
  <si>
    <t xml:space="preserve">Extensions, install extensions, boot-extensions, swix files, software image extensions, rpm packages, </t>
  </si>
  <si>
    <t>Recovery Procedures</t>
  </si>
  <si>
    <t>reset enable password, eos recovery</t>
  </si>
  <si>
    <t>Debugging Layer2 with CLI</t>
  </si>
  <si>
    <t>layer 2 troubleshooting, L2 troubleshooting, LACP Troubleshooting, MLAG Troubleshooting, ARP Troubleshooting, trunk troublebooting, troubleshooting vlans, trunk group</t>
  </si>
  <si>
    <t>Troubleshooting L2 Networks</t>
  </si>
  <si>
    <t>Debugging Layer2 with CVP</t>
  </si>
  <si>
    <t>layer 2 troubleshooting, L2 troubleshooting, CVP, Device Details, Endpoint Search, Device Comparison, snapshots, CVP Topology, cloudvision, switching information</t>
  </si>
  <si>
    <t>Debugging Layer 3 with CVP</t>
  </si>
  <si>
    <t xml:space="preserve">layer 3 troubleshooting, L3 troubleshooting, CVP topology, cvp flow, sflow configuration, CVP sflow, traffic flows, l3 reachability issues, packet loss, packetl loss events, CVP Dashboards, IPv4 Routing Table, CVP Timeline, CVP Comparison, </t>
  </si>
  <si>
    <t>Troubleshooting L3 Networks</t>
  </si>
  <si>
    <t>Troubleshoot VXLAN Intermittent Connectivity with CLI</t>
  </si>
  <si>
    <t>layer 3 troubleshooting, VXLAN, VXLAN Troubleshooting, CLI, Debug, intermittent VXLAN, monitor session, tcpdump, Debugging VXLAN, VXLAN Interface, VTI, VNI, Flood List, VTEP, VXLAN Tunnel Endpoints, VLAN to VNI Mapping, HER, Head End Replication, VXLAN Address table, VXLAN Config sanity, MLAG Config sanity</t>
  </si>
  <si>
    <t>Troubleshooting VXLAN Networks</t>
  </si>
  <si>
    <t>Troubleshoot VXLAN MAC Address Flapping with CLI</t>
  </si>
  <si>
    <t>layer 3 troubleshooting, VXLAN, VXLAN Troubleshooting, CLI, Debug, MAC Flaps, VTI, VXLAN Tunnel Interface, VXLAN Address table,VTEP, VXLAN Tunnel Endpoint, curl, Event Monitor, Flood list, MAC Address Table, HER, VXLAN Config sanity, mlag config sanity</t>
  </si>
  <si>
    <t>Troubleshoot Excessive Flooding in VXLAN Routing with CLI</t>
  </si>
  <si>
    <t xml:space="preserve">layer 3 troubleshooting, VXLAN, VXLAN Troubleshooting, VXLAN Routing, ip address virtual, Virtual MAC, Troubleshoot VXLAN Routing, monitor session, tcpdump, VXLAN Tunnel Endpoint, VTEP, hardware tcam profile, VXLAN Flood list, Remote MAC Learning, show interface vxlan 1, MAC Address Table, L3 VTEPs, Layer 3 VTEPS, Asymmetric Routing, ARP Request, ARP Reply, MAC Address Learning, mac address table aging timeout, arp aging timeout, </t>
  </si>
  <si>
    <t>Troubleshoot Excessive Flooding in VXLAN Routing with CVP</t>
  </si>
  <si>
    <t xml:space="preserve">layer 3 troubleshooting, VXLAN, VXLAN Troubleshooting, VXLAN Routing, CVP, CloudVision, interface rates, packet capture, Troubleshoot VXLAN Routing with CVP, Excessive Flooding, Endpoint Search, Device Compare, </t>
  </si>
  <si>
    <t>Troubleshoot Fragmentation in VXLAN Routing with CLI</t>
  </si>
  <si>
    <t>layer 3 troubleshooting, VXLAN, VXLAN Troubleshooting, VXLAN Routing, Virtual VTEP, PCAP, VXLAN Packet Captures, MTU, tcpdump, fragmentation, Kernel IP Counters</t>
  </si>
  <si>
    <t>Troubleshoot Fragmentation in VXLAN Routing with CVP</t>
  </si>
  <si>
    <t xml:space="preserve">layer 3 troubleshooting, VXLAN, VXLAN Troubleshooting, VXLAN Routing, Virtual VTEP, PCAP, VXLAN Packet Captures, MTU, tcpdump, fragmentation, Kernel IP Counters, CloudVision, CVP, flows, sFlows, Topology, Events, MTU Constraint Violation, Interface MTU Constraint Violation, Change Control, </t>
  </si>
  <si>
    <t>Troubleshoot Virtual MAC Flapping in VXLAN Routing with CLI</t>
  </si>
  <si>
    <t xml:space="preserve">layer 3 troubleshooting, VXLAN, VXLAN Troubleshooting, VXLAN Routing, ARP,  VXLAN Address Table, VTEP, monitor session, tcpdump, virtual router address, </t>
  </si>
  <si>
    <t>Troubleshoot MAC-VRF overlapping in EVPN-VXLAN with CLI</t>
  </si>
  <si>
    <t>Layer 3 troubleshooting, EVPN, VXLAN, EVPN Troubleshooting, VXLAN Troubleshooting, MAC-VRF, NVO, EVI, EVPN Instance, Route Distinguisher, Route Target, EVPN Service models, VLAN Based, VLAN AWARE Bundle, Route type 2, MAC-IP, Route type 3, IMET, show bgp evpn sanity detail, MLAG, iBGP</t>
  </si>
  <si>
    <t>Troubleshooting eVPN-VXLAN Networks</t>
  </si>
  <si>
    <t>Troubleshoot IBGP Peering between MLAG Peers in eVPN-VXLAN with CLI</t>
  </si>
  <si>
    <t xml:space="preserve">Layer 3 troubleshooting, EVPN, VXLAN, EVPN Troubleshooting, VXLAN Troubleshooting, Traffic Loss, monitor session, tcpdump, flood list, VXLAN Counters, </t>
  </si>
  <si>
    <t>Troubleshoot MAC Flapping in EVPN-VXLAN with CLI</t>
  </si>
  <si>
    <t xml:space="preserve">Layer 3 troubleshooting, EVPN, VXLAN, EVPN Troubleshooting, VXLAN Troubleshooting, Traffic Loss, intermittent packet loss, event monitor, host-flap, Suppressed duplicate MAC Recovery, L2EVPN General checks, </t>
  </si>
  <si>
    <t>Troubleshoot Pruned VLANs and Shared MLAG MAC in VXLAN-EVPN with CLI</t>
  </si>
  <si>
    <t>layer 3 troubleshooting, EVPN, Packet loss, Asymmetric IRB, Integrated Routing and Bridging, symmetric IRB, ip address virtual, VMI, Route target, VRF, MAC-VRF, tcpdump, monitor session, Mac-ip, route type 2, virtual router encapsulation,</t>
  </si>
  <si>
    <t>Troubleshoot Centralized Routing model issues in VLXAN-EVPN</t>
  </si>
  <si>
    <t>layer 3 troubleshooting, EVPN, Packet loss, VXLAN, centralized routing, CVP, CloudVision, Events, Output discards, TX Error, RX Error, LANZ, Latency Analyzer, Queue Drops, Traffic Flows, queue monitor length, tcpdump, monitor session, route type 2, mac-ip, secondary ip address, Virtual VTEP IP</t>
  </si>
  <si>
    <t>Troubleshoot Connectivity issue in EVPN Multihoming environment</t>
  </si>
  <si>
    <t>layer 3 troubleshooting, EVPN, VXLAN, Ethernet segments, all-active multihoming, Route type 5, IP Prefix Routes, ESI, Ethernet segment identifier, Type 1 Auto Discovery, AD Routes, EVI, EVPN Instance, EVI Route, mass withdrawal, Aliasing, EVPN Active-Active MAC Aliasing, Type 4 Ethernet Segment, Type 4 Route, tcpdump, route type 2, mac-ip, Flood lists, VNI, DF, Designated Forwarder, show bop evpn sanity detail, MAC-VRF Redistribution, VRF, router Mac, prefix list, route map,</t>
  </si>
  <si>
    <t>Troubleshoot Configlets with CVP</t>
  </si>
  <si>
    <t>CloudVision, CVP, Troubleshooting, SNMP, Configlets, Designed Configuration, Running Configuration, Tasks, Change Control, Config out of compliance, Compliance, Compliance Overview, Configuration Compliance, Software Compliance, End of Life, Mismatched Lines, New Lines, Reconcile, Reconcile this line, Compare Configs</t>
  </si>
  <si>
    <t>Troubleshooting Networks with CVP</t>
  </si>
  <si>
    <t>Troubleshoot Interfaces and Links with CVP</t>
  </si>
  <si>
    <t>CVP Device Overview, Device Interfaces, Interface Overview, SFP, links, transcievers, optics</t>
  </si>
  <si>
    <t>Troubleshoot Layer 1 errors with CVP</t>
  </si>
  <si>
    <t>Layer 1 Errors, L1 Errors, Input errors, traffic counters, SFP, QSFP, Cables, Ports, FCS Errors, FCS error rate, error counters, traffic rates</t>
  </si>
  <si>
    <t>Troubleshoot Config issues and Comparison with CVP</t>
  </si>
  <si>
    <t>CloudVision, CVP, Troubleshooting, comparison, config issues, Time comparison, Device Comparison, LLDP Neighbors, Vxlan config sanity check, vxlan configuration error. mlag config sanity</t>
  </si>
  <si>
    <t>Troubleshoot BGP with CVP</t>
  </si>
  <si>
    <t xml:space="preserve">CloudVision, CVP, Troubleshooting, BGP, troubleshoot BGP, Border Gateway Protocol, Monitoring BGP, BGP syslogs, BGP Traffic flows, BGP heatmap, BGP Charts, Traffic flows, flow tracking data, BGP summary table, BGP Flow records, sflow, Enable Traffic Flow Tracking, Topology, Flow tracking data, BGP flow, Traffic Flows Animation, </t>
  </si>
  <si>
    <t>Troubleshoot BFD with CVP</t>
  </si>
  <si>
    <t>CloudVision, CVP, Troubleshooting, BFD, Bidirectional forward detection, Troubleshoot BFD, Snapshots, show bfd peers, show bfd peers detail, show bfd peers history, BFD flows, Flow Tracking Data, Monitoring BFD, BFD Counters,  BFD sylogs</t>
  </si>
  <si>
    <t>Troubleshoot Asymmetric Routing with CVP</t>
  </si>
  <si>
    <t xml:space="preserve">CloudVision, CVP, Troubleshooting, Asymmetric Routing, VXLAN, EVPN, BGP, L3, Layer 3, sFlow, ICMP, </t>
  </si>
  <si>
    <t>Troubleshoot Overutilized Links with CVP</t>
  </si>
  <si>
    <t>CloudVision, CVP, Troubleshooting, Link Utilization, sFlow, Flows, Traffic Flows, Flow Animation, RX Traffic Rate, RX Error Counters, TX Traffic Rate, TX Error Counters, Traffic Rates, Error Counters, LANZ, Latency Analyzer, Dashboards, Hardware Capacity</t>
  </si>
  <si>
    <t>Access Control Settings with CVP</t>
  </si>
  <si>
    <t>CloudVision, CVP, Troubleshooting, access control, authentication, authorization, accounting, users, Roles, RADIUS, TACACAS, Device Authentication, Device Authorization, AAA</t>
  </si>
  <si>
    <t>Configuring Automated Notifications and Custom Events With CVP</t>
  </si>
  <si>
    <t>CloudVision, CVP, Troubleshooting, Events, Notifications, SMTP, Simple Mail Transfer Protocol, SMTP Encryption, Event Notification, Sender Address, SMTP Username, SMTP Password, Messaging Services, Notification Rules, Notification Receivers, Google chat Notification, webhooks, Custom Syslog Event, Syslog Facility, Syslog Severetiy, Syslog Mnemonic, Event Options, Custom Events</t>
  </si>
  <si>
    <t>Topic Overview and Scenarios</t>
  </si>
  <si>
    <t>EVPN, Ethernet VPN, VxLAN, L3LS, EVPN with Multicast, OISM, Optimized Intersubnet multicast</t>
  </si>
  <si>
    <t>Q4 '25</t>
  </si>
  <si>
    <t>Multi-Tenant Multicast with eVPN OISM</t>
  </si>
  <si>
    <t>VTEP Multicast Support and BULL Traffic</t>
  </si>
  <si>
    <t>EVPN, Ethernet VPN, VxLAN, L3LS, EVPN with Multicast, OISM, Multicast Route Types, BULL Traffic, Type 3 IMET Route, PMSI Attribute, SBD, Supplementary Bridge Domain, Multicast Flags, IGMP Proxy</t>
  </si>
  <si>
    <t>IGMP Querier Placement and Flooding</t>
  </si>
  <si>
    <t>EVPN, Ethernet VPN, VxLAN, L3LS, EVPN with Multicast, IGMP Querier, Distributed IGMP Querier, Route Type 6, Selective Multicast Ethernet Tag, SMET, SMET Flags</t>
  </si>
  <si>
    <t>Distributed Multicast DR and SBD</t>
  </si>
  <si>
    <t>EVPN, Ethernet VPN, VxLAN, L3LS, EVPN with Multicast, Designated Forwarder, Distributed multicast DR, Supplementary Bridge Domain</t>
  </si>
  <si>
    <t>Demo - Multicast with eVPN OISM</t>
  </si>
  <si>
    <t>EVPN, Ethernet VPN, VxLAN, L3LS, EVPN with Multicast, VRF Aware Routed multicast, Route Type 3, Route Type 6, IGMP Proxy, Route Type 7, Route type 8, OISM, SBD, Supplementary Bridge Domain, Designated Forwarder</t>
  </si>
  <si>
    <t>eVPN Multicast Solution Overview</t>
  </si>
  <si>
    <t>EVPN, Ethernet VPN, VxLAN, L3LS, EVPN with Multicast, VRF aware Multicast, Optimized Multicast Routing, Why eVPN Multicast</t>
  </si>
  <si>
    <t>EVPN OISM Deep Dive</t>
  </si>
  <si>
    <t>eVPN Multicast Control and Forwarding Plane</t>
  </si>
  <si>
    <t>EVPN, Ethernet VPN, VxLAN, L3LS, EVPN with Multicast, VRF aware Multicast, Optimized Multicast Routing, Why eVPN Multicast, PIM-SSM Underlay, eVPN Multicast Transport Models, Multicast Ingress Replication, Multicast Assisted Replication, Multicast PIM Transport, OISM, Optimized Inter Subnet Multicast, Route Type 10, Selective PSMSI, IGMP Proxy</t>
  </si>
  <si>
    <t>eVPN OISM with PIM Transport Part 2</t>
  </si>
  <si>
    <t>EVPN, Ethernet VPN, VxLAN, L3LS, EVPN with Multicast, OISM, Route Type 10, Underlay PIM Multicast, Underlay PIM Joins, Route Type 6, SMET, IGMP Proxy, eVPN Multicast Doman, PIM SSM, SBD, Supplementary Bridge Domain</t>
  </si>
  <si>
    <t>eVPN Mulitcast with External PIM Domain</t>
  </si>
  <si>
    <t>EVPN, Ethernet VPN, VxLAN, L3LS, EVPN with Multicast, OISM, Route Type 10, Underlay PIM Multicast, Underlay PIM Joins, Route Type 6, SMET, IGMP Proxy, eVPN Multicast Doman, PIM SSM, SBD, Supplementary Bridge Domain, PIM Edge Gateway, PEG, eVPN Multicast wtih External PIM Domain, PEG DR, PEG DR Candidates, PEG Flag, HRW, Highest Random Weight Algorithm</t>
  </si>
  <si>
    <t>Topic Overview and Agenda</t>
  </si>
  <si>
    <t>EVPN, Ethernet VPN, VxLAN, L3LS, EVPN with Multicast, OISM, Optimized Intersubnet multicast, OISM-GW, Multicast Transport Models, RFC 9625</t>
  </si>
  <si>
    <t>Advanced Deployment Models with eVPN OISM</t>
  </si>
  <si>
    <t>Arista Cognitive Campus Network Overview</t>
  </si>
  <si>
    <t>Cognitive Campus, Cognitive Wi-Fi, CloudVision, Zero Trust</t>
  </si>
  <si>
    <t>Arista Cognitive Campus Network</t>
  </si>
  <si>
    <t>Campus Fabric Architecture</t>
  </si>
  <si>
    <t>Campus Fabric Architecture, Leaf-Spine, Campus Pod, Access Pod, Spine, Leaf, Member Leaf</t>
  </si>
  <si>
    <t>Arista Campus Architecture Overview</t>
  </si>
  <si>
    <t>Campus Network Design Options</t>
  </si>
  <si>
    <t>Network Design, Campus, Campus Design</t>
  </si>
  <si>
    <t>Arista Campus Design</t>
  </si>
  <si>
    <t>Design 1- L2LS with External Gateway</t>
  </si>
  <si>
    <t>L2LS, L2LS Campus Design, External Gateway</t>
  </si>
  <si>
    <t>Design 2- L2LS</t>
  </si>
  <si>
    <t>L2LS L2LS Campus Design</t>
  </si>
  <si>
    <t>Design 3- L2LS with VXLAN-EVPN</t>
  </si>
  <si>
    <t>L2LS, L2LS Campus Design, VXLAN, EVPN</t>
  </si>
  <si>
    <t>Design 4- L3LS</t>
  </si>
  <si>
    <t>L3LS, L3LS Campus Design</t>
  </si>
  <si>
    <t>Design 5- L3LS with Borderleafs</t>
  </si>
  <si>
    <t>L3LS, L3LS Campus Design, L3LS with Border Leaf</t>
  </si>
  <si>
    <t>Design 6- L3LS with VXLAN-EVPN</t>
  </si>
  <si>
    <t>L3LS, L3LS Campus Design, VXLAN, EVPN</t>
  </si>
  <si>
    <t>Design 7- L3LS with VXLAN-EVPN and Borderleafs</t>
  </si>
  <si>
    <t>L3LS, L3LS Campus Design, L3LS Campus Design with Borderleafs, VXLAN, EVPN</t>
  </si>
  <si>
    <t>Cognitive PoE</t>
  </si>
  <si>
    <t>PoE, Cognitive PoE, Power Over Ethernet, Conitinuous PoE, Concurrent PoE, Dynamic PoE</t>
  </si>
  <si>
    <t>Arista Resiliency Solutions</t>
  </si>
  <si>
    <t>Stateful Switchover (SSO)</t>
  </si>
  <si>
    <t>SSO, Stateful Switchover, Supervisor Redundancy</t>
  </si>
  <si>
    <t>Smart System Upgrades (SSU)</t>
  </si>
  <si>
    <t>SSU, Smart System Upgrade, Accelerated Software Upgrade</t>
  </si>
  <si>
    <t>SWAG Overview</t>
  </si>
  <si>
    <t>Stacking, SWAG, Switch Aggregation Group, LSS, Leaf Switch Stack Management, SWAG Benefits</t>
  </si>
  <si>
    <t>Arista Stacking</t>
  </si>
  <si>
    <t>MLAG vs SWAG</t>
  </si>
  <si>
    <t>Stacking, SWAG, Switch Aggregation Group, MLAG vs SWAG</t>
  </si>
  <si>
    <t>SWAG Provisioning</t>
  </si>
  <si>
    <t>Configuring Sub Interfaces</t>
  </si>
  <si>
    <t>L2LS,sub-interfaces,VLANs,inter-VLAN communication,Inter-VLAN Routing</t>
  </si>
  <si>
    <t>Configuring SVIs</t>
  </si>
  <si>
    <t>L2LS,switch virtual interfaces,VLANs,inter-VLAN communication,SVI,Inter-VLAN Routing</t>
  </si>
  <si>
    <t>Lab - Configuring VLANs</t>
  </si>
  <si>
    <t>VLANs and Inter-VLAN Routing</t>
  </si>
  <si>
    <t xml:space="preserve">Lab - Configuring MSTP </t>
  </si>
  <si>
    <t>Troubleshooting MLAG</t>
  </si>
  <si>
    <t>Arista MLAG Troubleshooting,MLAG Commands Arista,Arista MLAG Diagnostics,MLAG Configuration Issues, MLAG Peer Inactive Issue,MLAG Network Issues, MLAG Config sanity</t>
  </si>
  <si>
    <t>Lab - Configuring VARP</t>
  </si>
  <si>
    <t>FHRP</t>
  </si>
  <si>
    <t>L2LS Campus Design and Topology Overview</t>
  </si>
  <si>
    <t>Arista L2LS, Leaf SpineArchitecture, Clos Topology,Modern Campus, L2LS Campus,Non Blocking Architecture,High Availability Design, Active Active Connectivity, Dual Homed Servers,Data Center Design, Designing, MLAG Bowtie, MLAG</t>
  </si>
  <si>
    <t>Build L2LS Campus Network Using CVP Configlets</t>
  </si>
  <si>
    <t>Configuring L2LS Campus with CVP Configlets</t>
  </si>
  <si>
    <t>L2LS, CVP, CloudVision, CVaaS, CloudVision as a Service, Configlets, Configure L2LS, Configure MLAG, Configure VLANs, Configure STP, L2LS Campus</t>
  </si>
  <si>
    <t>Onboarding Devices to Studios</t>
  </si>
  <si>
    <t xml:space="preserve">CVP, CloudVision, CVaaS, CloudVision as a Service, Studios, Workspaces, Inventory and Topology Studio, L2LS DC Network, L2LS Campus, Campus Fabric (L2/L3/eVPN) </t>
  </si>
  <si>
    <t>Build L2LS Campus Network Using CVP Studios</t>
  </si>
  <si>
    <t>Configure L2LS Network Using Studios</t>
  </si>
  <si>
    <t>CVP, CloudVision, CVaaS, CloudVision as a Service, Studios, Workspaces, Inventory and Topology Studio, L2LS DC Network, L2LS Campus, Campus Fabric (L2/L3/eVPN)</t>
  </si>
  <si>
    <t>Configure Access Interfaces</t>
  </si>
  <si>
    <t>CVP, CloudVision, CVaaS, CloudVision as a Service, Studios, Workspaces, Inventory and Topology Studio, L2LS DC Network, L2LS Campus, Campus Fabric (L2/L3/eVPN), Access Interfaces Studios, Interface Profiles</t>
  </si>
  <si>
    <t>Submit Workspace and Execute Change Control</t>
  </si>
  <si>
    <t>CVP, CloudVision, CVaaS, CloudVision as a Service, Studios, Workspaces, Inventory and Topology Studio, L2LS DC Network, L2LS Campus, Campus Fabric (L2/L3/eVPN), Access Interfaces Studios, Interface Profiles, Change Control</t>
  </si>
  <si>
    <t>Introduction to L3LS Design</t>
  </si>
  <si>
    <t>universal cloud network, UCN, L3LS, L3LS Design, layer 3 leaf spine, ethernet, routing, underlay, l3ls addressing, l3ls cabling</t>
  </si>
  <si>
    <t>VXLAN and EVPN Importance in L3LS Design</t>
  </si>
  <si>
    <t>universal cloud network, UCN, L3LS, L3LS Design, layer 3 leaf spine, ethernet, overlay, VXLAN, eVPN, MP-BGP</t>
  </si>
  <si>
    <t>Why use a BGP Underlay in L3LS Design?</t>
  </si>
  <si>
    <t>BGP Route Advertisement</t>
  </si>
  <si>
    <t>universal cloud network, UCN, L3LS, L3LS Design, layer 3 leaf spine, ethernet, undelay, bgp, bgp updates, synchronization rule, bgp network, bgp redistribution, bgp route maps</t>
  </si>
  <si>
    <t>[Need Review] BGP with MLAG</t>
  </si>
  <si>
    <t/>
  </si>
  <si>
    <t>Variations of BGP in L3LS</t>
  </si>
  <si>
    <t>universal cloud network, UCN, L3LS, L3LS Design, layer 3 leaf spine, ethernet, undelay, bgp, ibgp, ibgp design, route reflector, RR</t>
  </si>
  <si>
    <t>Lab - L3LS Campus Underlay with eBGP</t>
  </si>
  <si>
    <t>VxLAN Multicast Control Plane</t>
  </si>
  <si>
    <t>Overlay, VXLAN, Virtual Extensible LAN, VXLAN Control Plane, VXLAN with Multicast, VXLAN Multicast Control Plane, VXLAN BUM Traffic with Multicast, VTEP, ARP in VXLAN Multicast</t>
  </si>
  <si>
    <t>eVPN Route Type 3 (IMET)</t>
  </si>
  <si>
    <t>Ethernet VPN, eVPN, Route Type 3, IMET, Inclusive Multicast Ethernet Tag</t>
  </si>
  <si>
    <t>Lab - L2EVPN</t>
  </si>
  <si>
    <t>VLAN Based Service Interface</t>
  </si>
  <si>
    <t>Ethernet VPN, EVPN, EVPN Service Models, VLAN Based, VLAN Bundle, VLAN Aware Bundle, MAC VRF, Route Type 2, BGP EVPN</t>
  </si>
  <si>
    <t>VLAN Aware Bundle Service Interface</t>
  </si>
  <si>
    <t>VLAN Aware Bundle, EVPN, Route Type 2, MAC VRF, BGP EVPN, VLAN Stretching, VLAN to VRF Mapping</t>
  </si>
  <si>
    <t>Symmetric IRB vs Asymmetric IRB</t>
  </si>
  <si>
    <t>eVPN IRB, Integrated Routing and Bridging, IRB, Symmetric IRB, Symmetric Integrated Routing and Bridging, Asymmetric IRB, Asymmetric Integrated Routing and Bridging</t>
  </si>
  <si>
    <t>Configuring L3LS Campus with CVP Studios.</t>
  </si>
  <si>
    <t>CVP, CloudVision, CVaaS, CloudVision as a Service, Studios, Workspaces, Inventory and Topology Studio, L3L3 Campus Network, Campus Fabric (L2/L3/eVPN), Change Contorl</t>
  </si>
  <si>
    <t>Build L3LS Campus Network Using CVP Studios</t>
  </si>
  <si>
    <t>Configuring L3LS Campus with VxLAN and EVPN Using Studios</t>
  </si>
  <si>
    <t>CVP, CloudVision, CVaaS, CloudVision as a Service, Studios, Workspaces, Inventory and Topology Studio, L3L3 Campus Network, Campus Fabric (L2/L3/eVPN), Change Contorl, L3LS with EVPN, L3LS with VXLAN, Campus EVPN, Campus VXLAN</t>
  </si>
  <si>
    <t>Lab - Deploying L3LS Campus with VXLAN and eVPN Using Studios</t>
  </si>
  <si>
    <t>Approaches to Network Automation</t>
  </si>
  <si>
    <t>Approaches to Network Automation, D.I.Y, Do It yourself, DevOps, Turnkey, CVP, CloudVision</t>
  </si>
  <si>
    <t>CloudVision Deployment Options</t>
  </si>
  <si>
    <t>CVaaS Initial Onboarding</t>
  </si>
  <si>
    <t>CVP, CloudVision, CVaaS, CloudVision as a Service, CVaaS onboarding</t>
  </si>
  <si>
    <t>Upgrading CVP</t>
  </si>
  <si>
    <t xml:space="preserve">CVP, CloudVision, CVP Upgrade, Upgrading CloudVision, CVP Upgrade Path, CVP Release Notes, CVP Active Realeses, CVP Upgrade Checklist, CVP Upgrade Prerequisutes, CVP Space Recovery, </t>
  </si>
  <si>
    <t>Lab - Configlet Management</t>
  </si>
  <si>
    <t>Redesigned Change Control UI</t>
  </si>
  <si>
    <t>Replacing a Device using ZTR</t>
  </si>
  <si>
    <t>Deploy Campus Fabric with Day 0 workflow</t>
  </si>
  <si>
    <t>Campus, Cognitive Campus, Campus Wired, Campus Workflows, Network Hierarchy, CVP, CloudVision, CVaaS</t>
  </si>
  <si>
    <t>Campus Workflows with CVP</t>
  </si>
  <si>
    <t>Authentication Studio</t>
  </si>
  <si>
    <t>Studios, Authentication Studio, CVP, CloudVision, CVaaS</t>
  </si>
  <si>
    <t>Mirroring Studio</t>
  </si>
  <si>
    <t xml:space="preserve">Studios, CVP, CloudVision, CVaaS, CloudVision as a Service, Mirroring Studio, Port Mirroring, Mirror Session, SPAN, GRE SPAN, Switch Port Analayzer, DMF, Workspace, Tunnel Destination Profiles, SPAN Interfaces, </t>
  </si>
  <si>
    <t>Lab - Static Configuration Studio</t>
  </si>
  <si>
    <t>Managing L2LS Campus Gateway Connectivity with CVP Studios</t>
  </si>
  <si>
    <t>CVP, CloudVision, CVaaS, CloudVision as a Service, Studios, Workspaces, Inventory and Topology Studio, L2LS Campus, Campus Fabric (L2/L3/eVPN), , Change Control, External Gateway, Campsu Egress, Egress Interface</t>
  </si>
  <si>
    <t>Q3 '25</t>
  </si>
  <si>
    <t>Operating L2LS Campus Network with CVP Studios</t>
  </si>
  <si>
    <t>Add a New VLAN to L2LS Campus</t>
  </si>
  <si>
    <t>CVP, CloudVision, CVaaS, CloudVision as a Service, Studios, Workspaces, Inventory and Topology Studio, L2LS Network, L2LS Campus, Campus Fabric (L2/L3/eVPN), Day 2 Operation, Adding a VLAN</t>
  </si>
  <si>
    <t>Modifying VLAN Settings in L2LS Campus</t>
  </si>
  <si>
    <t>CVP, CloudVision, CVaaS, CloudVision as a Service, Studios, Workspaces, L2LS Network, L2LS Campus, Campus Fabric (L2/L3/eVPN), Day 2 Operation, Modify VLAN Settings</t>
  </si>
  <si>
    <t>Lab - Deploying L2 Campus with Studios</t>
  </si>
  <si>
    <t>CloudVision Campus Dashboard Overview</t>
  </si>
  <si>
    <t>Campus, Cognitive Campus, CVP, CloudVision, CVaaS, Campus Health Dashboard</t>
  </si>
  <si>
    <t>Campus Zero Touch Operations</t>
  </si>
  <si>
    <t>CloudVision Campus Day 1 - Onboarding</t>
  </si>
  <si>
    <t>Campus, Cognitive Campus, CVP, CloudVision, CVaaS, Campus Health Overview, Campus Dashboard, Quick Actions, Add Campus Devices</t>
  </si>
  <si>
    <t>CloudVision Campus Day 2 - Provisioning and Diagnostics</t>
  </si>
  <si>
    <t>Campus, Cognitive Campus, CVP, CloudVision, CVaaS, Campus Health Overview, Campus Dashboard, Quick Actions, Access interface Configuration, Interface Diagonostics</t>
  </si>
  <si>
    <t>CloudVision Endpoint Analyzer</t>
  </si>
  <si>
    <t>Campus, Cognitive Campus, CVP, CloudVision, CVaaS, Endpoint Analyzer, Endpoint overview</t>
  </si>
  <si>
    <t>Lab - Day 2 Operations with L2 Campus Studios</t>
  </si>
  <si>
    <t>Adding New Access Pods to L3LS Campus</t>
  </si>
  <si>
    <t>CVP, CloudVision, CVaaS, CloudVision as a Service, Studios, Workspaces, Inventory and Topology Studio, L3L3 Campus Network, Campus Fabric (L2/L3/eVPN), Change Control, Add Access Pod , New Access Pod</t>
  </si>
  <si>
    <t>Operating L3LS Campus Network with CVP Studios</t>
  </si>
  <si>
    <t>Add New VLANs to L3LS Campus</t>
  </si>
  <si>
    <t>CVP, CloudVision, CVaaS, CloudVision as a Service, Studios, Workspaces, Inventory and Topology Studio, L3L3 Campus Network, Campus Fabric (L2/L3/eVPN), Change Control, Add New VLAN, Add New L2VNI, Add L2VNI Campus, L2eVPN, L3eVPN</t>
  </si>
  <si>
    <t>Modifying VRF and VLAN Settings for L3LS Campus</t>
  </si>
  <si>
    <t>CVP, CloudVision, CVaaS, CloudVision as a Service, Studios, Workspaces, Inventory and Topology Studio, L3L3 Campus Network, Campus Fabric (L2/L3/eVPN), Change Control, Modify L3LS Campus VLAN, Modify L3LS Campus VRF, VLAN Settings, VRF Settings</t>
  </si>
  <si>
    <t>Changing Underlay Protocol in L3LS Campus</t>
  </si>
  <si>
    <t>CVP, CloudVision, CVaaS, CloudVision as a Service, Studios, Workspaces, Inventory and Topology Studio, L3L3 Campus Network, Campus Fabric (L2/L3/eVPN), Change Control, Modify L3LS Campus, Change Underlay Protocol, OSPF to BGP</t>
  </si>
  <si>
    <t>Connecting New Hosts to L3LS Campus</t>
  </si>
  <si>
    <t>CVP, CloudVision, CVaaS, CloudVision as a Service, Studios, Workspaces, Inventory and Topology Studio, L3L3 Campus Network, Campus Fabric (L2/L3/eVPN), Change Control, Modify L3LS Campus, Connecting New Host, Interface Profile, Access interface Configuration</t>
  </si>
  <si>
    <t>Network Hierarchy</t>
  </si>
  <si>
    <t>CVP, CloudVision, CVaaS, CloudVision as a Service, Network Hierarchy, Campus, Interface profiles, Run Diagnostics</t>
  </si>
  <si>
    <t>Lab - Monitoring Campus with Network Hierarchy</t>
  </si>
  <si>
    <t>CVP, CloudVision, CVaaS, CloudVision as a Service, Dashobards</t>
  </si>
  <si>
    <t>Syslog Filters Dashboard</t>
  </si>
  <si>
    <t xml:space="preserve">CVP, CloudVision, CVaaS, CloudVision as a Service, Syslog Filters, Dashboard, Syslog Filters Dashboard Group, </t>
  </si>
  <si>
    <t>Event Groups</t>
  </si>
  <si>
    <t>CVP, CloudVision, CVaaS, CloudVision as a Service, Events, Event Groups</t>
  </si>
  <si>
    <t>Understanding EOS Upgrades</t>
  </si>
  <si>
    <t>EOS, Upgrade, Reloads, Boot loader, Aboot</t>
  </si>
  <si>
    <t>MLAG Upgrade and Reload with CVP</t>
  </si>
  <si>
    <t xml:space="preserve">EOS, Upgrade, Reloads, MLAG, MultiChassis Link Aggregation, CVP, Change Controls, CloudVision, CVP, MLAG Health Check, Action, mlag detail, mlag config sanity, mlag issu warnings, action timeout, Action bundle, Templates, Tasks, MLAG Health Action Pack, Upgrade logs, </t>
  </si>
  <si>
    <t>Introduction to Network Automation</t>
  </si>
  <si>
    <t>Network Automation, Network Automation Introduction, What is Network Automation, Why Network Automation, Programmability,</t>
  </si>
  <si>
    <t>Video Format: Animated Slides</t>
  </si>
  <si>
    <t>Network Automation Fundamentals</t>
  </si>
  <si>
    <t>Software Development and Network Automation</t>
  </si>
  <si>
    <t>software development, CICD, Continous Integration, Continous Delivery, DevOps, Agile Development, network automation</t>
  </si>
  <si>
    <t>Core Principles of Network Automation</t>
  </si>
  <si>
    <t>Lab - Explore Lab Environment</t>
  </si>
  <si>
    <t>Automation Tools and Data Formats</t>
  </si>
  <si>
    <t xml:space="preserve">JSON, YAML, XML, structured data, unstructured data, </t>
  </si>
  <si>
    <t>Automation Tools Overview</t>
  </si>
  <si>
    <t>Programmability IDEs Overview</t>
  </si>
  <si>
    <t xml:space="preserve">IDE, Integrated Devleopment Environment, Visual studio code, </t>
  </si>
  <si>
    <t>Introduction to Visual Studio Code</t>
  </si>
  <si>
    <t>VS Code Development Environment</t>
  </si>
  <si>
    <t>VSCode Themes, Fonts, and Icons</t>
  </si>
  <si>
    <t>Automation, Visual Studio Code, IDE, Integrated Development Environment</t>
  </si>
  <si>
    <t>VSCode Extensions</t>
  </si>
  <si>
    <t>Automation, Visual Studio Code, IDE, Integrated Development Environment, Customize VSCode Layout</t>
  </si>
  <si>
    <t>VSCode Files, Folders and Workspaces</t>
  </si>
  <si>
    <t>Automation, Visual Studio Code, IDE, Integrated Development Environment, VSCode Extensions</t>
  </si>
  <si>
    <t>VSCode Deugger</t>
  </si>
  <si>
    <t>Automation, Visual Studio Code, IDE, Integrated Development Environment, VSCode Files, VSCode Folders, VSCode Workspace</t>
  </si>
  <si>
    <t>Reviewing VSCode</t>
  </si>
  <si>
    <t>Automation, Visual Studio Code, IDE, Integrated Development Environment, VSCode Debugger, Debugging Code</t>
  </si>
  <si>
    <t>Lab - Explore IDE</t>
  </si>
  <si>
    <t>Understanding Git Version Control</t>
  </si>
  <si>
    <t>Git, version control, git clone, git init, git commit, git push, Github, Gitlab</t>
  </si>
  <si>
    <t>Git Version Control</t>
  </si>
  <si>
    <t xml:space="preserve">Git Demo </t>
  </si>
  <si>
    <t xml:space="preserve">git add, git commit, git push, git clone, </t>
  </si>
  <si>
    <t>Github Demo</t>
  </si>
  <si>
    <t>github, git remote add origin,</t>
  </si>
  <si>
    <t>Lab - Working with Git</t>
  </si>
  <si>
    <t>Lab - Collaborate Using GitHub</t>
  </si>
  <si>
    <t>Why Python Matters for Network Automation</t>
  </si>
  <si>
    <t>Why Python Matters for Network Automation, python, network automation, python for network engineers, python basics, programming fundamentals, interpreted languages, compiled languages, automation scripting, python3, ansible python, netmiko, arista automation, automation foundation course, python vs other languages, python history</t>
  </si>
  <si>
    <t>Python Fundamentals</t>
  </si>
  <si>
    <t>Understanding Python Variables</t>
  </si>
  <si>
    <t>Python, Variables, Network Automation, Integers, Strings, Booleans, Lists, Dictionaries, Sets, Dynamic Typing, F-strings, Conditional Statements, Indexing, Data Structures</t>
  </si>
  <si>
    <t>Advanced Python Concepts</t>
  </si>
  <si>
    <t xml:space="preserve">Change Variable Types, Checking type, Python Functions, Python Methods, Python Code Blocks, Indentation, Python Loops, For Loops </t>
  </si>
  <si>
    <t>Working with Python Variables, Lists, and Dictionaries</t>
  </si>
  <si>
    <t>Python Variables and Data Structures for Network Automation, python variables, python data structures, python demo, network automation python, python for network engineers, python integers, python strings, python booleans, python lists, python dictionaries, nested dictionaries, python loops, python type function, yaml structures, ansible variables, python fundamentals</t>
  </si>
  <si>
    <t>Introduction to Python and eAPI</t>
  </si>
  <si>
    <t>EAPI, Python, CloudVision, JSON-RPC, PyeAPI library, Network Automation, Configuration Changes, EOS, Request Library, VXLAN, Onbox Automation, Offbox Automation, eAPI, EOS API</t>
  </si>
  <si>
    <t>Parsing JSON with Python</t>
  </si>
  <si>
    <t>Structured data, JSON, Parse Data, Python lists, Python dictionaries, Parse Data with Python</t>
  </si>
  <si>
    <t>Lab - Python Fundamentals</t>
  </si>
  <si>
    <t>Lab - Understanding Structured Data</t>
  </si>
  <si>
    <t>The History of HTTP and Its Role in Networking</t>
  </si>
  <si>
    <t>HTTP, HTTP/1.0, HTTP/1.1, HTTP/2, HTTP/3, HTTP Basics, HTTP History, TCP vs UDP, Multiplexing, gRPC, REST APIs, Network Automation, Arista EOS, CloudVision, Protocol Fundamentals</t>
  </si>
  <si>
    <t>Application Programmatic Interfaces - APIs</t>
  </si>
  <si>
    <t>Understanding HTTP Messages</t>
  </si>
  <si>
    <t xml:space="preserve">HTTP Messages, HTTP Protocol, Request Message, Response Message, HTTP Headers, Request Headers, Response Headers, Request Body, Response Body, Protocol Data Unit, HTTP/1.1, HTTP/2, Networking Fundamentals, Network Automation, APIs, HTP Status Codes, HTTP Request Methods, HTTP Cookies, Set-Cookie, Authentication tokens, </t>
  </si>
  <si>
    <t>HTTP Authentication</t>
  </si>
  <si>
    <t>HTTP Authentication, Basic Authentication, Token Authentication, Bearer Token, Authentication Header, API Security, Client Certificates, HTTPS, TLS Authentication, Username Password Auth, Service Tokens, CloudVision Authentication, Network Automation, REST APIs, gRPC, Arista EOS</t>
  </si>
  <si>
    <t>TLS and SSL Overview</t>
  </si>
  <si>
    <t>TLS, SSL, TLS vs SSL, TLS Overview, SSL Deprecation, HTTPS, Encrypted Communication, Modular Encryption, TLS in Networking, Arista EOS, CloudVision, Network Automation, Protocol Security</t>
  </si>
  <si>
    <t>Securing APIs with PKI</t>
  </si>
  <si>
    <t>TLS Certificates and Trust Chains</t>
  </si>
  <si>
    <t>TLS Certificates, Trust Chain, Public Key Infrastructure, Certificate Authority, Root Certificates, Intermediate Certificates, CSR, Self-Signed Certificates, Server Certificates, HTTPS, API Security, Arista EOS, CloudVision</t>
  </si>
  <si>
    <t>Why Use Certificates in Network Automation</t>
  </si>
  <si>
    <t>TLS, SSL, Certificates, Public Certificate Authority, Internal Certificate Authority, Self-Signed Certificate, TLS Trust, Root CA, API Security, eAPI, gNMI, RESTCONF, Network Automation, Arista EOS, CloudVision</t>
  </si>
  <si>
    <t>Client TLS Certificates for API Authentication</t>
  </si>
  <si>
    <t>TLS, SSL, Client Certificate, Certificate Authentication, OpenSSL, CSR, X.509, Root CA, gNMI, gRPC, HTTP2, eAPI, RESTCONF, Network Automation, Arista EOS, CloudVision, Certificate-Based Authentication, API Security, Streaming Telemetry</t>
  </si>
  <si>
    <t>Introduction to EchoAPI</t>
  </si>
  <si>
    <t>REST API, EchoAPI, API Basics, Client Server, HTTP, JSON, API Testing, Network Automation, Arista, Cisco, API Fundamentals</t>
  </si>
  <si>
    <t>Using REST API Clients</t>
  </si>
  <si>
    <t>REST API Client Requests and Responses</t>
  </si>
  <si>
    <t>REST API, API Requests, API Responses, HTTP Methods, JSON, Client Server, API Headers, Payload, Network Automation, API Communication</t>
  </si>
  <si>
    <t>HTTP Auth with REST API Client</t>
  </si>
  <si>
    <t>REST API, HTTP Authentication, Basic Auth, Token Auth, Bearer Token, API Security, TLS, SSL, Cookies, Authentication Methods, Network Automation</t>
  </si>
  <si>
    <t>REST API Client Scripts</t>
  </si>
  <si>
    <t>REST API, API Scripting, Python, Ansible, Curl, Automation, API Requests, JSON Parsing, Client Scripts, Network Automation</t>
  </si>
  <si>
    <t>Lab - Using REST API Clients</t>
  </si>
  <si>
    <t>Introduction to Ansible</t>
  </si>
  <si>
    <t>Ansible, Network Automation, Arista Networks, Arista AVD, Ansible Overview, Ansible for Network Engineers, Automation Framework, Ansible History, Michael DeHaan, Red Hat Ansible, Open Source Automation, Infrastructure as Code, Ansible Modules, Ansible Playbooks, Ansible Inventory, Ansible Configuration, Ansible Roles, Ansible Collections, Ansible Control Node, Arista Automation, Ansible Network Use Cases, YAML Automation, DevNet Automation, Ansible Core, Ansible Community Edition, Ansible Demo, Automation Engineering, Data Center Automation, Network Orchestration</t>
  </si>
  <si>
    <t>Getting Started with Ansible</t>
  </si>
  <si>
    <t>Ansible Use Cases</t>
  </si>
  <si>
    <t>Ansible, Ansible Use Cases, Arista Networks, Arista EOS, Arista AVD, Network Automation, Ansible for Network Engineers, Arista CloudVision, Ansible Modules, AVD Modules, EOS Modules, Fabric Automation, Configuration Management, VXLAN EVPN, Layer2 Leaf Spine, MPLS Automation, Campus Automation, Build Deploy Verify, CloudVision Integration, Ansible Playbooks, Ansible Control Node, Running Config Management, CLI Automation, Ansible Network Use Cases, Infrastructure as Code, Data Center Automation, Automation Engineering, Automation Operations</t>
  </si>
  <si>
    <t>Understanding Ansible Files</t>
  </si>
  <si>
    <t>Ansible, Ansible Files, Ansible Configuration, Ansible Inventory, Ansible Playbooks, Ansible Roles, Ansible Modules, YAML, YAML for Network Automation, Arista AVD, Arista Networks, Network Automation, Infrastructure as Code, Ansible for Network Engineers, Arista EOS, CloudVision Integration, Group Vars, Host Vars, Ansible Hierarchies, Ansible Examples, Ansible Roles Overview, Ansible Tasks, Ansible Control Node, Ansible Basics, Arista Automation, Automation Engineering, Automation Operations, Data Center Automation, Network Orchestration, Ansible Demo</t>
  </si>
  <si>
    <t>Building Automation with Ansible</t>
  </si>
  <si>
    <t>Working with Ansible Variables</t>
  </si>
  <si>
    <t>Ansible, Ansible Variables, Ansible Variable Scope, Ansible Variable Precedence, Ansible Variable Types, Ansible Data Models, Ansible Key Value Variables, Ansible Dictionary Variables, Ansible List Variables, YAML Variables, Ansible Inventory Variables, Ansible Group Vars, Ansible Host Vars, Ansible Vars Files, Ansible Playbook Variables, Jinja2 Variables, Network Automation, Arista AVD, Arista EOS, VLAN Automation, Infrastructure as Code, Ansible for Network Engineers, Ansible Configuration Management, Variable Declaration, Variable Hierarchy, Ansible</t>
  </si>
  <si>
    <t>Ansible Variables Demo</t>
  </si>
  <si>
    <t>Ansible, Ansible Variables, Ansible Variables Demo, Ansible Playbook Variables, Ansible Inventory Variables, Ansible Group Vars, Ansible Host Vars, Ansible Vars Files, Ansible Variable Precedence, Ansible Variable Collisions, YAML Lists, YAML Dictionaries, Jinja2 Variables, Jinja2 Braces, Ansible Loops, Ansible with_items, Ansible For Loop, ansible.builtin.debug, Arista EOS VLANs, arista.eos.eos_vlans, VLAN Automation, Network Automation with Ansible, Arista AVD, Arista Networks, Infrastructure as Code, Ansible Network Playbook, Ansible YAML Example, Ansible Debug Output, VLAN Configuration Automation</t>
  </si>
  <si>
    <t>Using Ansible Debug</t>
  </si>
  <si>
    <t>Ansible, ansible.builtin.debug, Ansible Debug, Ansible Debug Module, Ansible Print Variable, Ansible Show Variable, Ansible List Index, Ansible Dictionary Key, Ansible Dictionary Value, Ansible Dot Notation, Ansible Bracket Notation, Ansible Variable Output, Ansible Message Parameter, Ansible Variables Example, YAML Lists, YAML Dictionaries, Ansible Playbook Example, Network Automation with Ansible, Ansible for Network Engineers</t>
  </si>
  <si>
    <t>Ansible Debug Demo</t>
  </si>
  <si>
    <t>Ansible, Ansible Debug, ansible.builtin.debug, Ansible Debug Demo, Ansible Debug Example, Ansible Print Variable, Ansible Message Parameter, Ansible Variables, Ansible Lists, Ansible Dictionaries, Ansible List Index, Ansible Bracket Notation, Ansible Dot Notation, Ansible Dictionary Keys, Ansible Dictionary Values, YAML Lists, YAML Dictionaries, Ansible Playbook Demo, Ansible Builtin Module, Ansible Network Automation, Ansible for Network Engineers</t>
  </si>
  <si>
    <t>Lab - Ansible Fundamentals</t>
  </si>
  <si>
    <t>CloudVision Deployment</t>
  </si>
  <si>
    <t>CloudVision, CVaaS, CVP, CloudVision Deployment Options, TerminAttr, CVaaS Connectivity Requirement, CloudVision software Requirements, CloudVision On-Premises, CVP On-Prem, CloudVision Appliance, CloudVision Scalability, CVP Sizing, CloudVision Installation, CVP Cluster Interface, CVP Device Interface, CloudVision Upgrade Path, CloudVision Ports, CVP listening ports, CVP Cluster communication, CVP Node Placement, Cloudvision maintenance, cloudvision verification commands</t>
  </si>
  <si>
    <t>CloudVision Overview</t>
  </si>
  <si>
    <t>CloudVision Cluster Redundancy</t>
  </si>
  <si>
    <t>CloudVision, CloudVision Cluster, CVP Cluster Behavior, CVP Configuration Sync, CVP Quorum Cluster, CVP Cluster Split, CVP Cluster failure</t>
  </si>
  <si>
    <t>CloudVision High Availability</t>
  </si>
  <si>
    <t>CloudVision Dual Cluster Deployment</t>
  </si>
  <si>
    <t>CloudVision, Dual cluster deployment, Cloudvision redundancy, cloudvision backup, cloudvision High availability</t>
  </si>
  <si>
    <t>CloudVision Backups</t>
  </si>
  <si>
    <t>CloudVision, CVP, CVP Backup, CloudVision backup, CVP Restore, Cloudvision restore, CVP Backup process, Cloudvision backup process, CVP Restore Process, Cloudvision Restore process, Telemetry Backup</t>
  </si>
  <si>
    <t>Upgrading CVP Demo</t>
  </si>
  <si>
    <t>CloudVision Portal Setup and Operations</t>
  </si>
  <si>
    <t>CVP Backup and Restore Demo</t>
  </si>
  <si>
    <t>Getting Familiar with CVP Interface Demo</t>
  </si>
  <si>
    <t>CVP Device Management Overview</t>
  </si>
  <si>
    <t>CloudVision, CVaaS, Device Management, CloudVision Management, legacy provisioning, studios, configlets, image provisioning, change control</t>
  </si>
  <si>
    <t>CloudVision Network Provisioning</t>
  </si>
  <si>
    <t>CVP Legacy Provisioning Overview</t>
  </si>
  <si>
    <t>CloudVision, CVaaS, Device Management, CloudVision Management, Change Control, Running config, Designed config, Configlets, EOS Syntax</t>
  </si>
  <si>
    <t>CVP Legacy Provisioning Demo</t>
  </si>
  <si>
    <t xml:space="preserve">CloudVision, CVaaS, Device Management, CloudVision Management, Change Control, Running config, Designed config, Configlets, Network Provisioning, Config Sources, Config Compliance, Config out of sync, Tasks, Containers, </t>
  </si>
  <si>
    <t>MLAG Configuration Demo</t>
  </si>
  <si>
    <t>CloudVision, CVaaS, Device Management, CloudVision Management, Change Control, Running config, Designed config, Configlets, Network Provisioning, Config Sources, Config Compliance, Config out of sync, Tasks, Containers, Dashboards</t>
  </si>
  <si>
    <t>CVP Snapshots</t>
  </si>
  <si>
    <t>CloudVision, CVaaS, Device Management, CloudVision Management, Snapshots, Network Provisioning</t>
  </si>
  <si>
    <t>Zero Touch Provisioning and Replacement with CloudVision</t>
  </si>
  <si>
    <t xml:space="preserve">CloudVision, CVaaS, Device Management, CloudVision Management, Zero Touch Provisioning, ZTP, bootstrap, ZTP DHCP, bootstrap file, ZTP Modes, option 67, ZTR, Zero Touch Replacement, </t>
  </si>
  <si>
    <t>Automated Device Onboarding in CloudVision</t>
  </si>
  <si>
    <t>ZTR Demo - Replacing a Device in CVP</t>
  </si>
  <si>
    <t>Configuration Management with Studios</t>
  </si>
  <si>
    <t xml:space="preserve">CloudVision, CVaaS, Device Management, CloudVision Management, Configuration State, running-config, Designed Config, Change Control,  Workspace, Studios, Studio configuration process, </t>
  </si>
  <si>
    <t>CloudVision Studios</t>
  </si>
  <si>
    <t xml:space="preserve">Inventory and Topology Studio Demo </t>
  </si>
  <si>
    <t>CloudVision, studios, inventory and topology studio, inventory, topology, registered devices, ZTP, onboarded, network updates, workspace, add devices to studio inventory, hosts, EOS virtual devices, accept updates, studio apply, config compilation, config validation, software validation</t>
  </si>
  <si>
    <t>Interface Configuration Studio Overview</t>
  </si>
  <si>
    <t>Data and Time Studio Overview</t>
  </si>
  <si>
    <t>CloudVision, date and time studio, time studio, accurate time, NTP, time zones, Zulu time, device set, all devices, campus HQ, tags, AVD, multiple time zones, NTP servers, VRF</t>
  </si>
  <si>
    <t>Date and Time Studio Demo</t>
  </si>
  <si>
    <t>CloudVision, date and time studio, time studio, device time zone, date and time, studio, workspace, device selection, all devices, tags, tag query, Pacific, PST, Zulu, GMT, time zone conversions, logs, daylight savings time, Greenwich Mean Time, NTP settings, management VRF, server, preferred, burst, configlets, configlet syntax, software version, change control</t>
  </si>
  <si>
    <t>Postcard Telemetry Studio Overview</t>
  </si>
  <si>
    <t>CloudVision, postcard telemetry studio, postcard telemetry, packet flow postcards, traffic flows, breadcrumb trail, packets, sampled, ingress interface, hop, flows path, precise timestamp, per hop, P2P, precision time protocol, device set, leafs, data center, campus, basic settings, sample rate, source address, collector addresses, VXLAN, mark bit, profiles, flow rules, assign profiles, interfaces, enable, all devices, tags, destination address, local host adapter, loop back adapter, 127001, terminator, VXLAN header marking bit, hardware version, match rules, TCP, source port, destination port, interface tags</t>
  </si>
  <si>
    <t>Postcard Telemetry Studio Demo</t>
  </si>
  <si>
    <t>Streaming Telemetry Agent Studio Overview</t>
  </si>
  <si>
    <t>Streaming Telemetry Agent Studio Demo</t>
  </si>
  <si>
    <t>Mirroring Studio Overview</t>
  </si>
  <si>
    <t>CloudVision, mirroring studio, mirroring, EOS devices, port mirroring, SPAN, traffic, monitoring solution, DMF, Dan's monitoring fabric, packet broker technology, wire shark system, mirror port, device set, mirror, mirroring session, source interface, destination interfaces, GRE tunnel, ER span, tunnel profile, all devices, session name, source interface, Ethernet 28, destination, span interface, span port, tunnel, destination address, tunnel options, DCP values, protocol, ether type, TTL, source VRF, GRE key, multiple tunnels</t>
  </si>
  <si>
    <t>Authentication Studio Overview</t>
  </si>
  <si>
    <t>CloudVision, authentication studio, authentication, user authentication, accounting, CLI, EAPI, 802.1x, Tacacs, static configlet, static config studio, device set, radius servers, radius parameters, server groups, authentication profiles, Arista, user generated tags, AVD, TLS, management VRF, source interface, source VRF, accounting notices, advanced radius configuration, DCP marking, radius server monitoring, user account, dead times, retransmissions, timeouts, arbitrary CLI commands, profile assignment, campus tag</t>
  </si>
  <si>
    <t>Management Connectivity Studio Overview</t>
  </si>
  <si>
    <t>Management Connectivity Studio Demo</t>
  </si>
  <si>
    <t>CloudVision, management connectivity studio, workspace, device selection, management profiles, profile one, VRF, management, DNS servers, source interface, out-of-band management interface, domain list, arista.lab, IPv4 configuration, manual configuration, DHCP, default route, IPv6 configuration, Slack, gateways, profile assignment, tag query, config compilation, config validation, submit workspace, change control, deploy</t>
  </si>
  <si>
    <t>Connectivity Monitor Studio Overview</t>
  </si>
  <si>
    <t>Connectivity Monitor Studio Demo</t>
  </si>
  <si>
    <t>Importing Studio Overview</t>
  </si>
  <si>
    <t>Static Configuration Studio Overview</t>
  </si>
  <si>
    <t>CloudVision, static configuration studio, static configuration, configurations, CloudVision, dynamically generating configurations, AVD, typing, cutting and pasting, migrate, legacy provisioning system, legacy studios, configuration management, design configs, manipulate, studios, CloudVision studio inventory, static configlets, static studio configlet library, assign, devices, legacy provisioning, container topology, configlet library, use both, migration, transition period, container tree, root, tag filter, device query, user generated tags</t>
  </si>
  <si>
    <t>Working with Static Config Studios</t>
  </si>
  <si>
    <t>Adding Devices to CloudVision Studios Inventory</t>
  </si>
  <si>
    <t>CVP, CloudVision, CVaaS, CloudVision as a Service, Studios, Worksapces, Inventory and Topology,  Workspace</t>
  </si>
  <si>
    <t>Using Static Configuration Studio</t>
  </si>
  <si>
    <t>Migrating Legacy Configlets to Studios</t>
  </si>
  <si>
    <t>CloudVision, migration, legacy configlets, configlets, studios, static configuration, network provisioning, workspace, beta features</t>
  </si>
  <si>
    <t>CVP Software Management Overview</t>
  </si>
  <si>
    <t xml:space="preserve">CloudVision, CVaaS, Device Management, CloudVision Management, Software Management, Software Management Studio, Image Repository, </t>
  </si>
  <si>
    <t>Software Management with CloudVision</t>
  </si>
  <si>
    <t>CVP Software Image Management Demo</t>
  </si>
  <si>
    <t xml:space="preserve">CloudVision, CVaaS, Device Management, CloudVision Management, Software Management, Software Management Studio, Image Repository, Worksapce, software repository, Download Images, Add Software, </t>
  </si>
  <si>
    <t>Telemetry Use Cases in CloudVision</t>
  </si>
  <si>
    <t>CloudVision, CVaaS, CloudVision as a Service, Modern Network Telemetry, Telemetry, Streaming Telemetry, Track Forwarding Table, Forwarding Table telemetry, Telemetry Use Cases, sFlow, Config Telemetry, Configuration Comparison, Configuration Rollback, Interface Congesion, Congestion Telemetry</t>
  </si>
  <si>
    <t>CloudVision Telemetry</t>
  </si>
  <si>
    <t>CVP Compliance Overview</t>
  </si>
  <si>
    <t>CloudVision, CVaaS, CloudVision as a Service, Modern Network Telemetry, Telemetry, Streaming Telemetry, Compliance, Bug, CVE Threat Compliance, Configuration Compliance, End Of Life Compliance</t>
  </si>
  <si>
    <t>CloudVision Dashboards</t>
  </si>
  <si>
    <t>CloudVision Monitoring Overview</t>
  </si>
  <si>
    <t>CloudVision Events</t>
  </si>
  <si>
    <t>CloudVision Topology Tags</t>
  </si>
  <si>
    <t>CloudVision, CVaaS, Topology, CloudVision Monitoring, topology tags, Link view</t>
  </si>
  <si>
    <t>Querying NetDB - AQL and NetSQL</t>
  </si>
  <si>
    <t>AQL and NetSQL</t>
  </si>
  <si>
    <t>Querying ARP Entries Using AQL Notebook and Dashboards</t>
  </si>
  <si>
    <t>NetDB, CISDB, Terminator, AQL (Advanced Query Language), NetSQL, CloudVision, EOS device, Metric Explorer, Telemetry Browser</t>
  </si>
  <si>
    <t>Querying BGP Sessions Using AQL Notebook and Dashboards</t>
  </si>
  <si>
    <t>AQL, NetSQL, Inventory, Telemetry, MAC address, Routes, Fan speeds, Settings, AQL notebook, Query, Dashboard, JavaScript, Golang, Variable, ARP entries, Dictionary, Host name, Time series database, Visualization,</t>
  </si>
  <si>
    <t>Querying Device State and Software Versions using NetSQL</t>
  </si>
  <si>
    <t>AQL, BGP sessions, AQL notebook, Query, Dashboard, Visualization, Bar graph, aql.arista.com</t>
  </si>
  <si>
    <t>Introduction to Jinja</t>
  </si>
  <si>
    <t xml:space="preserve">Automation, Jinja, Jinjia definition, what is jinja, why jinja, jinja benefits, Jinja Components, Jinja templates, Jinja Variables, Jinja Logic, Deploying Jinja, </t>
  </si>
  <si>
    <t>Network Automation with Jinja</t>
  </si>
  <si>
    <t>Jinja File Layout</t>
  </si>
  <si>
    <t>Automation, Jinja, Jinja File layout, Jinja Directories, Jinja Map, Ansible Jinja, jinja templates, jinja vars, jinja variables, YAML, YAML Files</t>
  </si>
  <si>
    <t>Building and Organizing Data Models</t>
  </si>
  <si>
    <t xml:space="preserve">Data Model, Automation, Jinja, YAML, Jinja with YAML, Designing YAML Data Model, </t>
  </si>
  <si>
    <t>Building and Applying Configurations with Ansible and CVP</t>
  </si>
  <si>
    <t xml:space="preserve">Jinja, Playbook, CVP Data Model, Automation, Ansible with Jinja, Jinja variables, Ansible Playbook, </t>
  </si>
  <si>
    <t>Why Jinja - Manual Configuration Challenge</t>
  </si>
  <si>
    <t>OSPF, OSPF Configuration, Manual OSPF, CLI OSPF, Network Automation, Ansible, Jinja Templates, Jinja2, Ansible Jinja, Network Automation Training, OSPF Tutorial, OSPF Step by Step, OSPF CLI, Automating Network Configurations, Infrastructure as Code, Python Automation, Ansible for Networking, Arista OSPF, OSPF Labs, Network Automation Workflow</t>
  </si>
  <si>
    <t>Building and Deploying Configurations with Jinja</t>
  </si>
  <si>
    <t>Setting Up Jinja and Building Your First Template in Ansible</t>
  </si>
  <si>
    <t>Jinja, Jinja2, Ansible, Ansible Templates, Jinja Templates, Ansible Jinja, Network Automation, Configuration Templating, Infrastructure as Code, YAML Templates, Ansible Playbook, Ansible Roles, Ansible Variables, Automating Network Configurations, Template Engine, Config Generation, Arista Automation, Cisco Automation, Ansible Tutorial, Jinja Tutorial, CLI to Automation, Ansible Lint, VS Code Jinja</t>
  </si>
  <si>
    <t>Building the Jinja Data Model and Generating Underlay Configs</t>
  </si>
  <si>
    <t>Jinja, Jinja2, Ansible, Jinja Data Model, Ansible Templates, Network Automation, Configuration Templating, Infrastructure as Code, Ansible Playbook, Groupvars, Hostvars, YAML Data Model, Jinja Logic, Jinja Loops, Ansible Jinja2, Network Automation Tutorial, Underlay Automation, OSPF Automation, Template Driven Automation, Jinja Filters, YAML Variables, Python Automation Concepts, Build Configs with Jinja, Network Engineering, Automating Network Configurations, Arista Automation</t>
  </si>
  <si>
    <t>Deploying Jinja Templates via CVP Configlets</t>
  </si>
  <si>
    <t>Ansible, Jinja, CVP, CloudVision, cv_configlets, Legacy CVP Workflow, Ansible cv_configlets, Jinja Templates, Network Automation, Arista Automation, Configlet Deployment, CloudVision Configlets, CVP Ansible Module, Static Configlets, Arista EOS</t>
  </si>
  <si>
    <t>Lab - Automating Configuration With Ansible Jinja2</t>
  </si>
  <si>
    <t>Introducing RESTful APIs</t>
  </si>
  <si>
    <t xml:space="preserve">REST API, Introduction to REST, REpresentational State Transfer, REST Client, </t>
  </si>
  <si>
    <t>REST API Fundamentals</t>
  </si>
  <si>
    <t>RESTful API Constraints</t>
  </si>
  <si>
    <t xml:space="preserve">REST API, RESTful API, REST Uniform Interface, RESTful API Constraints, </t>
  </si>
  <si>
    <t>REST vs. SOAP</t>
  </si>
  <si>
    <t>REST, Representational state trasnfer, SOAP, Simple Object Access Protocol, REST Data Exchange, SOAP Data Exchange</t>
  </si>
  <si>
    <t>REST Tools Overview</t>
  </si>
  <si>
    <t>REST Tools, Developer Tools, Request, Headers, Response, REST Extension, REST Client, Visual Studio Code, Postman</t>
  </si>
  <si>
    <t>REST APIs Summary</t>
  </si>
  <si>
    <t>Request and Response</t>
  </si>
  <si>
    <t>HTTP requests, HTTP responses, API, Client, Server, Start line, Headers, Body, JSON, HTML, Developer tools, Network, Postman, Console, Raw log, REST AP</t>
  </si>
  <si>
    <t>REST API Requests and Responses</t>
  </si>
  <si>
    <t>HTTP Request Method</t>
  </si>
  <si>
    <t>HTTP request method, Request, Server, Client, Get, Post, Put, Delete, Head, Connect, Options, Trace, HTTP standard, Start line, Request method, Request verb, Postman, API, URL</t>
  </si>
  <si>
    <t>HTTP Response Codes</t>
  </si>
  <si>
    <t>HTTP, response code, server, client, request, protocol, informational responses, successful responses, redirects, client errors, server errors, API, troubleshooting, web development, developer tools, API testers, 404, 200, 401, 403, 405, 400, web communication</t>
  </si>
  <si>
    <t>HTTP Headers</t>
  </si>
  <si>
    <t>HTTP, headers, metadata, client, server, request, response, key value pairs, protocol, developer tools, network panel, Postman, API, troubleshoot, web technologies, compression formats, gzip, host header, accept encoding, content encoding, HTTP 200</t>
  </si>
  <si>
    <t>Requests and Responses Summary</t>
  </si>
  <si>
    <t>HTTP, requests, responses, client, server, API, protocol, headers, key value information, body, payload, data, troubleshoot, data formats</t>
  </si>
  <si>
    <t>Introduction to HTTP Parameters and Payloads</t>
  </si>
  <si>
    <t>HTTP, parameters, payloads, data, URL, request, response, server, browser, query string, key value pairs, body, web communication, web development, API</t>
  </si>
  <si>
    <t>Parameters and Payloads for REST APIs</t>
  </si>
  <si>
    <t>HTTP Query Strings</t>
  </si>
  <si>
    <t>Query string, URL, key value pairs, browser, server, parameter, ampersand, form, VS Code, live server, submit, username, password, get request, post request, address bar, request body, payload, HTTP, headers, pagination, page size, limits</t>
  </si>
  <si>
    <t>HTTP Payloads</t>
  </si>
  <si>
    <t>HTTP, payload, body, requests, responses, data, content, client, server, protocol, JSON, HTML, JavaScript, API, form submissions, web communication, developer tools, network tab, headers, query strings, VS Code</t>
  </si>
  <si>
    <t>Query Strings and Payloads in Action</t>
  </si>
  <si>
    <t>HTTP, client, server, query strings, URL, payloads, body, request, response, API, documentation, JSON, rest client, Visual Code, endpoints, ID, labels, pagination, parameters, hypermedia, application state, restful APIs, hypertext, JSON objects, web applications</t>
  </si>
  <si>
    <t>Parameters and Payloads Summary</t>
  </si>
  <si>
    <t>Parameters, payloads, HTTP, query string, URL, request, response, body, key value pairs, server, client, API, JSON, HTML, web technologies, web communication, form data</t>
  </si>
  <si>
    <t>Introduction to REST Authentication</t>
  </si>
  <si>
    <t>API, security, authentication, authorization, REST APIs, stateless, credentials, tokens, requests, API security, REST authentication, stateless design</t>
  </si>
  <si>
    <t>Authentication with HTTP and REST</t>
  </si>
  <si>
    <t>Base64 Encoding vs. Encryption</t>
  </si>
  <si>
    <t>Base64 encoding, encryption, data transformation, data transmission, data privacy, data security, APIs, web traffic, URLs, HTTP messages, special characters, binary data, text, base 64, reversible, decode, control characters, URL safe, headers, query string, TLS encryption, HTTPS, public key, private key, cipher text, decrypt, lock box, authentication, authorization</t>
  </si>
  <si>
    <t>HTTP Basic Authentication</t>
  </si>
  <si>
    <t>HTTP, basic authentication, web authentication, client, server, request, response, credentials, encryption, HTTPS, authorization header, Base64, RFC7617, 401 unauthorized, WWW-Authenticate header, Postman, developer tools, API, status 200, stateless, TLS, token-based authentication, OAuth</t>
  </si>
  <si>
    <t>API Key Authentication</t>
  </si>
  <si>
    <t>API key authentication, API, security, token, HTTP, authorization header, Base64, credentials, restful APIs, rotation, HTTPS, encrypted, string, authentication, access, permissions, cloud platforms, Azure, AWS, Google cloud, API key</t>
  </si>
  <si>
    <t>Token Authentication</t>
  </si>
  <si>
    <t>Token-based authentication, RESTful APIs, stateless communication, JavaScript Web Tokens, JWTs, JOTS, JSON, cryptographic signature, Base64 encoded, client, server, request, user ID, secret key, session ID, cookie, database, load balancing, sticky sessions, latency, HTTP</t>
  </si>
  <si>
    <t>Ansible Components for AVD</t>
  </si>
  <si>
    <t>AVD, Ansible, AVD Inventory, AVD Playbook, Ansible Playbook, Ansible Inventory, AVD Components, Ansible Roles, Ansible Collections, Ansible Galaxy</t>
  </si>
  <si>
    <t>Introducing AVD</t>
  </si>
  <si>
    <t>Ansible Components Demo</t>
  </si>
  <si>
    <t>AVD, Arista Validated Design, Ansible Components, inventory File, Playbooks, Ansible Demo, Data Models, YAML, Group Vars</t>
  </si>
  <si>
    <t>AVD Demo</t>
  </si>
  <si>
    <t xml:space="preserve">AVD, Arista Validated Design, Architect Validate Deploy, Arista AVD, AVD Demo, L3LS Automation, Automation with AVD, ANTA, Arista Network Test </t>
  </si>
  <si>
    <t>Defining CVP in the AVD Inventory</t>
  </si>
  <si>
    <t>AVD, Arista Validated Design, Architect Validate Deploy, Arista AVD, CVP with AVD, Load balancer with AVD, AVD Inventory, CloudVision with VIP</t>
  </si>
  <si>
    <t>Building AVD Inventory</t>
  </si>
  <si>
    <t>Defining the Fabric and Services in AVD Inventory</t>
  </si>
  <si>
    <t>Arista AVD, Arista Validated Designs, AVD Inventory, Fabric Definition, CloudVision, CVP, Endpoint Connect, EVPN Services, AVD Fabric, AVD Groups, Leaf Spine, AVD Demo, Network Automation, Ansible AVD, Arista Automation, Data Center Automation, Network Fabric, AVD Inventory Structure, Ansible Inventory, Defining Fabric in AVD, AVD Hierarchy, CVP Integration, Fabric and Services, EVPN Configuration, Arista Training, AVD Tutorial, Arista DCFabric, Automating Arista Networks, AVD Explained, AVD Inventory Series, Defining CVP in AVD Inventory, Defining Fabric in AVD Inventory, Arista AVD Tutorial Series, AVD Quick Demos</t>
  </si>
  <si>
    <t>AVD Deployment Options</t>
  </si>
  <si>
    <t>AVD, Arista Validated Design, Architect Validate Deploy, Arista AVD, AVD Deploy, AVD Deploy with CVP, AVD with CloudVision, AVD Deploy with EOS, AVD with EOS, AVD Connectivity</t>
  </si>
  <si>
    <t>Deploying AVD</t>
  </si>
  <si>
    <t>Deploying AVD Configuration with CloudVision</t>
  </si>
  <si>
    <t>Arista AVD, CloudVision, CVP, Static Configuration Studio, Change Control, Deploy Fabric, AVD deployment, Ansible playbook, CV Deploy role, Network Automation, Arista Fabric, VLAN deployment, AVD demo, Arista EOS, Configlet upload, CloudVision as a Service, On-prem CloudVision, AVD labs</t>
  </si>
  <si>
    <t>Deploying AVD Configuration Directly to EOS - Part 2</t>
  </si>
  <si>
    <t>Arista AVD, EOS, eAPI, Deploy Fabric, AVD deployment, Arista automation, Ansible playbook, Network Automation, Arista EOS config, Direct deployment, Bypass CloudVision, Config backups, Running config, Management interface, Local users, AAA authentication</t>
  </si>
  <si>
    <t>Working with AVD Documentation</t>
  </si>
  <si>
    <t>Arista AVD, AVD documentation, avd.arista.com, EOS Designs, EOS CLI Config Gen, Ansible collections, Network Automation, Fabric design, Device configuration, YAML configuration, Arista automation, L3LS, VXLAN EVPN, Underlay routing, OSPF, IS-IS, eBGP, RFC 5549</t>
  </si>
  <si>
    <t>Understanding the AVD Lifecycle</t>
  </si>
  <si>
    <t>Arista AVD, AVD lifecycle, Day 0 operations, Day 1 operations, Day 2 operations, Network Automation, Fabric deployment, Arista automation, Ansible, YAML data models, CloudVision, eAPI, Arista EOS, Zero Touch Provisioning, ZTP, Configuration management, Data center fabric, VXLAN EVPN</t>
  </si>
  <si>
    <t>Designing L2LS Fabric with Arista AVD</t>
  </si>
  <si>
    <t>Arista AVD, Arista Networks, Layer 2 Leaf Spine, L2LS Fabric, Network Automation, Automating L2LS Network, AVD Demo, Data Center Fabric, Campus Fabric, MLAG Configuration, VARP Gateway, Collapsed Core, Anycast Gateway, Tenants and VRFs, VLAN Design, Leaf Spine Topology, Fabric Design, AVD Inventory, Endpoint Connectivity, YAML Configuration, CloudVision Integration, L2 Leaf, L3 Spine, Network Services, Arista CloudVision, AVD Fabric Build, Arista Training, Automation Engineering, Automation Operations, Data Center Automation, AVD Layer 2 Design, Simplified Fabric Architecture</t>
  </si>
  <si>
    <t>Automating L2LS Network with AVD</t>
  </si>
  <si>
    <t>Building L2LS Fabric YAML File</t>
  </si>
  <si>
    <t>Arista AVD, Arista Networks, L2LS Fabric, Layer 2 Leaf Spine, Fabric YAML, Network Automation, Automating L2LS Network, AVD Demo, MLAG Configuration, VARP Gateway, Spanning Tree MSTP, BowTie Topology, Back to Back MLAG, Leaf Spine Topology, Fabric Design, VLAN Gateway, Anycast Gateway, Arista CloudVision, AVD Fabric Build, YAML Configuration, Platform vEOS Lab, Management Interface, Loopback Pool, Peer Pool, Virtual Router MAC, Spanning Tree Priority, MTU Configuration, Node Groups, Fabric Model, Arista Training, Automation Engineering, Automation Operations, Data Center Automation, Build Fabric YAML, AVD Layer 2 Configuration</t>
  </si>
  <si>
    <t>Building L2LS Network Services YAML File</t>
  </si>
  <si>
    <t>Arista AVD, Arista Networks, L2LS Fabric, Layer 2 Leaf Spine, Network Services YAML, Network Automation, Automating L2LS Network, AVD Demo, Tenants and VRFs, VLAN Configuration, VARP Gateway, Virtual Router Address, Fabric Design, Leaf Spine Topology, VLAN Gateway, Spanning Tree Domain, AVD Fabric Build, YAML Configuration, Network Services Model, VLAN Ten, VLAN Twenty, VRF Default, Tenant Configuration, CloudVision Integration, Arista CloudVision, AVD Layer 2 Configuration, Arista Training, Automation Engineering, Automation Operations, Data Center Automation, Build Network Services YAML, AVD Network Services File</t>
  </si>
  <si>
    <t>Building L2LS Endpoint Connect YAML File</t>
  </si>
  <si>
    <t>Arista AVD, Arista Networks, L2LS Fabric, Layer 2 Leaf Spine, Endpoint Connect, Endpoint_Connect YAML, Network Automation, Automating L2LS Network, AVD Demo, Port Profiles, VLAN Configuration, Access Port, MLAG Configuration, LACP Active, Port Channel, Spanning Tree Edge, Host Connectivity, Leaf Spine Topology, Fabric Design, YAML Configuration, Endpoint Connectivity, AVD Endpoint Model, Ethernet Interfaces, CloudVision Integration, AVD Fabric Build, Arista CloudVision, Arista Training, Automation Engineering, Automation Operations, Data Center Automation, Build Endpoint Connect YAML, AVD Layer 2 Configuration</t>
  </si>
  <si>
    <t>Running ANTA Tests for the L2LS Fabric</t>
  </si>
  <si>
    <t>Arista AVD, Arista Networks, L2LS Fabric, Layer 2 Leaf Spine, ANTA Tests, Network Automation, Automating L2LS Network, AVD Demo, ANTA Validation, Test Fabric Playbook, Ansible Playbooks, Automated Testing, Fabric Verification, YAML Configuration, Leaf Spine Topology, VLAN Verification, MLAG Configuration, VARP Gateway, Network Validation, CloudVision Integration, Arista CloudVision, AVD Fabric Build, AVD Test Reports, Markdown Reports, Test Automation, Automation Engineering, Automation Operations, Data Center Automation, Verify Fabric Deployment, L2LS ANTA Report</t>
  </si>
  <si>
    <t>Designing L3LS Fabric with Arista AVD</t>
  </si>
  <si>
    <t>Arista AVD, Arista Networks, Layer 3 Leaf Spine, L3LS Fabric, Data Center Networking, Network Automation, Automating L3LS Network, AVD Data Models, Underlay Overlay Design, EVPN VXLAN, EVPN Services, Endpoint Connectivity, Fabric Design, Pod and Data Center, AVD Inventory File, AVD File Structure, AVD Fabric Model, AVD EVPN Model, AVD Endpoint Model, Three Stage Clos, Five Stage Clos, SuperSpine, EVPN All Active, MLAG Redundancy, AVD Demo, Automation Engineering, Automation Operations, Arista Training, Arista Certified Engineer, Network Design Fundamentals, Data Model Separation, YAML Inventory, Network Topology Design</t>
  </si>
  <si>
    <t>Automating L3LS Network with AVD</t>
  </si>
  <si>
    <t>Building AVD Inventory and Files</t>
  </si>
  <si>
    <t>Arista AVD, Arista Networks, AVD Demo, Layer 3 Leaf Spine, L3LS Fabric, Data Center Automation, Network Automation, Automating L3LS Network, AVD File Structure, AVD Inventory File, Ansible Playbooks, Build Test Deploy, CloudVision Integration, Fabric YAML, EVPN Services YAML, Endpoint Connect YAML, Underlay Overlay, Ansible Config File, Group Vars, Host Vars, Structured Configs, EOS Configuration, CloudVision Portal, AVD Fabric Build, Network Design, Automation Engineering, Automation Operations</t>
  </si>
  <si>
    <t>Building the Underlay and Overlay in the Fabric YAML File</t>
  </si>
  <si>
    <t>Arista AVD, Arista Networks, Fabric YAML, L3LS Fabric, Underlay Overlay, EVPN VXLAN, Network Automation, Automating L3LS Network, AVD Demo, BGP Configuration, eBGP Underlay, eBGP Overlay, Loopback Pools, Point to Point Links, MLAG Configuration, L3 MLAG Peering, VMAC, AS Numbers, Leaf Spine Topology, AVD Data Models, Arista CloudVision, Structured Configs, YAML Configuration, VTEP Pool, Spanning Tree MSTP, MTU Configuration, Fabric Design, AVD Fabric Model, Arista Training, Automation Engineering, Automation Operations, Data Center Automation, Build Fabric YAML, EVPN Underlay Overlay Design</t>
  </si>
  <si>
    <t>Building The ENDPOINT_Connect YAML File</t>
  </si>
  <si>
    <t>Arista AVD, Arista Networks, L3LS Fabric, Endpoint Connect, AVD YAML, Network Automation, Automating L3LS Network, AVD Demo, Endpoint Connectivity, Host Configuration, Ethernet Interfaces, VLAN Configuration, MLAG Configuration, Access Port, Trunk Port, Port Channel, Spanning Tree Edge, Arista CloudVision, AVD Fabric Build, AVD Data Models, Fabric Topology, YAML Configuration, Network Design, AVD Endpoint Model, Arista Training, Automation Engineering, Automation Operations, Data Center Automation, Build Endpoint Connect, AVD Lab Demo, L3LS Network Automation</t>
  </si>
  <si>
    <t>Creating AVD Playbooks for Build, Deploy, and Test</t>
  </si>
  <si>
    <t>Arista AVD, Arista Networks, L3LS Fabric, AVD Playbooks, Build Deploy Test, Network Automation, Automating L3LS Network, AVD Demo, Fabric Automation, Ansible Playbooks, CloudVision Deployment, cv_deploy Role, eos_designs Role, eos_cli_config_gen Role, AntaRunner AVD, Validate Network, Test Fabric, Change Control, CloudVision Integration, YAML Playbooks, AVD Fabric Build, AVD Fabric Deploy, AVD Fabric Test, Ansible Roles, Network Validation, Arista CloudVision, Automation Engineering, Automation Operations, Data Center Automation, Build Fabric Playbook, Deploy Fabric Playbook, Test Fabric Playbook</t>
  </si>
  <si>
    <t>Executing Playbooks to Build, Deploy, and Test the Fabric</t>
  </si>
  <si>
    <t>Designing DCI Fabric with Arista AVD</t>
  </si>
  <si>
    <t>Arista AVD, Arista Networks, DCI, Data Center Interconnect, EVPN Gateway, Multi Datacenter Design, Arista EVPN, Arista VXLAN, BGP EVPN, Network Automation, AVD Demo, Fabric Design, Topology Planning, Dual Datacenter Fabric, DC1 DC2, Underlay Overlay, Addressing Plan, ASN Assignment, eBGP Overlay, Border Leaf Design, Arista CloudVision, CloudVision Integration, Arista Training, Automation Engineering, Automation Operations, Data Center Automation, Multi DC Architecture, EVPN Gateway Design</t>
  </si>
  <si>
    <t>Automating DCI Network with AVD</t>
  </si>
  <si>
    <t>Building DCI Fabric with Arista AVD</t>
  </si>
  <si>
    <t>Arista AVD, Arista Networks, Data Center Interconnect, DCI, Multi Datacenter, Automating DCI Network, AVD Demo, Network Automation, Arista EVPN, EVPN Gateway, VXLAN EVPN, eBGP Overlay, eBGP Underlay, Border Leaf Design, Dual DC Fabric, Fabric Automation, Build Deploy Verify, Ansible Playbooks, CloudVision Integration, Arista CloudVision, Fabric Validation, BGP EVPN Peering, Endpoint Connectivity, YAML Configuration, AVD Fabric Build, AVD DCI Demo, Arista Training, Automation Engineering, Automation Operations, Data Center Automation, Multi DC Deployment</t>
  </si>
  <si>
    <t>Continuous integration for Network Automation</t>
  </si>
  <si>
    <t>Continuous Integration, CI, CI/CD, continuous delivery, continuous deployment, network automation, pipeline, software world, code changes, testing, unit tests, integration tests, stress testing, staging, packaging, deployment, post-deployment testing, Jenkins, GitHub actions, GitLab CI/CD, repo, commit, data models, config generation, pre-deployment testing, Cloud Vision, Batfish, AVD, templating engine, Jinja, Mako, VS Code, code server, GitHub, GitLab, EOS, Ansible, Ant Runner, Python, pipeline triggers, pull request, auto deploy</t>
  </si>
  <si>
    <t>Arista Continuous Integration</t>
  </si>
  <si>
    <t>Introduction to eAPI</t>
  </si>
  <si>
    <t>Arista, EAPI, extensible API, EOS, Arista EOS, automation, network automation, programmatic access, CLI, JSON RPC, onbox automation, offbox automation, Python, CloudVision, VLAN, configuration, network management.</t>
  </si>
  <si>
    <t>Q1 '26</t>
  </si>
  <si>
    <t>EOS Automation with Python</t>
  </si>
  <si>
    <t>On-Box Automation</t>
  </si>
  <si>
    <t>Arista, EOS, Arista EOS, automation, network automation, onbox automation, offbox automation, Python, EAPI, EAPI Command API, EAPI client library, Linux shell, interactive mode, JSON output, CLI commands, show commands, configuration, run commands method, Event Manager, Arista automation advanced training, VLAN configuration.</t>
  </si>
  <si>
    <t>Off-Box Automation with Python</t>
  </si>
  <si>
    <t>Arista, EOS, Arista EOS, automation, network automation, offbox automation, Python, Python scripts, EAPI, HTTP, HTTPS, Python requests library, JSON RPC library, Pi EAPI, Python EAPI, declarative, imperative, VLAN, configuration, show version, structured responses, JSON.</t>
  </si>
  <si>
    <t>Getting Information from EOS with Python Requests</t>
  </si>
  <si>
    <t>Arista, EOS, Arista EOS, automation, network automation, Python, Python requests library, EAPI, HTTP, HTTPS, JSON, JSON RPC, structured output, CLI command, show version, show ip interface brief, API call, JSON payload, Python script, imperative approach, offbox automation, EAPI explorer, request, response, authentication, basic authentication, SSL certificate, URL.</t>
  </si>
  <si>
    <t>Pushing Config to EOS with Python Requests</t>
  </si>
  <si>
    <t>Arista, EOS, Arista EOS, automation, network automation, Python, Python requests, push configuration, EAPI, Command API endpoint, JSON RPC, HTTP POST, configuration mode, layer 3 interface, IP address, Ethernet 1, CLI, JSON payload, EAPI explorer, default interface, offbox automation, Arista automation advanced training.</t>
  </si>
  <si>
    <t>Saving Running Config with Python Requests</t>
  </si>
  <si>
    <t>Arista, EOS, Arista EOS, automation, network automation, Python, Python requests, EAPI, Command API, JSON RPC, show running config, retrieve configuration, save configuration, backup configuration, local text file, offbox automation, multiple devices, for loop, device list, CLI output, plain text, structured output, JSON, Python dictionary, file handle, overwrite, unique file, backup directory, Arista automation advanced training.</t>
  </si>
  <si>
    <t>Using JSONRPCLIB with Arista EOS</t>
  </si>
  <si>
    <t>Arista, EOS, Arista EOS, automation, network automation, JSON RPC, JSONRPCLIB, Python, Python requests, EAPI, Command API, API, run commands, show version, show ip interface brief, configuration, CLI, JSON, structured output, list of commands, multiple commands, configuration commands, self-signed certificate, HTTPS, SSL, Python script.</t>
  </si>
  <si>
    <t>Introducing PyeAPI</t>
  </si>
  <si>
    <t>Arista, EOS, Arista EOS, automation, network automation, Python, Python client for EAPI, PyEAPI, EAPI, Python requests, JSON RPC, client modules, API modules, Eapi.conf, configuration file, node properties, offbox automation, onbox automation, transport, HTTP, HTTPS, HTTPcerts, HTTP local, socket, DNS, default section, host, username, password, port, load config, connect to, node object, VLAN configuration, BGP configuration, structured INI format, arista automation advanced training.</t>
  </si>
  <si>
    <t>Getting Information with PyeAPI</t>
  </si>
  <si>
    <t>Arista, EOS, Arista EOS, automation, network automation, PyEAPI, Python, EAPI, Python client for EAPI, load config, connect to, EAPI configuration file, Eapi.conf, HTTPS, show MAC address table, structured data, JSON, enable method, show ip interface brief, loop, multiple devices, connect function, authentication, Arista automation advanced training.</t>
  </si>
  <si>
    <t>Automating VLAN Configuration with PyEAPI</t>
  </si>
  <si>
    <t>Arista, EOS, Arista EOS, automation, network automation, Python, PyEAPI, EAPI, Python client API modules, VLAN, VLAN configuration, create VLAN, delete VLAN, set name, get all, multiple VLANs, multiple devices, scale automation, declarative, API modules, structured data, list of dictionaries, YAML, YAML file, configuration management, reusability, Eapi.conf, Arista automation advanced training.</t>
  </si>
  <si>
    <t>Backup Configuration with PyeAPI</t>
  </si>
  <si>
    <t>Arista, EOS, Arista EOS, automation, network automation, PyEAPI, Python, backup configuration, running configuration, configuration file, get config, node modules, client modules, configuration management, multiple devices, YAML, switches.yaml, loop, reusable script, OS library, configs directory, Arista automation advanced training, EAPI configuration file, connection profile.</t>
  </si>
  <si>
    <t>Lab - Working with Command API</t>
  </si>
  <si>
    <t>Lab - Automating EOS with Python</t>
  </si>
  <si>
    <t>CloudVision APIs Overview</t>
  </si>
  <si>
    <t>CloudVision, Arista, automation, Python, CloudVision automation, API, APIs, REST API, gRPC, resource APIs, web user interface, programmatic access, authentication, username and password, tokens, service account, consistency, repeatability, scalability, state-based, legacy provisioning, configlets, studios, workspaces, HTTP 1.1, HTTP2, JSON, protocol buffers, Protobuf, JSON RPC, EAPI, network automation.</t>
  </si>
  <si>
    <t>CloudVision Automation with Python</t>
  </si>
  <si>
    <t>CloudVision REST API Overview</t>
  </si>
  <si>
    <t>Arista, CloudVision, CVP, network automation, REST API, Resource API, gRPC, API explorer, REST API explorer, resource explorer, API requests, Python, Ansible, curl, Echo API, JSON, JSON responses, state-based, endpoint-based, CVP service, configuration, configlets, inventory, devices, containers, service accounts, bearer token, authentication, authorization, access control, network admin, jq.</t>
  </si>
  <si>
    <t>Automating CloudVision with Python Requests</t>
  </si>
  <si>
    <t>Arista, CloudVision, CVP, automation, Python requests, REST API, API, API explorer, Python, network automation, service account, API token, authentication, HTTP headers, JSON responses, programmatic access, CVP info, containers, configlet, create configlet, get request, post request, JSON payload, HTTP status code, self-signed certificate, SSL warning, URL, CVP service, inventory, JSON dumps.</t>
  </si>
  <si>
    <t>Automating CloudVision with cvprac</t>
  </si>
  <si>
    <t>Arista, CloudVision, CVP, automation, cvprac, Python library, network automation, REST API client, Python wrapper, authentication, session, structured data, Python dictionaries, Python objects, JSON construction, URL building, on-prem CloudVision, CloudVision as a Service, CaaS, pip install, CVP client, CVP API, CVP client errors, connect method, client object, get method, post method, API methods, get CVP info, get inventory, add container, get container by name, service account, API token, authentication, HTTP headers, JSON responses, programmatic access, configuration, configlets, inventory, devices, containers.</t>
  </si>
  <si>
    <t>gRPC Overview</t>
  </si>
  <si>
    <t>Arista, gRPC, Google Remote Procedure Call, CloudVision, CloudVision Resource APIs, network automation, high performance, microservices, API, HTTP2, protocol buffers, IDL, Interface Description Language, protofile, binary encoding, GPP, Google Protocol Buffers, JSON, compact GPP, self-describing GPP, telemetry streaming, configuration, programming language agnostic, SDK, client library, desired state.</t>
  </si>
  <si>
    <t>Using grpcurl with CloudVision</t>
  </si>
  <si>
    <t>Arista, CloudVision, CVP, gRPC, gRPCCurl, command line, network automation, API, Resource APIs, testing, troubleshooting, authentication, bearer token, service account, authorization header, terminal, API explorer, resource explorer, JSON, Protobuff, Protobuff messages, configuration, set method, get all method, inventory, device service, workspace, workspace config service, insecure, self-signed certificate.</t>
  </si>
  <si>
    <t>Automating CloudVision with gRPC</t>
  </si>
  <si>
    <t>Arista, CloudVision, CVP, gRPC, Python, network automation, API explorer, device inventory, inventory service, get all method, programming language agnostic, Golang, API call, code generation, Python script, import statements, arg parse, command line arguments, server address, token file, certificate file, gRPC IO Python package, JSON, Protobuff messages, Arista inventory API package, Arista cloud vision Python gRPC client library, CVP rack, CVP API, resource APIs, parse, JSON data, request object, timeout, authentication, service accounts, token, CVP certificate, TLS, HTTPS, authorization bearer, self-signed certificate, TLS credentials, authentication credentials, secure gRPC channel, JSON object, device stream request, client stub, get all, stream, list, Arista automation advanced training.</t>
  </si>
  <si>
    <t>Querying Events with gRPC</t>
  </si>
  <si>
    <t>Arista, CloudVision, CVP, gRPC, events, network automation, Python, programmatic access, API explorer, resource API, event service, get all, historical events, filters, time filter, event type, severity, event stream request, protobuff, JSON, protobuff translation, composite credentials, token, certificate, secure channel, event services stub, stream, arg parse, enum, event message, services gen proto, partial equal filter, gRPC streaming, cvp-events-py, Arista automation advanced training.</t>
  </si>
  <si>
    <t>Subscribe to Events with gRPC</t>
  </si>
  <si>
    <t>Arista, CloudVision, CVP, gRPC, gRPC streaming, event subscription, network events, real-time events, automation, network automation, Python, API, APIs, polling, services, models, event objects, severity, event type, description, affected device, proto files, event proto, services gen proto, RPC timeout, token, service account, credentials, transport security, TLS credentials, composite credential, filter, event stream request, severity filter, event type filter, configuration change, device config compliance, Arista automation advanced training.</t>
  </si>
  <si>
    <t>Lab - Explore and Use CloudVision APIs</t>
  </si>
  <si>
    <t>Lab - Automating CloudVision with Python</t>
  </si>
  <si>
    <t>Ansible Modules for EOS</t>
  </si>
  <si>
    <t>Ansible, Ansible collections, Arista EOS collection, Ansible module, Python, YAML, Playbook, Declarative, Procedural, API, CLI, CloudVision, CVP, Arista AVD, Red Hat, GitHub, EOS config module, Facts module, Banner module, BGP, VLANs, Access lists, Interfaces, Link aggregation, OSPF, VXLAN, Running configuration, Startup configuration, SSH, Telnet, Ansible Galaxy, Supplemental automation, Configlets, Studios, Workspaces, Plugins, Roles</t>
  </si>
  <si>
    <t>EOS Automation with Ansible</t>
  </si>
  <si>
    <t>Automating EOS with Ansible</t>
  </si>
  <si>
    <t>Ansible, Arista EOS, Network Automation, ansible.cfg, Inventory, eAPI, HTTP API, HTTPS, SSL, SSH, eos_facts, eos_command, eos_config, eos_vlans, YAML, CLI, JSON, Procedural, Declarative, Fact Gathering, Playbooks, Debug, VLANs, Spines, Leaves, Arista EOS Collection, Structured Data, API, Network Operating System, State Management, Configuration, Modules</t>
  </si>
  <si>
    <t>Lab - Automating Arista EOS with Ansible</t>
  </si>
  <si>
    <t>Ansible CVP Collection Overview</t>
  </si>
  <si>
    <t>Ansible, Arista, CVP, CloudVision, Ansible Collection, Configlets, Containers, Change Control, Tasks, Declarative Automation, Desired State, Ansible Playbook, Legacy Provisioning, Studios, Ansible Galaxy, Ansible Configuration File, Inventory File, HTTPS, REST APIs, HTTP API Connection Plug-in, Token-based Authentication, YAML, Ansible Vault, cv_configlet_v3, cv_container_v3, cv_device_v3, cv_task_v3, cv_change_control_v3, cv_facts_v3</t>
  </si>
  <si>
    <t>CloudVision Automation with Ansible</t>
  </si>
  <si>
    <t>Connecting Ansible to CloudVision and Gathering Facts</t>
  </si>
  <si>
    <t>Ansible, Arista, CVP, CloudVision, Ansible Collection, cv_facts_v3, Ansible configuration file, Inventory file, HTTP API, HTTPS, SSL, Token-based authentication, Ansible Vault, Service accounts, Ansible Playbook, Ansible Galaxy, Device facts, Configlet facts, Container facts, Image facts, Task facts, Regular expression filter, CVaaS, CVP on-prem</t>
  </si>
  <si>
    <t>Uploading CloudVision Configlets with Ansible</t>
  </si>
  <si>
    <t>Ansible, Arista, CVP, CloudVision, Arista CVP collection, cv_configlet_v3, Configlets, Idempotency, state: present, state: absent, Containers, Devices, MLAG, Legacy provisioning, Studios, YAML, Ansible Playbook, Ansible lookup plugin, File lookup, Data model, vars_files, VXLAN, EVPN, Service account, Token-based authentication, Desired state</t>
  </si>
  <si>
    <t>Managing CloudVision Containers with Ansible</t>
  </si>
  <si>
    <t>Ansible, Arista, CVP, CloudVision, Arista CVP collection, cv_container_v3, Containers, Configlets, Provisioning Topology, Parent container, Child container, state: present, state: absent, apply_mode, loose mode, strict mode, MLAG, YAML, Ansible Playbook, Variable file, Dictionary, Case-sensitive, Container Inheritance, Source of Truth, Intent-based Networking</t>
  </si>
  <si>
    <t>Attaching Devices to Containers with Ansible</t>
  </si>
  <si>
    <t>Ansible, Arista, CVP, CloudVision, cv_device_v3, Containers, Configlets, MLAG, YAML, Ansible Galaxy, Network Provisioning, Image Bundles, Desired State, Tasks, Search Key, Hostname, Fully Qualified Domain Name, Serial Number, Intent List, Apply Mode, Loose Mode, Strict Mode, Inventory Mode, state: present, state: factory_reset, state: provisioning_reset, state: absent, Decommissioning, Provisioning Workflow, Container Inheritance, Data Model, cvp_devices, Ansible Playbook, Declarative Automation</t>
  </si>
  <si>
    <t>Executing Cloudvision Tasks with Ansible</t>
  </si>
  <si>
    <t>Ansible, Arista, CVP, CloudVision, Arista CVP Collection, cv_task_v3, cv_device_v3, cv_container_v3, Configlets, Containers, Container Topology, Change Control, Tasks, Task IDs, Pending State, Ansible Playbook, state: executed, state: cancelled, Desired State, Ansible register, Ansible debug, MLAG, Legacy Provisioning</t>
  </si>
  <si>
    <t>Arista AVD Overview</t>
  </si>
  <si>
    <t>AVD Architecture and Components</t>
  </si>
  <si>
    <t>What Can You Build with Arista AVD</t>
  </si>
  <si>
    <t>AVD Components</t>
  </si>
  <si>
    <t>Arista AVD Collection Overview</t>
  </si>
  <si>
    <t>Exploring AVD Documentation</t>
  </si>
  <si>
    <t>Install and Set Up AVD Environment</t>
  </si>
  <si>
    <t>AVD Setup and Data Models</t>
  </si>
  <si>
    <t>Creating AVD Directory Structure</t>
  </si>
  <si>
    <t>Build an Ansible Config File for AVD</t>
  </si>
  <si>
    <t>Understanding AVD Inventory Structure</t>
  </si>
  <si>
    <t>Understand AVD Data Models</t>
  </si>
  <si>
    <t>AVD Workflow</t>
  </si>
  <si>
    <t>Building and Deploying Configurations with AVD</t>
  </si>
  <si>
    <t>Building the L2LS AVD Inventory</t>
  </si>
  <si>
    <t>Configuring L2LS Network Services (NETWORK_SERVICES.yml)</t>
  </si>
  <si>
    <t>Modeling L2LS Endpoint Connectivity (ENDPOINT_CONNECT.yml)</t>
  </si>
  <si>
    <t>Building and Deploying the L2LS Fabric with AVD Playbooks</t>
  </si>
  <si>
    <t>Reviewing the L3LS Fabric Topology</t>
  </si>
  <si>
    <t>Understanding the L3LS Fabric YAML Data Model</t>
  </si>
  <si>
    <t>Configuring the L3LS Underlay and Overlay Fabric (FABRIC.yml)</t>
  </si>
  <si>
    <t>Configuring L3LS EVPN Services (EVPN_SERVICES.yml)</t>
  </si>
  <si>
    <t>Modeling L3LS Endpoint Connectivity (ENDPOINT_CONNECT.yml)</t>
  </si>
  <si>
    <t>Generating L3LS Fabric Configuration and Documentation with AVD</t>
  </si>
  <si>
    <t>Deploying and Verifying L3LS Fabric with AVD</t>
  </si>
  <si>
    <t>Lab - Build L3LS EVPN-VXLAN with AVD</t>
  </si>
  <si>
    <t>Scaling out L2LS Fabric with AVD</t>
  </si>
  <si>
    <t>Day 2 Operations with AVD</t>
  </si>
  <si>
    <t>Adding Network Services to L2LS Fabric with AVD</t>
  </si>
  <si>
    <t>Connecting New Endpoints to L2LS Fabric with AVD</t>
  </si>
  <si>
    <t>Adding Leaf switches to L3LS Fabric with AVD</t>
  </si>
  <si>
    <t>Adding Spine switches to L3LS Fabric with AVD</t>
  </si>
  <si>
    <t>Connecting New Endpoints to L3LS Fabric with AVD</t>
  </si>
  <si>
    <t>Lab - Day 2 Operations with AVD</t>
  </si>
  <si>
    <t>PyAVD Overview</t>
  </si>
  <si>
    <t>PyAVD</t>
  </si>
  <si>
    <t>Generating Configuration and Documentation with PyAVD</t>
  </si>
  <si>
    <t>What Is ANTA and Why Does It Matter</t>
  </si>
  <si>
    <t>ANTA Overview</t>
  </si>
  <si>
    <t>ANTA Inventory Overview</t>
  </si>
  <si>
    <t>ANTA Inventory</t>
  </si>
  <si>
    <t>Building ANTA Inventory Manually</t>
  </si>
  <si>
    <t>Understanding ANTA Tests and Test Catalogs</t>
  </si>
  <si>
    <t>ANTA Tests</t>
  </si>
  <si>
    <t>Building a Test Catalog and Running NRFU</t>
  </si>
  <si>
    <t>Output Formats and Device Filtering</t>
  </si>
  <si>
    <t>Using Tags to Control Test Execution</t>
  </si>
  <si>
    <t>AVD and ANTA Integration Overview</t>
  </si>
  <si>
    <t>ANTA with AVD</t>
  </si>
  <si>
    <t>Using the anta_runner Role</t>
  </si>
  <si>
    <t>Lab - Arista Network Test Validation (ANTA)</t>
  </si>
  <si>
    <t>Configuriing L2LS Campus with External Gateway using CVP Studios</t>
  </si>
  <si>
    <t>CVP, CloudVision, CVaaS, CloudVision as a Service, Studios, Workspaces, Inventory and Topology Studio, L2LS DC Network, L2LS Campus, Campus Fabric (L2/L3/eVPN), , Change Control, External Gateway, Campsu Egress, Egress Interface</t>
  </si>
  <si>
    <t>Connecting New Host to L2LS Campus</t>
  </si>
  <si>
    <t>CVP, CloudVision, CVaaS, CloudVision as a Service, Studios, Workspaces, L2LS Network, L2LS Campus, Campus Fabric (L2/L3/eVPN), Day 2 Operation, Add New Host, Connect Host to L2LS Campus</t>
  </si>
  <si>
    <t>Lab - Day 2 Operations with L2LS Campus Studios</t>
  </si>
  <si>
    <t>Automating L2LS Campus Network with CVP Studios</t>
  </si>
  <si>
    <t>Configuring L3LS Campus with CVP Studios</t>
  </si>
  <si>
    <t>CVP, CloudVision, CVaaS, CloudVision as a Service, Studios, Workspaces, Inventory and Topology Studio, L3L3 Campus Network, Campus Fabric (L2/L3/eVPN), Change Control</t>
  </si>
  <si>
    <t>Automating L3LS Campus Network with CVP Studios</t>
  </si>
  <si>
    <t>Adding New Spines to L3LS Campus</t>
  </si>
  <si>
    <t>CVP, CloudVision, CVaaS, CloudVision as a Service, Studios, Workspaces, Inventory and Topology Studio, L3L3 Campus Network, Campus Fabric (L2/L3/eVPN), Change Control, Add New Campus Spine, Add New Spine,</t>
  </si>
  <si>
    <t>Lab - Automating L3LS Campus with Studios</t>
  </si>
  <si>
    <t>Lab - Day 2 Operations with L3LS Campus Studios</t>
  </si>
  <si>
    <t>Topology Overview</t>
  </si>
  <si>
    <t>Automating L3LS DC Network with CVP Studios</t>
  </si>
  <si>
    <t>Register Devices to CloudVision Studios</t>
  </si>
  <si>
    <t>L3LS Fabric Studio Capabilities Overview</t>
  </si>
  <si>
    <t>Automating L3LS DC Fabric with Studios</t>
  </si>
  <si>
    <t>Automating Host Interfaces with Studios</t>
  </si>
  <si>
    <t>Automating External Connections with Studios</t>
  </si>
  <si>
    <t>Lab - Automating L3LS DC with Studios</t>
  </si>
  <si>
    <t>Lab - Day 2 Operations with L3LS DC Studios</t>
  </si>
  <si>
    <t>Introduction to MPLS Labels</t>
  </si>
  <si>
    <t>MPLS, Multi Protocol Label Switching, MPLS Label, IP Routing, MPLS Control Plane, MPLS Data Plane</t>
  </si>
  <si>
    <t>MPLS Basics</t>
  </si>
  <si>
    <t>MPLS Packet and Devices</t>
  </si>
  <si>
    <t>MPLS, Multi Protocol Label Switching, MPLS Label, Label Structure, MPLS Packet, MPLS Frame, LSR, eLSR, Label Switch Router, Label Edge Router</t>
  </si>
  <si>
    <t>Establishing LDP Sessions</t>
  </si>
  <si>
    <t xml:space="preserve">MPLS, Multi Protocol Label Switching, LDP, LER, LSR, Label Edge Router, Label Distribution Protocol, LDP Neighbor Discovery, </t>
  </si>
  <si>
    <t>MPLS Flow and Terminology</t>
  </si>
  <si>
    <t>MPLS, Multi Protocol Label Switching, LDP, LER, LSR, Label Edge Router, Label Distribution Protocol, RSVP, MPLS Flow, MPLS Terminology, SR, Segment Routing, POP Label, SWAP Label, IMPOSE Label</t>
  </si>
  <si>
    <t>MPLS Control Plane &amp; Data Plane Tables</t>
  </si>
  <si>
    <t>MPLS, Multi Protocol Label Switching, MPLS Control Plane, MPLS Data Plane, LIB, LFIB, LSDB, RIB, FIB, Routing Information Base, Forwarding Information Base, Label Information Based</t>
  </si>
  <si>
    <t>IGP Routing &amp; MPLS Control Plane Convergence</t>
  </si>
  <si>
    <t>MPLS, Multi Protocol Label Switching, IGP Routing, MPLS Convergence, MPLS Control Plane, LSP, Label Switch Path, RIB, LIB, LFIB, FIB</t>
  </si>
  <si>
    <t>MPLS Data Plane</t>
  </si>
  <si>
    <t>MPLS, Multi Protocol Label Switching, MPLS Data Plane, MPLS Control Plane, MPLS Traffic Flow, MPLS Routing Tables, FIB, LFIB, MPLS Ingress, MPLS egress, MPLS Forwarding, Label Pop, Label Swap, Label Imposition</t>
  </si>
  <si>
    <t>Penultimate Hop Popping - PHP</t>
  </si>
  <si>
    <t>MPLS, Multi Protocol Label Switching, MPLS PHP, Penultimate Hop Popping, MPLS Label Operations, MPLS Label Imposition, MPLS Label Swap, MPLS Label Pop, Implicit Null Label 3, Explicit Null Label 0, MPLS Special Labels, MPLS LDP Labels, MPLS QoS EXP Bits, FIB, LFIB, MPLS Label Switch Path, LSP, MPLS Egress Label Handling, MPLS Routing and Forwarding</t>
  </si>
  <si>
    <t>MPLS Services vs Applications vs Transport</t>
  </si>
  <si>
    <t>MPLS, Multi Protocol Label Switching, MPLS Services, MPLS Applications, MPLS Transport, IP VPN service, L3VPN service, VPLS Service, EVPN Service, EVPN L3 with IRB, Ethernet over MPLS, Service Level Agreements, VPLS Service, MPLS SLA, MPLS QoS, Fast Reroute, FRR, MPLS Traffic Engineering, TE, RSVP-TE, Segment Routing, SR-MPLS, Arista MPLS Support</t>
  </si>
  <si>
    <t>Route Aggregation in an MPLS Domain</t>
  </si>
  <si>
    <t>MPLS, MPLS aggregation, MPLS LSP, Label Switch Path, Route aggregation in MPLS, MPLS VPN, Implicit null vs explicit null, MPLS troubleshooting, MPLS contiguous labels, Service provider MPLS</t>
  </si>
  <si>
    <t>MPLS Troubleshooting Basics</t>
  </si>
  <si>
    <t>Loop Detection with TTL Propagation</t>
  </si>
  <si>
    <t>MPLS, TTL propagation, Disable TTL propagation, MPLS traceroute, MPLS troubleshooting, MPLS loops, MPLS header TTL, Arista MPLS, Service provider MPLS, Hiding MPLS core</t>
  </si>
  <si>
    <t>IGP vs LDP Convergence</t>
  </si>
  <si>
    <t>MPLS, IGP and LDP convergence, LDP, OSPF with MPLS, ISIS with MPLS, Label Distribution Protocol, MPLS convergence, Segment Routing, Fast Reroute FRR, MPLS troubleshooting</t>
  </si>
  <si>
    <t>Overview of VPNs</t>
  </si>
  <si>
    <t>VPN Introduction, VPN Basics Explained, Private Networks, Virtual Circuits Frame Relay,  ATM X.25, Overlay VPNs, Underlay Technologies for VPN, Provider Edge (PE) routers, Provider Core (P) routers, Customer Edge (CE) routers, Overlay VPN Terminology, Layer 2 VPNs, Layer 3 VPNs, Ethernet over MPLS, EoMPLS, , VPLS, Virtual Private LAN Service, EVPN, Ethernet VPN, L3VPN with BGP, Peer-to-Peer VPNs,  MPLS Underpinning for VPNs, Service Provider VPN Offerings, VPN History and Evolution</t>
  </si>
  <si>
    <t>Virtual Private Networks</t>
  </si>
  <si>
    <t>VPN Data Plane</t>
  </si>
  <si>
    <t>MPLS, VPN Data Plane, MPBGP, VPNv4 Routes, Route Distinguisher, RD, Route Target, RT, Inner Label, Outer Label, Label Distribution Protocol, LDP, Label Swapping, Label Stack, Implicit Null, Penultimate Hop Popping, PHP, Loopback Reachability, IS-IS, Core Stabilization, Provider Edge, PE Router, Provider Router, P Router, VRF Labels, Multi-Protocol BGP, Control Plane vs Data Plane, MPLS Core Design, Stabilizing the Core, MPLS Label Forwarding, VPN Label Stack</t>
  </si>
  <si>
    <t>Benefits of MPLS</t>
  </si>
  <si>
    <t>MPLS, MPLS Benefits, Core Stabilization, Core Isolation, Service Provider Core, Control Plane vs Data Plane, VRF, VRF Isolation, MPBGP, VPNv4 Routes, Route Distinguisher (RD), Route Target (RT), Label Stack, Inner Label, Outer Label, LDP, Implicit Null, Penultimate Hop Popping (PHP), Loopback Reachability, IS-IS, PE Router, P Router, CE Router, Label Switched Path (LSP), Label Imposition Swap Pop, LFIB, LIB, Postal ZIP Code Analogy, Layer 3 VPN (L3VPN), Layer 2 VPN (L2VPN), Traffic Engineering, RSVP-TE, Segment Routing (SR-MPLS), Fast Reroute (FRR), High Availability, Rapid Convergence</t>
  </si>
  <si>
    <t>Introduction to E-Line Services and LDP Pseudowires</t>
  </si>
  <si>
    <t>E-Line Services, Pseudowires, LDP, MPLS, Targeted LDP, PWE3, Wire Emulation, Type 4 VLAN, Type 5 Raw Ethernet, Patch Panel, Attachment Circuit, Arista EOS, No Switchport, MAC Learning, Spanning Tree, LACP, Ethernet Service, MPLS Labels, Service Label, Patch Configuration, LDP Keepalive, MPLS Transport, CE to PE Connectivity, Pseudowire ID, MPLS Forwarding, Label Stack</t>
  </si>
  <si>
    <t>MPLS L2 VPN Basics</t>
  </si>
  <si>
    <t>Point-to-Point Layer 2 Services</t>
  </si>
  <si>
    <t>Point-to-Point Services, LDP Pseudowire, Ethernet Emulation, MPLS, Targeted LDP, Type 4 VLAN, Type 5 Raw Ethernet, Virtual Private Wire Service, BGP VPWS, Attachment Circuit, No Switchport, MAC Learning, Penultimate Hop Popping, Service Label, Transport Label, MPLS QoS, Remote Fault Signaling, MACsec, VLAN Mapping, MTU Matching, Arista EOS, Layer 2 VPN, Edge-to-Edge Service, MPLS Control Plane, PWE3</t>
  </si>
  <si>
    <t>Multipoint Layer 2 VPN Service</t>
  </si>
  <si>
    <t>Multipoint Layer 2 VPN, VPLS, E-LAN, EVPN, BGP VPLS, AFI 25 65, Sub-AFI 25 65, Pseudowires, Hub and Spoke, Full Mesh, Partial Mesh, Point-to-Multipoint, Root and Leaf, MAC Learning, Flooding Control, Host Mobility, vMotion, Active Multihoming, VLAN Handoff, Interworking, Virtual Private LAN Service, VPWS, LDP vs BGP, Layer 2 Services, Arista EOS</t>
  </si>
  <si>
    <t>Configuring E-Line with LDP Pseudowire</t>
  </si>
  <si>
    <t>E-Line Service, LDP Pseudowire, MPLS, IS-IS Segment Routing, Targeted LDP, Pseudowire ID, Patch Panel, Attachment Circuit, No Switchport, Type 5 Raw Ethernet, LFIB, Service Label, Transport Label, Penultimate Hop, MPLS Tunnel, Pseudowire Verification, Arista EOS, Customer Connectivity, LLDP, Segment Routing Labels, MPLS Core, Layer 2 VPN, IP Routing</t>
  </si>
  <si>
    <t>Lab - Configuring E-Line and LDP Pseudowire</t>
  </si>
  <si>
    <t>Static Flow Aware Transport (FAT) Support on EVPN VPWS</t>
  </si>
  <si>
    <t>EVPN VPWS, Flow Aware Transport, FAT Label, Entropy Label, Load Balancing, ECMP, MPLS, BGP VPWS, Virtual Private Wire Service, Pseudowire, MPLS Labels, Transport Label, Service Label, Per-Flow Hashing, MTU Adjustment, MPLS QoS, Flow Label Agreement, Arista EOS, Equal Cost Multipath, Segment Routing, Network Optimization</t>
  </si>
  <si>
    <t>Ethernet VPN Implementations</t>
  </si>
  <si>
    <t>E-Line with EVPN VPWS</t>
  </si>
  <si>
    <t>EVPN VPWS, E-Line Service, BGP EVPN, Virtual Private Wire Service, Pseudowire, MPLS, Service Label, Ethernet Tag ID, Route Type 1, Auto Discovery, BGP Control Plane, MPLS Control Word, Patch Panel, Port Based Service, VLAN Based Service, Type 4, Type 5, Route Distinguisher, Route Target, Encapsulation MPLS, Segment Routing, Shared Ethernet Segment, MAC Learning, Layer 2 VPN, MP-BGP, Arista EOS, RFC 8214, Service Instance, Ethernet Segment Identifier, Customer Connectivity</t>
  </si>
  <si>
    <t>E-LAN with EVPN Type-2 (L2EVPN)</t>
  </si>
  <si>
    <t>EVPN, E-LAN, L2EVPN, Type-2 MAC/IP, Route-Type 1, Route-Type 3 IMET, Route-Type 4 ESI, Route-Type 5 IP-Prefix, MAC VRF, EVI, ESI Multihoming, DF Election, ARP Suppression, Head-End Replication, Flood List, VXLAN vs MPLS, MPLS Encapsulation, MP-BGP, Segment Routing, Service Label</t>
  </si>
  <si>
    <t>Lab - E-LAN with EVPN Route Type 2</t>
  </si>
  <si>
    <t>Lab - Configuring L3EVPN Route Type 5</t>
  </si>
  <si>
    <t>Lab - Troubleshooting L3EVPN Data Plane</t>
  </si>
  <si>
    <t>Configuring Common AS Number in Multiple Sites</t>
  </si>
  <si>
    <t>MPLS, MPLS VPN, BGP, PE-CE BGP, identical AS number, AS path loop, AS path replace outbound, Layer 3 VPN, BGP troubleshooting, MPLS troubleshooting, Arista BGP configuration</t>
  </si>
  <si>
    <t>BGP as PE-CE Protocol</t>
  </si>
  <si>
    <t>Allowas-In Part 1</t>
  </si>
  <si>
    <t>MPLS, BGP, allow ASN, allow AS-IN, MPLS troubleshooting, BGP troubleshooting, AS path control, Layer 3 VPN, service provider design, Arista configuration, identical AS numbers, EVPN, hub and spoke design</t>
  </si>
  <si>
    <t>Allowas-In Part 2</t>
  </si>
  <si>
    <t>MPLS, BGP, allow AS-IN, allow ASN, Hub-and-spoke, MPLS VPN, PE-CE BGP, AS path loop detection, IBGP and EBGP, VRF route-targets, Arista EOS, Troubleshooting</t>
  </si>
  <si>
    <t>Lab - Configuring MP-BGP and L3VPN</t>
  </si>
  <si>
    <t>Overlapping VPNs</t>
  </si>
  <si>
    <t>Overlapping VPNs, Route Target Import, Route Target Export, Route Target Filtering, VRF, VRF Design, Multi-VRF per Site, Routing Context, Route Distinguisher, RD Uniqueness, MPBGP, VPNv4 Routes, PE Router, CE Router, IBGP, EBGP, IS-IS Core Reachability, Shared Services VPN (concept), Hub-and-Spoke via RTs, Selective Route Sharing, Inter-VPN Connectivity, VRF Membership Planning, Scalability Considerations, Single-PE Logical Design Method, Distributed PE Mapping, Configuration Matrix, Service Provider MPLS Architecture, Policy-Driven Isolation, Route Leaking with RTs</t>
  </si>
  <si>
    <t>L3VPN Advanced Services</t>
  </si>
  <si>
    <t>Configuring Shared Service VPN</t>
  </si>
  <si>
    <t>Shared Service VPN, MPLS VPN, VPN Configuration, Route Targets, Asymmetric Route Targets, Import RT, Export RT, VRF Configuration, VRF BGP, VPNv4, PE Router, CE Router, Service Provider MPLS, Shared Services Access, DNS Services, Internet Access, Authentication Services, Firewall Services, Multi-VPN Connectivity, Service Isolation, MP-BGP, Show IP BGP, Loopback Verification, Routing Context, VPN B, VPN C, VPN A, Scalability, Asymmetric Filtering, Shared Service Design, Control Plane, Data Plane, VRF Import Export, Inter-VPN Connectivity</t>
  </si>
  <si>
    <t>Managed Service VPNs</t>
  </si>
  <si>
    <t>Managed Service VPN, MPLS VPN, VRF, Shared Service VPN, Managed Service Design, Service Provider MPLS, Multi-VPN Architecture, Customer VPN Isolation, Inter-VPN Connectivity, Route Targets, Import RT, Export RT, Asymmetric Route Targets, Route Maps, Selective Route Import, Selective Route Export, Loopback Management, Loopback0, Loopback1, Control Plane, Data Plane, MP-BGP, VPNv4, PE Router, CE Router, Global VPN Table, Route Target Filtering, Route Target Tagging, Scalable VPN Design, Managed Router Access, Selective Reachability, Service Provider Operations</t>
  </si>
  <si>
    <t>Configuring Managed Service VPN</t>
  </si>
  <si>
    <t>Managed Service VPN, Selective Route Export, Selective Route Import, Asymmetric Route Targets, Route Target Tagging, Export Route Map, Import Route Map, Extended Community (RT), Prefix List Match, Default Deny in Route-Map, Permit Any Statement, MP-BGP, VPNv4 Global Table, VRF SS (Shared Service), VRF B, PE1, PE2, CE Loopback0, CE Loopback1, eBGP to PE, Import/Export per VRF, Show IP BGP Verification, Troubleshooting Missing RTs, Policy-Based Route Filtering</t>
  </si>
  <si>
    <t>Lab - Configuring Managed Service VPNs</t>
  </si>
  <si>
    <t>Lab - Configuring Overlapping VPNs</t>
  </si>
  <si>
    <t>Introduction to TE</t>
  </si>
  <si>
    <t>Traffic Engineering, Routing Protocols, RIP Hop Count, OSPF Cost Metric, IS-IS Cost, EIGRP Metrics, BGP AS Path, Metric Offset, Static Routes, Equal Cost Multipath ECMP, Tunnels, GRE Tunnel, OSPF Tunnels, Policy-Based Routing, Route Maps, Static Routing vs Dynamic Routing, Bandwidth Reservation, QoS and Traffic Engineering, Load Balancing, Routing Table Preference, IGP vs BGP, Tunnel Path Selection, QoS-Based Routing, TE Bandwidth Reservation, Link Attributes, Tunnel Attributes, TE Controllers, MPLS TE, TE vs QoS, Network Planning, Routing Optimization, Path Control, Autonomous Systems, Routing Cost Comparison, Routing Metrics, Routing Decisions, Traffic Load Balancing, Packet Forwarding, Routing Policies, Network Design, Dynamic Path Selection, Tunnel Metric, Bandwidth Allocation, Routing Behavior, Route Preference, Routing Examples, Routing Topology, Network Engineering Concepts</t>
  </si>
  <si>
    <t>MPLS RSVP-TE Elements</t>
  </si>
  <si>
    <t>Tunnel and Link Attributes Overview</t>
  </si>
  <si>
    <t>MPLS Traffic Engineering, Tunnel and Link Attributes, Tunnel Attributes, Link Attributes, MPLS TE, RSVP Labels, LDP Labels, Label Switched Path LSP, OSPF TE, CSPF Algorithm, Constraint-Based SPF, Shortest Path First, Bandwidth Reservation, Unreserved Bandwidth, Maximum Reservable Bandwidth, MPLS Tunnels, Traffic Engineering Tunnels, OSPF Extensions, OSPF Link State Database, LSAs, OSPF LSAs, OSPF Area, OSPF Attributes, OSPF Metrics, OSPF Cost, OSPF Advertisements, Network Topology, Link Bandwidth, Tunnel Bandwidth, TE Constraints, TE Path Selection, Tunnel Creation, MPLS Label Distribution, LSP Paths, Routing Constraints, OSPF Modification, OSPF Traffic Engineering, Tunnel Definition, Tunnel Selection, Traffic Classification, RSVP Signaling, Network Resources, Resource Reservation, Available Bandwidth, Bandwidth Constraints, Service Provider Networks, MPLS Network Design, CSPF Path Computation, OSPF Database, Router Attributes, TE Implementation, MPLS Concepts, Network Planning, Path Computation, MPLS Fundamentals</t>
  </si>
  <si>
    <t>RSVP Part 1 - Path and Reservation Concepts</t>
  </si>
  <si>
    <t>RSVP Fundamentals, RSVP Path vs Reservation, OSPF TE, Opaque LSAs, Unreserved Bandwidth, Traffic Engineering Database TED, CSPF Algorithm, Explicit Route Object ERO, RSVP Path Message, RSVP Resv Message, PathErr Message, MPLS LSP, LDP vs RSVP, Bandwidth Reservation 50G, 100G Links Assumption, Headend Computation, Dynamic Path Selection, Explicit Path Selection, TE with OSPF Enhancements, Link State Database LSDB, ISIS/OSPF Link-State Flooding, RSVP Tunnel Bring-Up, RSVP Signaling Flow, ERO Next-Hop List, RSVP Verification Concepts</t>
  </si>
  <si>
    <t>RSVP Part 2 - Path State Table and RSVP Error Messages</t>
  </si>
  <si>
    <t>RSVP Path State Table, RSVP Error Messages, Path vs Reservation Flow, Path State Table Fields, Session ID, Destination ID, Tunnel ID, Previous Hop Field, RSVP Reservation Flow, RSVP Path Message, RSVP Resv Message, Previous Hop Lookup, RSVP Reverse Path, ERO Explicit Route Object, CSPF Algorithm, Traffic Engineering Database, TE Opaque LSAs, PathErr Message, ResvErr Message, RSVP Troubleshooting, RSVP Signaling Process, RSVP Path Error, Reservation Timeout, Reservation Expiry, Unreserved Bandwidth, Tunnel Creation Failure, RSVP Dynamic Path, RSVP Explicit Path, RSVP Headend Computation, RSVP Tail-End Behavior, MPLS RSVP TE, RSVP Confirmation, Tunnel ID Differentiation, Multiple Tunnels Same LSP, RSVP Path Follow-Up, Path Error to Source, Reservation Error to Destination, RSVP Error Handling, RSVP Debug Example, MPLS TE Concepts, Bandwidth Reservation Release, RSVP Reservation Confirmation</t>
  </si>
  <si>
    <t>MPLS RSVP TE Configuration</t>
  </si>
  <si>
    <t>MPLS RSVP TE Configuration, MPLS Traffic Engineering, RSVP Signaling, RSVP Tunnels, Dynamic Path Selection, Explicit Path, CSPF Algorithm, Constraint-Based SPF, ISIS TE, ISIS Traffic Engineering, ISIS TLVs, MPLS Configuration, Traffic Engineering Tunnel, PE to PE Tunnel, MPLS LSP, LSP Path Selection, MPLS RSVP Commands, Bandwidth Reservation, Reservable Bandwidth, Tunnel Bandwidth, RSVP ERO, Explicit Route Object, RSVP Session, RSVP Setup, MPLS Router Configuration, Head-End Tunnel Configuration, Tail-End Tunnel, Dynamic Tunnel Allocation, MPLS Path Computation, RSVP Path Reroute, MPLS Failover, Link Shutdown Test, Tunnel Verification, Show RSVP Tunnel, Show MPLS RSVP, MPLS Topology, MPLS TE Setup, Traffic Engineering Bandwidth, Router ID Configuration, No Shut Command, IGP with CSPF, ISIS Level 1 Configuration, MPLS Tunnel Headend, MPLS RSVP Troubleshooting, MPLS RSVP Lab, MPLS RSVP Example, MPLS RSVP Demonstration, MPLS RSVP Validation, MPLS RSVP Concepts, MPLS RSVP Testing, MPLS RSVP TE Lab, MPLS RSVP Tunnel Verification, MPLS RSVP Dynamic Path, MPLS RSVP Network Engineering Concepts</t>
  </si>
  <si>
    <t>Lab - Configuring MPLS RSVP TE Dynamic Tunnels</t>
  </si>
  <si>
    <t>Tunnel Protection via Multiple Tunnels</t>
  </si>
  <si>
    <t>Tunnel Protection, MPLS Traffic Engineering, RSVP Tunnels, Backup Tunnel, Primary Tunnel, Multiple Tunnels, Tunnel Attributes, Tunnel Bandwidth, Tunnel Priority, Tunnel Metrics, Fast Reroute FRR, Link Protection, Node Protection, BFD Detection Time, IGP Reconvergence, OSPF Convergence, ISIS Convergence, SPF Recalculation, Data Plane Update, 200ms Convergence, Packet Loss, BFD 50ms Detection, Headend Tunnel Control, PE to PE Tunnels, Bandwidth Reservation, LSP Path Selection, LSP Failover, Primary vs Backup Paths, Multiple LSPs, Tunnel Attribute Configuration, Multiple Paths per Tunnel, Tunnel Bandwidth Allocation, Backup Tunnel Reservation, Oversubscription Issue, Bandwidth Double Counting, Path Diversity, Tunnel Failover, MPLS TE Redundancy, FRR vs Multiple Tunnels, TE Design Best Practices, Tunnel Protection Strategies, RSVP TE Recovery, MPLS Fast Reroute Overview</t>
  </si>
  <si>
    <t>MPLS RSVP Tunnel Protection</t>
  </si>
  <si>
    <t>MPLS TE - RSVP - FRR</t>
  </si>
  <si>
    <t>MPLS TE RSVP FRR, MPLS Traffic Engineering, Fast Reroute, RSVP TE, FRR Concepts, Link Protection, Node Protection, CSPF Algorithm, ISIS TE, OSPF TE, Point of Local Repair PLR, Merge Point MP, Bypass Tunnel, Detour Tunnel, Facility Backup, 1:1 Detour, Many:1 Bypass, LSP Protection, Tunnel Reroute, Dynamic Tunnels, Explicit Tunnels, Make Before Break, RSVP Path Message, RSVP Reservation Message, RSVP ERO, Headend Tunnel Control, Control Plane vs Data Plane, FRR Timing, Failure Detection, IGP Hold Timer, LSP Restoration, Bandwidth Reservation, Protected LSP, Unprotected LSP, Sub Tunnel, Backup LSP, RSVP Path Recalculation, Tunnel Restoration, PLR to MP Operation, ISIS LSP Flooding, RSVP TE Scalability, FRR Detour vs Bypass Comparison, Facility Backup Default Mode, EOS FRR Implementation, MPLS TE Recovery Mechanisms, MPLS FRR Design Best Practices</t>
  </si>
  <si>
    <t>RSVP FRR Facility Bypass Data Plane</t>
  </si>
  <si>
    <t>RSVP FRR Facility Bypass, MPLS TE, RSVP Fast Reroute, Facility Backup Bypass, Detour vs Bypass, Link Protection, Node Protection, PLR Point of Local Repair, MP Merge Point, Precomputed Subtunnel, Make-Before-Break, Control Plane vs Data Plane, Label Stacking (3 Labels), Outer/Inner/Middle Labels, MP-BGP Inner Label, RSVP Outer Labels, Middle Label to MP Expected Label, PHP Penultimate Hop Popping, Protected LSPs, Multiple LSPs Through One Bypass, Scalability of Bypass, Global FRR Enablement, Per-Tunnel Protection Override, Failure Around P4–P6, Subtunnel Labels Example (100/200), Red and Green LSP Walkthrough, RSVP Path/Resv Context, ISIS/OSPF TE Context, LSP Restoration Behavior</t>
  </si>
  <si>
    <t>Lab - Configuring RSVP TE Multiple Tunnels</t>
  </si>
  <si>
    <t>Lab - Configuring Dynamic and Explicit Multi-Tunnel FRR</t>
  </si>
  <si>
    <t>Lab - Using Admin-Groups for Link and Tunnel Attributes Lab</t>
  </si>
  <si>
    <t>Lab - Using Secondary Path for Path Selection</t>
  </si>
  <si>
    <t>Segment Routing Foundations and Basic Traffic Engineering</t>
  </si>
  <si>
    <t>Segment Routing, MPLS, SR-TE, Traffic Engineering, Global SID, Local SID, Prefix SID, Adjacency SID, Anycast SID, Source Routing, Label Stack, Constraint-Based Routing, IS-IS SR, BGP SR, Arista EOS, MPLS Troubleshooting</t>
  </si>
  <si>
    <t>Segment Routing Fundamentals and Transitions</t>
  </si>
  <si>
    <t>LDP vs Segment Routing: Foundations and Protocols</t>
  </si>
  <si>
    <t>LDP, Segment Routing, MPLS, SR vs LDP, IS-IS SR, Label Distribution Protocol, Global SID, Local SID, Prefix SID, Adjacency SID, PHP, ECMP, Traffic Engineering, Label Switching, Arista EOS, MPLS Troubleshooting</t>
  </si>
  <si>
    <t>LDP vs Segment Routing: A Comparative Overview</t>
  </si>
  <si>
    <t>Segment Routing, LDP, MPLS, SR vs LDP, IS-IS SR, Node SID, Prefix SID, Adjacency SID, Global Labels, Local Labels, Label Significance, Label Flooding, Deterministic Labels, Label Switching, Arista EOS, MPLS Troubleshooting</t>
  </si>
  <si>
    <t>Exploring Segment Routing and Traffic Engineering in MPLS Networks</t>
  </si>
  <si>
    <t>Segment Routing, MPLS, Traffic Engineering, IS-IS, OSPF, Link State Advertisements, Link State Packets, LSP vs LSA, LDP Replacement, Deterministic Labels, Global Labels, SRTE, Constraint-Based Routing, Topology Independent Loop-Free Alternate, TILFA, Arista EOS, MPLS Troubleshooting</t>
  </si>
  <si>
    <t>MPLS Transport SR Options</t>
  </si>
  <si>
    <t>MPLS, Segment Routing, IS-IS, BGP, Arista EOS, SR Global Base, SR Local Base, Adjacency SID, Prefix SID, SR Range, TLVs, Sub-TLVs, IS-IS Neighbors, show isis neighbor detail, show isis segment-routing, MPLS Transport, Segment Routing Configuration, Segment Routing Troubleshooting, MPLS Labels, SRGB, SRLB, Link State Packet</t>
  </si>
  <si>
    <t>MPLS Core with SR-TE</t>
  </si>
  <si>
    <t>SR-TE, MPLS Core, Data Plane Operation, Label Stack Steering, Source Routing Concept, Deterministic Forwarding, ISIS-SR, No RSVP, Traffic Engineering Option, IGP Best Path Default, Label Switched Path, Edge-to-Edge Tunneling, Static Route Label Stack, Next-Hop Group, BGP-LU Integration, Label Stack Injection, BGP Next-Hop Resolution, SR Policy, Application-Specific LSP, No Tunnel State, No Keepalive, Stateless Forwarding, Data-Driven Path Selection, Policy-Driven Label Stack, Static or Controller-Pushed Policy, SR Multi-Domain, ECMP Support, Flow-Based Load Balancing, Label Stack-Based Routing, Traffic Steering Objective, SR-TE Policy Definition, No Constraint-Based TE, No Bandwidth Reservation.</t>
  </si>
  <si>
    <t>Advanced Segment Routing: Global Significance and Network Types</t>
  </si>
  <si>
    <t>Segment Routing, IS-IS, Network Types, Point-to-Point, Broadcast, Loopback, Adjacency SID, Prefix SID, Node SID, Global SID, Local SID, Segment Routing Traffic Engineering, IS-IS DIS, Designated IS, IS-IS Network Type Command, MPLS, Arista EOS, Best Practices, IS-IS Configuration, Global Adjacency, Prefix Index, Node Index</t>
  </si>
  <si>
    <t>Advanced Segment Routing: Traffic Engineering and Proxy Sets</t>
  </si>
  <si>
    <t>Segment Routing, Adjacency SID, Proxy SID, SR Mapping Server, SRMS, Traffic Engineering, IS-IS SR, BGP SR, LDP Interworking, Label Stack, MPLS, Source Routing, Arista EOS, Node SID, Prefix SID, Label Forwarding, LFIB, SR Proxy Configuration, SR Traffic Engineering, Constraint Based Routing, PCE Controller, SRTE, SR vs LDP, Segment Routing Basics</t>
  </si>
  <si>
    <t>Configuring SR and IS-IS Basics</t>
  </si>
  <si>
    <t>Segment Routing (SR), IS-IS SR Basics, IS-IS Process Label, Segment Routing MPLS, MPLS IP Prerequisite, IP Routing Enable, Node SID, Prefix SID, Adjacency SID, Global vs Local Adjacency SID, Point-to-Point Network Type, Broadcast Not Allowed for Global Adj SID, Proxy Node SID, SR Mapping Server (SRMS), LDP Interop, SRGB 900000 Base, SR Label Range 900000–965535, Base+Index Derivation, Unique SID Index Planning, Loopback0 Node SID Config, IS-IS Segment Routing MPLS, Prefix-SID Under IS-IS, Neighbor Reachability TLV, IP Reachability TLV, Sub-TLVs for SIDs, Anycast SID, ECMP-Aware Anycast, Same SRGB Requirement, TE with Adjacency SIDs, Label Stack Behavior, PHP Penultimate Hop Popping, Node SID Forwarding Example, Adjacency SID Forwarding Example, Global Adjacency Exposure, Router-ID Considerations, Point-to-Point Link IDs, IS-IS LSP Flooding, R-LSA / Router LSA Analogy, Reservable Bandwidth (TE), SRLG Color Attributes, No Shut in IS-IS SR, Show MPLS Label Range, Avoid SID Overlap, Index Uniqueness, SR on Mixed-Vendor Networks, Prefix vs Node SID Differences, Configuration Commands Cheatsheet, IS-IS TE Evolution, Mapping Server Proxy Example</t>
  </si>
  <si>
    <t>Segment Routing Configurations</t>
  </si>
  <si>
    <t>Examining SR Show Commands</t>
  </si>
  <si>
    <t>ISIS segment routing, segment routing, SR show commands, LDP, RSVP, BGP-LU, segment routing adjacency segment, segment routing local base, NLS label range, dynamic range, SR global block, system ID, router ID, prefix segment, node segment, proxy node, flag descriptions, label binding, ISIS adjacency segment, ISIS prefix segment</t>
  </si>
  <si>
    <t>Introducing User Defined Tunnel RIB</t>
  </si>
  <si>
    <t>User-Defined Tunnel RIB, System Tunnel Preferences, LDP vs SR, Next-Hop Resolution, MPLS Tunnels, Tunnel Preference, SR Priority, LDP Priority, Custom Routing Control</t>
  </si>
  <si>
    <t>Implementing Custom Path Strategies</t>
  </si>
  <si>
    <t>User-Defined Tunnel RIB, Custom Path Preference, LDP over SR, Next-Hop Resolution, Route Map Policy, BGP IPv4, LDP Preference, SR Preference, Tunnel Verification, Customer-Specific Routing</t>
  </si>
  <si>
    <t>Lab - ISIS SR TE</t>
  </si>
  <si>
    <t>Lab - Configuring SR-TE Policy</t>
  </si>
  <si>
    <t>Traffic Steering and Service Mapping Case Study</t>
  </si>
  <si>
    <t>Traffic Steering, Service Mapping, MPLS Core, LDP, Segment Routing, SR-TE, EVPN, L3VPN, IP over MPLS, User-Defined Tunnel RIB, BGP Next-Hop Resolution, Color Steering, Customer A, Customer B, Customer C</t>
  </si>
  <si>
    <t>Segment Routing Traffic Engineering and Steering</t>
  </si>
  <si>
    <t>IS-IS SR TE Configuration</t>
  </si>
  <si>
    <t>IS-IS, Segment Routing, SR-TE, Traffic Engineering, TE Metric, Admin Group, Link Coloring, SRLG, BGP-LS, PCE, TED, MPLS, Arista EOS</t>
  </si>
  <si>
    <t>SR-TE Choosing Best Candidate Paths</t>
  </si>
  <si>
    <t>SR-TE, Candidate Paths, Policy Selection, Binding SID, BGP Color, Endpoint Identifier, Segment Routing, Traffic Engineering, Path Preference, Load Sharing</t>
  </si>
  <si>
    <t>Verify and Test SR-TE Policy</t>
  </si>
  <si>
    <t>SR-TE, Label Steering, Static Policy, Traffic Engineering, Segment Routing, Binding SID, MPLS Labels, Path Validation, Tunnel FIB, Trace Route, PE Verification</t>
  </si>
  <si>
    <t>Implementing SR-TE for Color Steering</t>
  </si>
  <si>
    <t>SR-TE, Color Steering, BGP Extended Community, Traffic Engineering Policy, Segment Routing, Static Policy, Tunnel FIB, Route Map, Color Matching, Path Preference</t>
  </si>
  <si>
    <t>Steering Traffic Into SR-TE Policies</t>
  </si>
  <si>
    <t>SR-TE, Label Steering, Color Steering, BGP Extended Community, Segment Routing, Traffic Engineering Policy, Binding SID, Tunnel RIB, Path Validation, Static Policy, BGP SRTE, Policy Matching, Label Stack, Path Preference</t>
  </si>
  <si>
    <t>Configuring Color Steering with SR-TE Policy</t>
  </si>
  <si>
    <t>SR-TE, Color Steering, BGP Extended Community, Segment Routing, Traffic Engineering, MPLS, ISIS Segment Routing, VRF Configuration, Layer 3 VPN, Layer 2 EVPN, BGP Next Hop Resolution, System Tunnel RIB, Path Preference, PE Routers, Arista EOS</t>
  </si>
  <si>
    <t>Lab - Steering Traffic into TE Policy</t>
  </si>
  <si>
    <t>Lab - System Tunnel RIB</t>
  </si>
  <si>
    <t>Lab - User Defined Tunnel RIB</t>
  </si>
  <si>
    <t>Lab - Color Steering SR-TE Policy</t>
  </si>
  <si>
    <t>DCI with BGP L3VPN vs EVPN Connectivity Challenges</t>
  </si>
  <si>
    <t>DCI, BGP L3VPN, EVPN, Next-Hop Processing, MP-BGP, VRF Connectivity, Layer 3 Interconnect, EBGP, VPNv4, VXLAN, Route Advertisement, Multi-VRF Design, Inter-DC Connectivity, BGP Behavior, Next-Hop Self, Routing Challenges</t>
  </si>
  <si>
    <t>SR-WAN and DCI</t>
  </si>
  <si>
    <t>L3 Connectivity Over MPLS-SR WAN</t>
  </si>
  <si>
    <t>L3 DCI, MPLS-SR WAN, EVPN Gateways, MP-BGP VPN, Type 2 Routes, Type 3 Routes, Type 5 Prefix, VXLAN to MPLS, Next-Hop Self, Route Target, Route Distinguisher, VRF Label, BGP Configuration, Gateway Behavior, WAN Interconnect, Multi-Domain EVPN</t>
  </si>
  <si>
    <t>DCI EVPN-VxLAN DC with MPLS-SR WAN</t>
  </si>
  <si>
    <t>DCI, EVPN, VXLAN, MPLS-SR WAN, Integrated Gateway, Layer 2 Extension, Layer 3 Connectivity, MP-BGP EVPN, VPN vs EVPN, VXLAN Gateway, Decoupled Interconnect, Integrated Interconnect, Control Plane Learning, Data Plane Encapsulation, Next-Hop Processing, WAN Interconnect, Multi-Domain DCI</t>
  </si>
  <si>
    <t>Case Study - L2 and L3 Connectivity over MPLS-SR WAN</t>
  </si>
  <si>
    <t>Case Study, MPLS-SR WAN, EVPN, VXLAN, Type 2 Routes, Type 3 Routes, Type 5 Routes, MAC IP Advertisement, IMET, Route Distinguisher, Route Target, Next-Hop Self, Gateway Behavior, Layer 2 Extension, Layer 3 Prefix, MP-BGP, Cross-DC Connectivity, VRF, AS Path, Route Regeneration, Inter-DC Communication</t>
  </si>
  <si>
    <t>Lab - Inter-AS Option C</t>
  </si>
  <si>
    <t>TRACK</t>
  </si>
  <si>
    <t>LESSON</t>
  </si>
  <si>
    <t>TOPIC #</t>
  </si>
  <si>
    <t xml:space="preserve">TOPIC </t>
  </si>
  <si>
    <t>TITLE</t>
  </si>
  <si>
    <t>LENGTH</t>
  </si>
  <si>
    <t>Network Foundations</t>
  </si>
  <si>
    <t>Network Engineering Fundamentals</t>
  </si>
  <si>
    <t>Arista EOS Fundametanls</t>
  </si>
  <si>
    <t>Layer 2 Switching Fundamentals</t>
  </si>
  <si>
    <t>Configuring  Inter-VLAN Routing with SVIs</t>
  </si>
  <si>
    <t>STP Port States</t>
  </si>
  <si>
    <t>Layer 3 Routing Fundamentals</t>
  </si>
  <si>
    <t>Network Design with Routers</t>
  </si>
  <si>
    <t>Why Routing</t>
  </si>
  <si>
    <t>Introduction to Dynamic Routing</t>
  </si>
  <si>
    <t>Classfull vs Classless Routing Protocols</t>
  </si>
  <si>
    <t>Advanced Networking Concepts</t>
  </si>
  <si>
    <t>Authentication, Authorization, Accounting (AAA)</t>
  </si>
  <si>
    <t>Policing and Shaping</t>
  </si>
  <si>
    <t>Lab - Configure QoS</t>
  </si>
  <si>
    <t>SUB TRACK</t>
  </si>
  <si>
    <t>Data Center</t>
  </si>
  <si>
    <t>Engineering</t>
  </si>
  <si>
    <t>Layer 2 Leaf Spine Design Overview</t>
  </si>
  <si>
    <t>Layer 2 Technologies</t>
  </si>
  <si>
    <t>Lab - Troubleshooting STP</t>
  </si>
  <si>
    <t>Building L2LS Fabric</t>
  </si>
  <si>
    <t>Layer 3 Leaf Spine Design Overview</t>
  </si>
  <si>
    <t>Underlay Routing Options</t>
  </si>
  <si>
    <t>Lab - OSPF</t>
  </si>
  <si>
    <t>VXLAN Design</t>
  </si>
  <si>
    <t>eVPN Overlay</t>
  </si>
  <si>
    <t>Lab - L3 EVPN Symmetric IRB</t>
  </si>
  <si>
    <t>Operations</t>
  </si>
  <si>
    <t>CloudVision Overview and Setup</t>
  </si>
  <si>
    <t>CloudVision Provisioning</t>
  </si>
  <si>
    <t>Manual Onboarding</t>
  </si>
  <si>
    <t>Applying Configlets to Containers</t>
  </si>
  <si>
    <t>Lab - Configlet Builder</t>
  </si>
  <si>
    <t>CloudVision DC Studios</t>
  </si>
  <si>
    <t>Lab - Day 2 Operations with Studios</t>
  </si>
  <si>
    <t>Monitoring DC with CVP</t>
  </si>
  <si>
    <t>PTP Events</t>
  </si>
  <si>
    <t>EOS Operations: Upgrade, Monitor, Troubleshoot</t>
  </si>
  <si>
    <t>Upgrade EOS with CVP</t>
  </si>
  <si>
    <t xml:space="preserve"> Troubleshooting Layer 2 and Layer 3</t>
  </si>
  <si>
    <t>Debugging Layer 3 with CLI</t>
  </si>
  <si>
    <t xml:space="preserve"> Troubleshooting L3LS Network</t>
  </si>
  <si>
    <t>Troubleshoot VXLAN Bridging Traffic Flows with CVP</t>
  </si>
  <si>
    <t>Troubleshoot Virtual VTEP issues in VXLAN Routing with CLI</t>
  </si>
  <si>
    <t>Troubleshoot Duplicate Traffic Flows in EVPN Multihoming environment</t>
  </si>
  <si>
    <t xml:space="preserve"> Troubleshooting Networks with CVP</t>
  </si>
  <si>
    <t>Troubleshoot STP with CVP</t>
  </si>
  <si>
    <t>Troubleshoot Process Failures and Health Checks with CVP</t>
  </si>
  <si>
    <t>Using Traceroute with CVP</t>
  </si>
  <si>
    <t xml:space="preserve"> Multicast in eVPN VxLAN Fabrics </t>
  </si>
  <si>
    <t>eVPN Multihoming with Multicast</t>
  </si>
  <si>
    <t>eVPN OISM with PIM Transport Part 1</t>
  </si>
  <si>
    <t>OISM Concepts Review</t>
  </si>
  <si>
    <t>EVPN OISM Redundancy Models</t>
  </si>
  <si>
    <t>Demo- Exploring OISM Functionality</t>
  </si>
  <si>
    <t>EVPN Multicast Transport Models</t>
  </si>
  <si>
    <t>EVPN Multicast - PIM Transport Model Overview</t>
  </si>
  <si>
    <t>Demo- EVPN Multicast PIM Transport Model</t>
  </si>
  <si>
    <t>EVPN Multicast - External Connectivity Overview</t>
  </si>
  <si>
    <t>Demo- PIM EVPN Gateway - PEG</t>
  </si>
  <si>
    <t>PIM EVPN to EVPN Gateway Overview - EEG</t>
  </si>
  <si>
    <t>Demo - PIM EVPN to EVPN Gateway - EEG</t>
  </si>
  <si>
    <t>Hierarchical EVPN Gateways for DCI</t>
  </si>
  <si>
    <t>Hierarchical EVPN for Scaling and DCI</t>
  </si>
  <si>
    <t>Introduction to EVPN Gateways</t>
  </si>
  <si>
    <t>Use Cases Overview and Topology</t>
  </si>
  <si>
    <t>Demo - EVPN GW with IP-VPN MPLS Interconnect</t>
  </si>
  <si>
    <t>Demo - EVPN GW with EVPN-VXLAN Interconnect - Layer 2</t>
  </si>
  <si>
    <t>Demo - EVPN GW with EVPN-VXLAN Interconnect - Layer 3</t>
  </si>
  <si>
    <t xml:space="preserve"> Configuring eVPN DCI Network with Studios</t>
  </si>
  <si>
    <t>Prepare and Onboard Devices to Studios</t>
  </si>
  <si>
    <t>Topology Overview - Studios for DCI and Multi-Homing</t>
  </si>
  <si>
    <t>Accept and Reconcile Devices</t>
  </si>
  <si>
    <t>Installing Interface Manager Studio Package</t>
  </si>
  <si>
    <t>Importing Tags for Studios</t>
  </si>
  <si>
    <t>Build Underlay and Overlay inside DC</t>
  </si>
  <si>
    <t xml:space="preserve">Configuring Initial Fabric Settings via Custom Enterprise Routing </t>
  </si>
  <si>
    <t>Adding Leafs, Spines, and Borderleafs</t>
  </si>
  <si>
    <t>Building the Underlay</t>
  </si>
  <si>
    <t>Configuring BGP Settings</t>
  </si>
  <si>
    <t>Building the Overlay</t>
  </si>
  <si>
    <t>Configure Initial Settings on all devices</t>
  </si>
  <si>
    <t>Building Static Configlet Studio Hierarchy via Tags</t>
  </si>
  <si>
    <t>Configuring Common Settings on All Devices</t>
  </si>
  <si>
    <t>Importing Static Configuration Studio Input files</t>
  </si>
  <si>
    <t>Build DCI Underlay</t>
  </si>
  <si>
    <t>Configuring DCI Underlay Interfaces</t>
  </si>
  <si>
    <t>Configuring DCI Underlay BGP</t>
  </si>
  <si>
    <t>Filtering BGP Routes with BorderLeaf Underlay Policy</t>
  </si>
  <si>
    <t>Configure DCI Overlay</t>
  </si>
  <si>
    <t>DCI Overlay</t>
  </si>
  <si>
    <t>Apply RCF Config</t>
  </si>
  <si>
    <t>Active Active MultiHoming</t>
  </si>
  <si>
    <t>Internet VRF and BGP Session Tracker</t>
  </si>
  <si>
    <t>Configuring EVPN Services Internet VRF</t>
  </si>
  <si>
    <t>Configuring Internet VRF BGP</t>
  </si>
  <si>
    <t>Configuring Hosts and Testing Internet</t>
  </si>
  <si>
    <t>Interface Tagging and Dashboards</t>
  </si>
  <si>
    <t>Upgrading Packages</t>
  </si>
  <si>
    <t>Tenant1 Inter DC Same Vlan ID L3 EVPN</t>
  </si>
  <si>
    <t>Tenant2 Inter DC different Vlans</t>
  </si>
  <si>
    <t>Tenant3 Inter DC different Tenants</t>
  </si>
  <si>
    <t>QOS Marking Down Best Effort Traffic</t>
  </si>
  <si>
    <t>Route Leaking</t>
  </si>
  <si>
    <t>Campus</t>
  </si>
  <si>
    <t>Campus Engineering Wired</t>
  </si>
  <si>
    <t>Arista Campus Architecture</t>
  </si>
  <si>
    <t>Traditional Campus Architecture Overview</t>
  </si>
  <si>
    <t>Arista Universal Cloud Network Architecture</t>
  </si>
  <si>
    <t>SWAG Architecture</t>
  </si>
  <si>
    <t>Building a L2 Wired Campus Network</t>
  </si>
  <si>
    <t>Build L2LS Campus Network Using CLI</t>
  </si>
  <si>
    <t>Configuring L2LS Campus with CLI</t>
  </si>
  <si>
    <t>Building a L3 Wired Campus Network</t>
  </si>
  <si>
    <t>Campus Operations Wired</t>
  </si>
  <si>
    <t>CloudVision Campus Studios</t>
  </si>
  <si>
    <t>Adding New VRFs to L3LS Campus</t>
  </si>
  <si>
    <t>Lab - Day 2 Operations with L3 Campus Studios</t>
  </si>
  <si>
    <t>Monitoring Campus with CVP</t>
  </si>
  <si>
    <t>Automation</t>
  </si>
  <si>
    <t>Automation Fundamentals</t>
  </si>
  <si>
    <t>Automation &amp; NetOps Foundation</t>
  </si>
  <si>
    <t>History of Network Automation</t>
  </si>
  <si>
    <t>Network Automation Concepts and Practices</t>
  </si>
  <si>
    <t>Automation Tools</t>
  </si>
  <si>
    <t>Customzing VSCode Layout</t>
  </si>
  <si>
    <t>Getting Information from EOS Devices</t>
  </si>
  <si>
    <t>Parsing CLI Output with Python</t>
  </si>
  <si>
    <t>Understanding APIs</t>
  </si>
  <si>
    <t>APIs In Network Automation</t>
  </si>
  <si>
    <t>Creating and Installing TLS Certificates</t>
  </si>
  <si>
    <t>Organizing Requests In REST API Clients</t>
  </si>
  <si>
    <t>Ansible Fundamentals</t>
  </si>
  <si>
    <t>Ansible Components Overview</t>
  </si>
  <si>
    <t>Cloudvision Fundamentals</t>
  </si>
  <si>
    <t>CloudVision and Device Communication</t>
  </si>
  <si>
    <t>CVP Multi-Node OVA Installation Demo</t>
  </si>
  <si>
    <t>Change Control</t>
  </si>
  <si>
    <t>CVP Change Control Overview</t>
  </si>
  <si>
    <t>Change Control Demo</t>
  </si>
  <si>
    <t>ZTP Demo - Deploying vEOS to CloudVision</t>
  </si>
  <si>
    <t>CloudVision Tags</t>
  </si>
  <si>
    <t>Inventory and Topology Studio Overview</t>
  </si>
  <si>
    <t>Interface Configuration Studio Demo</t>
  </si>
  <si>
    <t>Authentication Studio Demo</t>
  </si>
  <si>
    <t>Importing Studio Demo</t>
  </si>
  <si>
    <t>Modern Network Telemetry with CloudVision</t>
  </si>
  <si>
    <t>CloudVision Topology Overview</t>
  </si>
  <si>
    <t>Using Ansible and Jinja</t>
  </si>
  <si>
    <t>Jinja Variable Files</t>
  </si>
  <si>
    <t>Upload and Deploy Jinja Configs Through CloudVision</t>
  </si>
  <si>
    <t>Deploying Configs Directly with eAPI and Jinja</t>
  </si>
  <si>
    <t xml:space="preserve"> REST APIs</t>
  </si>
  <si>
    <t>Introducing REST API Requests and Responses</t>
  </si>
  <si>
    <t>HTTP Authentication Summary</t>
  </si>
  <si>
    <t xml:space="preserve"> Working with AVD</t>
  </si>
  <si>
    <t>Introduction to Arista AVD</t>
  </si>
  <si>
    <t>Installing AVD and Setting Up the Directory Structure</t>
  </si>
  <si>
    <t>Creating inventory.yml for Arista AVD</t>
  </si>
  <si>
    <t>Deploying AVD Configuration Directly to EOS - Part 1</t>
  </si>
  <si>
    <t>Executing Playbooks to Build, Deploy, and Verify L2LS Fabric</t>
  </si>
  <si>
    <t>Building The EVPN Services YAML File</t>
  </si>
  <si>
    <t>Automation Advanced</t>
  </si>
  <si>
    <t>Network Automation with Python</t>
  </si>
  <si>
    <t>Enabling eAPI on Arista Devices</t>
  </si>
  <si>
    <t>Command API Overview - eAPI Explorer</t>
  </si>
  <si>
    <t>Replacing Running Config with Python Requests</t>
  </si>
  <si>
    <t>Resource API Explorer</t>
  </si>
  <si>
    <t>Network Automation with Ansible</t>
  </si>
  <si>
    <t>Preparing EOS for Ansible Integration</t>
  </si>
  <si>
    <t>Lab - Automate CVP with Ansible</t>
  </si>
  <si>
    <t>Network Automation with AVD</t>
  </si>
  <si>
    <t>AVD Lifecycle</t>
  </si>
  <si>
    <t>Building Config with AVD</t>
  </si>
  <si>
    <t>Deploying AVD through EOS</t>
  </si>
  <si>
    <t>Deploying AVD through CloudVision</t>
  </si>
  <si>
    <t>Defining the L2LS Fabric Data Model (FABRIC.yml)</t>
  </si>
  <si>
    <t>Lab - Deploy L2LS Network with AVD</t>
  </si>
  <si>
    <t>Building the L3LS AVD Inventory</t>
  </si>
  <si>
    <t>Understanding Day 2 Operations with AVD</t>
  </si>
  <si>
    <t>Adding EVPN Services to L3LS Fabric with AVD</t>
  </si>
  <si>
    <t>Arista Network Test Automation (ANTA)</t>
  </si>
  <si>
    <t>Building ANTA Inventory From CVP</t>
  </si>
  <si>
    <t>Building ANTA Inventory From Ansible</t>
  </si>
  <si>
    <t>Automation with Studios</t>
  </si>
  <si>
    <t>Lab - Automating L2LS Campus with Studios</t>
  </si>
  <si>
    <t>Automating eVPN Services with Studios</t>
  </si>
  <si>
    <t>WAN Routing</t>
  </si>
  <si>
    <t>MPLS Core</t>
  </si>
  <si>
    <t>MPLS Overview</t>
  </si>
  <si>
    <t>Lab - Configuring IP Addresses</t>
  </si>
  <si>
    <t>Lab - Configuring Provider Network Reachability</t>
  </si>
  <si>
    <t>Lab - Configuring MPLS and LDP</t>
  </si>
  <si>
    <t>Show Commands Walkthrough- LDP Label Distribution</t>
  </si>
  <si>
    <t>Layer 2 VPN Services</t>
  </si>
  <si>
    <t>Use of VRFs in VPN Architecture</t>
  </si>
  <si>
    <t>VPN Control Plane</t>
  </si>
  <si>
    <t>EVPN Overview</t>
  </si>
  <si>
    <t>Lab - E-Line with EVPN VPWS</t>
  </si>
  <si>
    <t>L3VPN with BGP</t>
  </si>
  <si>
    <t>Configuring Overlapping VPNs</t>
  </si>
  <si>
    <t>Shared Service VPNs</t>
  </si>
  <si>
    <t>Lab - Configuring Shared  Service VPNs</t>
  </si>
  <si>
    <t>MPLS Tunnels</t>
  </si>
  <si>
    <t>MPLS RSVP TE Explicit Path Configuration</t>
  </si>
  <si>
    <t>Configuring FRR Node-Protection Bypass</t>
  </si>
  <si>
    <t>Segment Routing</t>
  </si>
  <si>
    <t>BGP-SR Fundamentals: Building the MPLS Foundation</t>
  </si>
  <si>
    <t>Segment Routing - Overview</t>
  </si>
  <si>
    <t>Configuring ISIS-SR with Node SID</t>
  </si>
  <si>
    <t>MPLS Inter-AS Deployment Scenarios</t>
  </si>
  <si>
    <t>L2 Connectivity Over MPLS-SR WAN</t>
  </si>
  <si>
    <t>AI Fundamentals</t>
  </si>
  <si>
    <t xml:space="preserve">Network Requirements for AI Enabled DC </t>
  </si>
  <si>
    <t>Introduction to AI</t>
  </si>
  <si>
    <t>AI Applications</t>
  </si>
  <si>
    <t>Machine learning and Deep Learning</t>
  </si>
  <si>
    <t>AI Workflow</t>
  </si>
  <si>
    <t>AI Frameworks Essentials</t>
  </si>
  <si>
    <t>AI Frameworks Classifications</t>
  </si>
  <si>
    <t>Traditional AI vs generative AI</t>
  </si>
  <si>
    <t>AI Models</t>
  </si>
  <si>
    <t>AI Language Models</t>
  </si>
  <si>
    <t>Data Role in AI</t>
  </si>
  <si>
    <t>Understanding Data in AI</t>
  </si>
  <si>
    <t>Data Processing and Preparation</t>
  </si>
  <si>
    <t>Data Storage and Security</t>
  </si>
  <si>
    <t>AI Tools and Automation</t>
  </si>
  <si>
    <t>AI Hardware</t>
  </si>
  <si>
    <t>Core Hardware Components</t>
  </si>
  <si>
    <t>AI Hardware Components</t>
  </si>
  <si>
    <t>AI Silicon - CPU vs GPU vs TPU</t>
  </si>
  <si>
    <t>AI Silicon</t>
  </si>
  <si>
    <t>Choosing AI Processors</t>
  </si>
  <si>
    <t>Intro to Multiprocessing and Distributed Processing</t>
  </si>
  <si>
    <t>Parallel Processing Models</t>
  </si>
  <si>
    <t>Distributed Processing Models</t>
  </si>
  <si>
    <t>Comparing AI Processors</t>
  </si>
  <si>
    <t>Assessing AI Workload Requirements</t>
  </si>
  <si>
    <t>HPC and AI Cluster</t>
  </si>
  <si>
    <t xml:space="preserve">HPC Architecture for AI </t>
  </si>
  <si>
    <t>AI Clusters Overview</t>
  </si>
  <si>
    <t>AI Network Technologies</t>
  </si>
  <si>
    <t>Network Requirements for AI Enabled DC</t>
  </si>
  <si>
    <t>Losless AI Fabric and its requirements</t>
  </si>
  <si>
    <t>AI Network Technologies (Infiniband)</t>
  </si>
  <si>
    <t>AI Enabled DC with InfiniBand</t>
  </si>
  <si>
    <t>AI Network Technologies (Ethernet)</t>
  </si>
  <si>
    <t>AI Enabled DC with Ethernet</t>
  </si>
  <si>
    <t>Ultra Ethernet Consortium</t>
  </si>
  <si>
    <t>RoCE</t>
  </si>
  <si>
    <t>Infiniband vs Ethernet</t>
  </si>
  <si>
    <t>Lossless AI Network Implementations</t>
  </si>
  <si>
    <t>Traditional QoS For Lossless AI Fabric</t>
  </si>
  <si>
    <t>Explicit Congestion Notification</t>
  </si>
  <si>
    <t>Priority Flow Control</t>
  </si>
  <si>
    <t>Dynamic Load Balancing</t>
  </si>
  <si>
    <t>Cluster Load Balancing</t>
  </si>
  <si>
    <t>AI in Software-Defined Networking and Automation</t>
  </si>
  <si>
    <t>AI in SDA and Automation</t>
  </si>
  <si>
    <t>AI for Predictive Maintenance and Proactive Troubleshooting</t>
  </si>
  <si>
    <t>Arista AI Visibility and Telemetry</t>
  </si>
  <si>
    <t>AI Data Center Architecture</t>
  </si>
  <si>
    <t>Arista AI Network Portfoilo</t>
  </si>
  <si>
    <t>Broadcom Network ASICs for AI</t>
  </si>
  <si>
    <t>Arista AI Center and Arista Etherlink</t>
  </si>
  <si>
    <t>Arista AI Data Center Design</t>
  </si>
  <si>
    <t>AI Data Center Design Examples</t>
  </si>
  <si>
    <t>AI Data Center Design Best Practices</t>
  </si>
  <si>
    <t>Arista AI Networking POC</t>
  </si>
  <si>
    <t>AI Networking Demo</t>
  </si>
  <si>
    <t>Ai Networking Demo Part 1</t>
  </si>
  <si>
    <t>Ai Networking Demo Part 2</t>
  </si>
  <si>
    <t>Ai Networking Demo Part 3</t>
  </si>
  <si>
    <t>Ai Networking Demo Part 4</t>
  </si>
  <si>
    <t>Troubleshooting Techtutorial</t>
  </si>
  <si>
    <t>Topic</t>
  </si>
  <si>
    <t>Video Title</t>
  </si>
  <si>
    <t>Length (H:M:S)</t>
  </si>
  <si>
    <t>Size (MB )</t>
  </si>
  <si>
    <t>Total</t>
  </si>
  <si>
    <t>Tags</t>
  </si>
  <si>
    <t>Lesson</t>
  </si>
  <si>
    <t>Course Introduction</t>
  </si>
  <si>
    <t>Course Intro</t>
  </si>
  <si>
    <t xml:space="preserve">Course Overview </t>
  </si>
  <si>
    <t>CloudVision, CVP, Troubleshooting, STP, Spanning-tree, Troubleshooting STP,  Log Mesages, STP syslogs, STP logs, TCN, Topology Change Notification, Snapshots</t>
  </si>
  <si>
    <t>CloudVision, CVP, Troubleshooting, Processes, process failure, Memory Overview, CPU Overview, CPU Utilization, health checks, process logs, paritions, Storage, agents, agent logs, hardware capacity</t>
  </si>
  <si>
    <t>CloudVision, CVP, Troubleshooting, Traceroute, flows, flow tracking data, sFlow</t>
  </si>
  <si>
    <t>Replace Device using ZTR with CVP</t>
  </si>
  <si>
    <t>CloudVision, CVP, ZTP, Zero Touch Provisioning, ZTR, Zero Touch Replacement, Replace Switch, Decomission Device</t>
  </si>
  <si>
    <t>EOS Upgrade Operations</t>
  </si>
  <si>
    <t>EOS Upgrade with CLI</t>
  </si>
  <si>
    <t>EOS, Upgrade, Reloads, Boot loader, Aboot, Standard Upgrade, Smart System Upgrade, SSU, fast boot, boot config file, Pre-upgrade checks, graceful restart</t>
  </si>
  <si>
    <t>EOS and Extensions Upgrade with CVP</t>
  </si>
  <si>
    <t xml:space="preserve">CloudVision, CVP, PreUpgrade Checks, EOS Upgrade, Actions, Upgrade Extension, Snapshots, Change control Templates, Action Bundles, Upgrade TerminAttr, image bundle, TerminAttr, streaming agent, Streaming Telemetry Agent, software image extensions, SWIX, SWI, software image, image repository, Out of Sync Images, Out of Sync Extensions, Tasks, Change Control, Post Upgrade Checks, TAC Bundle, Custom Actions, Upgrade logs, image syslogs, Templates, </t>
  </si>
  <si>
    <t xml:space="preserve">EOS, Upgrade, Reloads, MLAG, MultiChassis Link Aggregation, reload delay, MLAG Upgrade Steps, MLAG ISSU Compatibility check, In Service Software upgrade, MLAG Config Sanity,  </t>
  </si>
  <si>
    <t>layer 3 troubleshooting, L3 troubleshooting, l3 reachability issues, ICMP, troubleshoot OSPF, CPU Counter queue, Default Control Plane ACL</t>
  </si>
  <si>
    <t>Troubleshoot VXLAN Intermittent connectivity with CLI</t>
  </si>
  <si>
    <t>layer 3 troubleshooting, VXLAN, VXLAN Troubleshooting, CLI, Debug, intermittent VXLAN, monitor session, tcpdump, Debugging VXLAN, VXLAN Interface, VTI, VNI, Flood List, VTEP, VXLAN Tunnel Endpoints, VLAN to VNI Mapping, HER, Head End Replication, VXLAN Address table, VXLAN Config sanity, MLAG Config sanity,</t>
  </si>
  <si>
    <t>Troubleshoot VXLAN Mac Address Flapping with CLI</t>
  </si>
  <si>
    <t>layer 3 troubleshooting, VXLAN, VXLAN Troubleshooting, CLI, Debug, MAC Flaps, VTI, VXLAN Tunnel Interface, VXLAN Address table,VTEP, VXLAN Tunnel Endpoint, curl, Event Monitor, Flood list, MAC Address Table, HER, VXLAN Config sanity, mlag config sanity,</t>
  </si>
  <si>
    <t>Troubleshoot VXLAN Bridging Traffic flows with CVP</t>
  </si>
  <si>
    <t xml:space="preserve">layer 3 troubleshooting, VXLAN, VXLAN Troubleshooting, CloudVision , Debug, intermittent VXLAN, VTEPs, Flows, sFlow, ICMP Flows, snapshots, MAC Address Table, Intermittent connectivity, Endpoint Search, MAC Address Moves, Traffic Flows, VXLAN Config sanity, invalid local VTEP IP, Event Notifications, </t>
  </si>
  <si>
    <t xml:space="preserve">layer 3 troubleshooting, VXLAN, VXLAN Troubleshooting, VXLAN Routing, ip address virtual, Virtual MAC, Troubleshoot VXLAN Routing, monitor session, tcpdump, VXLAN Tunnel Endpoint, VTEP, hardware tcam profile, VXLAN Flood list, Remote MAC Learning, show interface vxlan 1, MAC Address Table, L3 VTEPs, Layer 3 VTEPS, Asymmetric Routing, ARP Request, ARP Reply, MAC Address Learning, mac address table aging timeout, arp aging timeout, Virtual VTEP IP, Secondary Address, </t>
  </si>
  <si>
    <t>Troubleshoot Duplicate traffic flows in EVPN Multihoming environment</t>
  </si>
  <si>
    <t>layer 3 troubleshooting, EVPN, VXLAN, Ethernet segments, all-active multihoming, Route type 5, IP Prefix Routes, ESI, Ethernet segment identifier, Type 1 Auto Discovery, AD Routes, EVI, EVPN Instance, EVI Route, mass withdrawal, Aliasing, EVPN Active-Active MAC Aliasing, Type 4 Ethernet Segment, Type 4 Route, tcpdump, route type 2, mac-ip, Flood lists, VNI, DF, Designated Forwarder, show bop evpn sanity detail, MAC-VRF Redistribution</t>
  </si>
  <si>
    <t>QoS Techtutorial</t>
  </si>
  <si>
    <t>Descriptions</t>
  </si>
  <si>
    <t>\</t>
  </si>
  <si>
    <t>QoS Overview</t>
  </si>
  <si>
    <t xml:space="preserve">EOS, QoS, Quality of service, Arista QoS, QoS Policy, QoS Data Unit encoding, IP Percedence, DSCP, Differentiated Service Code Point, CoS, Class of service, ToS, Type of Service, QoS Marking, </t>
  </si>
  <si>
    <t>QoS Modes and Settings</t>
  </si>
  <si>
    <t xml:space="preserve">EOS, QoS, Quality of Service, Arista QoS, Trust boundary, Traffic Classes, TX Queues, Queue, QoS Mapping, QoS Prioritrization, Strict Priority, Priority Queue, Bandwidth Percent, </t>
  </si>
  <si>
    <t>ECN and PFC</t>
  </si>
  <si>
    <t>EOS, QoS, Quality of Service, Arista QoS, ECN, Explicit Congestion Notification, Congestion, 802.3x, Pause frames, PFC, Priority flow control, Priority based flow control</t>
  </si>
  <si>
    <t>Multicast Techtutorial</t>
  </si>
  <si>
    <t>Multicast Nuggets</t>
  </si>
  <si>
    <t>Multicast Basics</t>
  </si>
  <si>
    <t xml:space="preserve">EOS, Multicast, Multicast Applicaitons, Why Multicast, PIM, IGMP, RP, Rendevouz Point, Protocol independent multicast, Dense Mode, Sparse Mode, PIM Dense, PIM Sparse, IGMP Join, </t>
  </si>
  <si>
    <t>Multicast with eVPN</t>
  </si>
  <si>
    <t xml:space="preserve">EOS, Multicast, Multicast with eVPN, Non Optimized, Optimized, Multicast with HER, Multicast wtih Head End Replication, Multicast ingress replicaiton, IGMP Proxy, Route type 6, IGMP with eVPN, L2 Multicast with eVPN, L3 Multicast with eVPN, DR, Designated Router, </t>
  </si>
  <si>
    <t>Multicast with Active-Active multihoming</t>
  </si>
  <si>
    <t>EOS, Multicast, Multicast with eVPN, Route type 7, Route type 8, Multicast wtih eVPN Multihoming, Designated Forwarder, JOIN Sync, Leave Sync</t>
  </si>
  <si>
    <t>Demo - Reviewing and Configuring Multicast on Arista Switches</t>
  </si>
  <si>
    <t>EOS, Multicast, Multicast advantages, multicast addresses, Class D, Well known multicast addresses, IGMP, PIM, protocol independent multicast, Enable multicast routing, Configuring Multicast, Rendevouz point, Verify Multicast</t>
  </si>
  <si>
    <t>7130 Techtorial</t>
  </si>
  <si>
    <t>Module</t>
  </si>
  <si>
    <t>7130 Course Introduction</t>
  </si>
  <si>
    <t>Course Overview</t>
  </si>
  <si>
    <t xml:space="preserve">Introduction to Low Latency Applications and Platforms </t>
  </si>
  <si>
    <t>Session Date</t>
  </si>
  <si>
    <t>Application Deep Dive</t>
  </si>
  <si>
    <t>Arista 7130 Applications Part 1</t>
  </si>
  <si>
    <t>Dec 1st 2023</t>
  </si>
  <si>
    <t>Need Edits</t>
  </si>
  <si>
    <t>Arista 7130 Applications Part 2</t>
  </si>
  <si>
    <t>Arista 7130 Applications Part 3</t>
  </si>
  <si>
    <t>ExchangeApp</t>
  </si>
  <si>
    <t>Arista 7130 Platforms</t>
  </si>
  <si>
    <t>Arista Platform Differences Intro</t>
  </si>
  <si>
    <t>Arista 7130 Platform Differences</t>
  </si>
  <si>
    <t>7130 LS(S)/LB(S)</t>
  </si>
  <si>
    <t>7130 LBR Tamarama</t>
  </si>
  <si>
    <t>7130 B Cottesloe</t>
  </si>
  <si>
    <t>7132 Malabar</t>
  </si>
  <si>
    <t>7135 Freshwater</t>
  </si>
  <si>
    <t>7260 Tomahawk with Buffer Architecture</t>
  </si>
  <si>
    <t>SwitchApp</t>
  </si>
  <si>
    <t>Introductino to SwitchApp</t>
  </si>
  <si>
    <t>New Video</t>
  </si>
  <si>
    <t>Interfaces</t>
  </si>
  <si>
    <t>Buffers</t>
  </si>
  <si>
    <t>LAN TOI</t>
  </si>
  <si>
    <t>`</t>
  </si>
  <si>
    <t>Hardware Forwarding Without an ASIC</t>
  </si>
  <si>
    <t>Monitoring</t>
  </si>
  <si>
    <t>Agents and Debugging</t>
  </si>
  <si>
    <t>What Else can you do with FPGAs?</t>
  </si>
  <si>
    <t>7130 SwitchApp Demo</t>
  </si>
  <si>
    <t xml:space="preserve">Keeping the Arista Intro, it was outsourced, like the feel. </t>
  </si>
  <si>
    <t>Crosspoint &amp; Ethernet Technology</t>
  </si>
  <si>
    <t>L1, Sublayers and Clocks</t>
  </si>
  <si>
    <r>
      <rPr>
        <rFont val="Arial"/>
        <b/>
        <color theme="1"/>
        <sz val="12.0"/>
      </rPr>
      <t xml:space="preserve">New Video - </t>
    </r>
    <r>
      <rPr>
        <rFont val="Arial"/>
        <b val="0"/>
        <color theme="1"/>
        <sz val="12.0"/>
      </rPr>
      <t>Can be divided into smaller videos</t>
    </r>
  </si>
  <si>
    <t>FEC, NRZ, PAM4, and Cross Point HW/SW</t>
  </si>
  <si>
    <r>
      <rPr>
        <rFont val="Arial"/>
        <b/>
        <color theme="1"/>
        <sz val="12.0"/>
      </rPr>
      <t xml:space="preserve">New Video - </t>
    </r>
    <r>
      <rPr>
        <rFont val="Arial"/>
        <b val="0"/>
        <color theme="1"/>
        <sz val="12.0"/>
      </rPr>
      <t>Can be divided into smaller videos</t>
    </r>
  </si>
  <si>
    <t>Timing and PTP</t>
  </si>
  <si>
    <t>Understanding Timing and Synchronization in Networks</t>
  </si>
  <si>
    <t>Understnading Atmoic Clocks and Time Protocols</t>
  </si>
  <si>
    <t>Understanding PTP and its Functionality</t>
  </si>
  <si>
    <t>PTP Clock Overview</t>
  </si>
  <si>
    <t>Understanding Transparent Clocks and PTP</t>
  </si>
  <si>
    <t>Explore White Rabbit Technology and PTP</t>
  </si>
  <si>
    <t>Timestamping</t>
  </si>
  <si>
    <t>Time Stamping Part 1</t>
  </si>
  <si>
    <t>Time Stamping Part 2</t>
  </si>
  <si>
    <t>Time Stamping Part 3</t>
  </si>
  <si>
    <t>L1 Networks</t>
  </si>
  <si>
    <t>Managing L1 Networks</t>
  </si>
  <si>
    <t>Managing L1 Networks Part 1</t>
  </si>
  <si>
    <t>Managing L1 Networks Part 2</t>
  </si>
  <si>
    <t>Mastering 7130 LBR</t>
  </si>
  <si>
    <t>7130 LBR Tamarama Deep Dive</t>
  </si>
  <si>
    <t>Introduction to Low Latency Series</t>
  </si>
  <si>
    <t>Installing and Configuring Apps</t>
  </si>
  <si>
    <t>Application Compatability</t>
  </si>
  <si>
    <t>MetaWatch</t>
  </si>
  <si>
    <t>MetaMux</t>
  </si>
  <si>
    <t>Sample Topologies</t>
  </si>
  <si>
    <t>Using the J2C ASIC</t>
  </si>
  <si>
    <t>FPGA Technology</t>
  </si>
  <si>
    <t>FPGA Technology Part 1</t>
  </si>
  <si>
    <t>FPGA Technology Part 2</t>
  </si>
  <si>
    <t>FPGA Technology Part 3</t>
  </si>
  <si>
    <t>FPGA Technology Part 4</t>
  </si>
  <si>
    <t>Advanced Timestamping</t>
  </si>
  <si>
    <t>Advanced Time Stamping</t>
  </si>
  <si>
    <t>Need Edits / Chop into two parts</t>
  </si>
  <si>
    <r>
      <rPr>
        <rFont val="Arial"/>
        <b/>
        <color theme="1"/>
        <sz val="12.0"/>
      </rPr>
      <t xml:space="preserve">New Video - </t>
    </r>
    <r>
      <rPr>
        <rFont val="Arial"/>
        <b val="0"/>
        <color theme="1"/>
        <sz val="12.0"/>
      </rPr>
      <t>Can be divided into smaller videos</t>
    </r>
  </si>
  <si>
    <r>
      <rPr>
        <rFont val="Arial"/>
        <b/>
        <color theme="1"/>
        <sz val="12.0"/>
      </rPr>
      <t xml:space="preserve">New Video - </t>
    </r>
    <r>
      <rPr>
        <rFont val="Arial"/>
        <b val="0"/>
        <color theme="1"/>
        <sz val="12.0"/>
      </rPr>
      <t>Can be divided into smaller videos</t>
    </r>
  </si>
</sst>
</file>

<file path=xl/styles.xml><?xml version="1.0" encoding="utf-8"?>
<styleSheet xmlns="http://schemas.openxmlformats.org/spreadsheetml/2006/main" xmlns:x14ac="http://schemas.microsoft.com/office/spreadsheetml/2009/9/ac" xmlns:mc="http://schemas.openxmlformats.org/markup-compatibility/2006">
  <fonts count="26">
    <font>
      <sz val="12.0"/>
      <color theme="1"/>
      <name val="Aptos Narrow"/>
      <scheme val="minor"/>
    </font>
    <font>
      <b/>
      <sz val="12.0"/>
      <color rgb="FF000000"/>
      <name val="Helvetica Neue"/>
    </font>
    <font>
      <sz val="12.0"/>
      <color rgb="FF000000"/>
      <name val="Helvetica Neue"/>
    </font>
    <font>
      <color theme="1"/>
      <name val="Arial"/>
    </font>
    <font>
      <b/>
      <sz val="12.0"/>
      <color theme="1"/>
      <name val="Arial"/>
    </font>
    <font>
      <sz val="12.0"/>
      <color theme="1"/>
      <name val="Helvetica Neue"/>
    </font>
    <font>
      <color theme="1"/>
      <name val="Aptos Narrow"/>
      <scheme val="minor"/>
    </font>
    <font>
      <b/>
      <sz val="10.0"/>
      <color rgb="FF000000"/>
      <name val="Arial"/>
    </font>
    <font>
      <sz val="10.0"/>
      <color rgb="FF000000"/>
      <name val="Arial"/>
    </font>
    <font>
      <sz val="10.0"/>
      <color rgb="FF000000"/>
      <name val="Aptos Narrow"/>
    </font>
    <font>
      <b/>
      <sz val="10.0"/>
      <color rgb="FF000000"/>
      <name val="Aptos Narrow"/>
    </font>
    <font>
      <b/>
      <sz val="10.0"/>
      <color rgb="FF000000"/>
      <name val="Aptos Narrow"/>
      <scheme val="minor"/>
    </font>
    <font>
      <sz val="10.0"/>
      <color rgb="FF000000"/>
      <name val="Aptos Narrow"/>
      <scheme val="minor"/>
    </font>
    <font>
      <sz val="10.0"/>
      <color rgb="FF000000"/>
      <name val="&quot;Aptos Narrow&quot;"/>
    </font>
    <font>
      <b/>
      <color theme="1"/>
      <name val="Arial"/>
    </font>
    <font>
      <b/>
      <color theme="1"/>
      <name val="Aptos Narrow"/>
      <scheme val="minor"/>
    </font>
    <font>
      <b/>
      <sz val="10.0"/>
      <color theme="1"/>
      <name val="Arial"/>
    </font>
    <font>
      <b/>
      <sz val="10.0"/>
      <color theme="1"/>
      <name val="Aptos Narrow"/>
      <scheme val="minor"/>
    </font>
    <font>
      <sz val="10.0"/>
      <color theme="1"/>
      <name val="Arial"/>
    </font>
    <font>
      <sz val="10.0"/>
      <color theme="1"/>
      <name val="Aptos Narrow"/>
      <scheme val="minor"/>
    </font>
    <font>
      <b/>
      <sz val="12.0"/>
      <color theme="1"/>
      <name val="Aptos Narrow"/>
    </font>
    <font>
      <sz val="12.0"/>
      <color theme="1"/>
      <name val="Aptos Narrow"/>
    </font>
    <font>
      <sz val="12.0"/>
      <color rgb="FFFFFFFF"/>
      <name val="Aptos Narrow"/>
    </font>
    <font>
      <b/>
      <sz val="12.0"/>
      <color rgb="FFFFFFFF"/>
      <name val="Aptos Narrow"/>
    </font>
    <font>
      <sz val="12.0"/>
      <color theme="1"/>
      <name val="Arial"/>
    </font>
    <font>
      <b/>
      <sz val="12.0"/>
      <color rgb="FF674EA7"/>
      <name val="Arial"/>
    </font>
  </fonts>
  <fills count="6">
    <fill>
      <patternFill patternType="none"/>
    </fill>
    <fill>
      <patternFill patternType="lightGray"/>
    </fill>
    <fill>
      <patternFill patternType="solid">
        <fgColor rgb="FFEFEFEF"/>
        <bgColor rgb="FFEFEFEF"/>
      </patternFill>
    </fill>
    <fill>
      <patternFill patternType="solid">
        <fgColor rgb="FFFFFFFF"/>
        <bgColor rgb="FFFFFFFF"/>
      </patternFill>
    </fill>
    <fill>
      <patternFill patternType="solid">
        <fgColor rgb="FF000000"/>
        <bgColor rgb="FF000000"/>
      </patternFill>
    </fill>
    <fill>
      <patternFill patternType="solid">
        <fgColor rgb="FF00B0F0"/>
        <bgColor rgb="FF00B0F0"/>
      </patternFill>
    </fill>
  </fills>
  <borders count="2">
    <border/>
    <border>
      <left/>
      <right/>
      <top/>
      <bottom/>
    </border>
  </borders>
  <cellStyleXfs count="1">
    <xf borderId="0" fillId="0" fontId="0" numFmtId="0" applyAlignment="1" applyFont="1"/>
  </cellStyleXfs>
  <cellXfs count="128">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0"/>
    </xf>
    <xf borderId="0" fillId="0" fontId="2" numFmtId="46" xfId="0" applyAlignment="1" applyFont="1" applyNumberFormat="1">
      <alignment horizontal="left" shrinkToFit="0" vertical="center" wrapText="0"/>
    </xf>
    <xf borderId="0" fillId="0" fontId="2" numFmtId="0" xfId="0" applyAlignment="1" applyFont="1">
      <alignment readingOrder="0" shrinkToFit="0" vertical="center" wrapText="0"/>
    </xf>
    <xf borderId="0" fillId="0" fontId="2" numFmtId="0" xfId="0" applyAlignment="1" applyFont="1">
      <alignment horizontal="left" readingOrder="0" shrinkToFit="0" vertical="center" wrapText="0"/>
    </xf>
    <xf borderId="0" fillId="0" fontId="2" numFmtId="46" xfId="0" applyAlignment="1" applyFont="1" applyNumberFormat="1">
      <alignment horizontal="center" readingOrder="0" shrinkToFit="0" vertical="center" wrapText="0"/>
    </xf>
    <xf borderId="0" fillId="0" fontId="2" numFmtId="0" xfId="0" applyAlignment="1" applyFont="1">
      <alignment horizontal="center" readingOrder="0" shrinkToFit="0" vertical="center" wrapText="0"/>
    </xf>
    <xf borderId="0" fillId="0" fontId="3" numFmtId="46" xfId="0" applyAlignment="1" applyFont="1" applyNumberFormat="1">
      <alignment shrinkToFit="0" vertical="bottom" wrapText="0"/>
    </xf>
    <xf borderId="0" fillId="0" fontId="3" numFmtId="49" xfId="0" applyAlignment="1" applyFont="1" applyNumberFormat="1">
      <alignment shrinkToFit="0" vertical="bottom" wrapText="0"/>
    </xf>
    <xf borderId="0" fillId="0" fontId="4" numFmtId="49" xfId="0" applyAlignment="1" applyFont="1" applyNumberFormat="1">
      <alignment vertical="bottom"/>
    </xf>
    <xf borderId="0" fillId="0" fontId="4" numFmtId="49" xfId="0" applyAlignment="1" applyFont="1" applyNumberFormat="1">
      <alignment shrinkToFit="0" vertical="bottom" wrapText="1"/>
    </xf>
    <xf borderId="0" fillId="0" fontId="2" numFmtId="0" xfId="0" applyAlignment="1" applyFont="1">
      <alignment shrinkToFit="0" vertical="center" wrapText="0"/>
    </xf>
    <xf borderId="0" fillId="0" fontId="2" numFmtId="46" xfId="0" applyAlignment="1" applyFont="1" applyNumberFormat="1">
      <alignment horizontal="center" shrinkToFit="0" vertical="center" wrapText="0"/>
    </xf>
    <xf borderId="0" fillId="0" fontId="2" numFmtId="49" xfId="0" applyAlignment="1" applyFont="1" applyNumberFormat="1">
      <alignment horizontal="left" shrinkToFit="0" vertical="center" wrapText="0"/>
    </xf>
    <xf borderId="0" fillId="0" fontId="2" numFmtId="46" xfId="0" applyAlignment="1" applyFont="1" applyNumberFormat="1">
      <alignment horizontal="left" readingOrder="0" shrinkToFit="0" vertical="center" wrapText="0"/>
    </xf>
    <xf borderId="0" fillId="0" fontId="2" numFmtId="49" xfId="0" applyAlignment="1" applyFont="1" applyNumberFormat="1">
      <alignment horizontal="left" readingOrder="0" shrinkToFit="0" vertical="center" wrapText="0"/>
    </xf>
    <xf borderId="0" fillId="0" fontId="2" numFmtId="0" xfId="0" applyAlignment="1" applyFont="1">
      <alignment shrinkToFit="0" vertical="center" wrapText="0"/>
    </xf>
    <xf borderId="0" fillId="0" fontId="5" numFmtId="0" xfId="0" applyAlignment="1" applyFont="1">
      <alignment readingOrder="0" shrinkToFit="0" vertical="center" wrapText="0"/>
    </xf>
    <xf borderId="0" fillId="3" fontId="2" numFmtId="46" xfId="0" applyAlignment="1" applyFill="1" applyFont="1" applyNumberFormat="1">
      <alignment horizontal="left" readingOrder="0" shrinkToFit="0" vertical="center" wrapText="0"/>
    </xf>
    <xf borderId="0" fillId="0" fontId="2" numFmtId="0" xfId="0" applyAlignment="1" applyFont="1">
      <alignment horizontal="left" readingOrder="0" shrinkToFit="0" vertical="center" wrapText="0"/>
    </xf>
    <xf borderId="0" fillId="3" fontId="2" numFmtId="46" xfId="0" applyAlignment="1" applyFont="1" applyNumberFormat="1">
      <alignment horizontal="center" readingOrder="0" shrinkToFit="0" vertical="center" wrapText="0"/>
    </xf>
    <xf borderId="0" fillId="3" fontId="2" numFmtId="0" xfId="0" applyAlignment="1" applyFont="1">
      <alignment horizontal="center" readingOrder="0" shrinkToFit="0" vertical="center" wrapText="0"/>
    </xf>
    <xf borderId="0" fillId="3" fontId="2" numFmtId="49" xfId="0" applyAlignment="1" applyFont="1" applyNumberFormat="1">
      <alignment horizontal="left" readingOrder="0" shrinkToFit="0" vertical="center" wrapText="0"/>
    </xf>
    <xf borderId="1" fillId="0" fontId="2" numFmtId="0" xfId="0" applyAlignment="1" applyBorder="1" applyFont="1">
      <alignment horizontal="left" readingOrder="0" shrinkToFit="0" vertical="center" wrapText="0"/>
    </xf>
    <xf borderId="1" fillId="3" fontId="2" numFmtId="46" xfId="0" applyAlignment="1" applyBorder="1" applyFont="1" applyNumberFormat="1">
      <alignment horizontal="center" readingOrder="0" shrinkToFit="0" vertical="center" wrapText="0"/>
    </xf>
    <xf borderId="0" fillId="0" fontId="5" numFmtId="46" xfId="0" applyAlignment="1" applyFont="1" applyNumberFormat="1">
      <alignment horizontal="center" readingOrder="0" shrinkToFit="0" wrapText="0"/>
    </xf>
    <xf borderId="0" fillId="0" fontId="5" numFmtId="46" xfId="0" applyAlignment="1" applyFont="1" applyNumberFormat="1">
      <alignment horizontal="left" readingOrder="0" shrinkToFit="0" vertical="center" wrapText="0"/>
    </xf>
    <xf borderId="0" fillId="0" fontId="5" numFmtId="46" xfId="0" applyAlignment="1" applyFont="1" applyNumberFormat="1">
      <alignment horizontal="center" readingOrder="0" shrinkToFit="0" vertical="center" wrapText="0"/>
    </xf>
    <xf borderId="0" fillId="0" fontId="5" numFmtId="0" xfId="0" applyAlignment="1" applyFont="1">
      <alignment horizontal="center" readingOrder="0" shrinkToFit="0" vertical="center" wrapText="0"/>
    </xf>
    <xf borderId="0" fillId="0" fontId="5" numFmtId="49" xfId="0" applyAlignment="1" applyFont="1" applyNumberFormat="1">
      <alignment horizontal="left" readingOrder="0" shrinkToFit="0" vertical="center" wrapText="0"/>
    </xf>
    <xf borderId="1" fillId="0" fontId="5" numFmtId="0" xfId="0" applyAlignment="1" applyBorder="1" applyFont="1">
      <alignment readingOrder="0" shrinkToFit="0" vertical="center" wrapText="0"/>
    </xf>
    <xf borderId="1" fillId="0" fontId="5" numFmtId="46" xfId="0" applyAlignment="1" applyBorder="1" applyFont="1" applyNumberFormat="1">
      <alignment horizontal="center" readingOrder="0" shrinkToFit="0" vertical="center" wrapText="0"/>
    </xf>
    <xf borderId="0" fillId="0" fontId="5" numFmtId="46" xfId="0" applyAlignment="1" applyFont="1" applyNumberFormat="1">
      <alignment horizontal="left" shrinkToFit="0" vertical="center" wrapText="0"/>
    </xf>
    <xf borderId="0" fillId="0" fontId="5" numFmtId="49" xfId="0" applyAlignment="1" applyFont="1" applyNumberFormat="1">
      <alignment horizontal="left" shrinkToFit="0" vertical="center" wrapText="0"/>
    </xf>
    <xf borderId="0" fillId="0" fontId="5" numFmtId="46" xfId="0" applyAlignment="1" applyFont="1" applyNumberFormat="1">
      <alignment horizontal="left" readingOrder="0" shrinkToFit="0" wrapText="0"/>
    </xf>
    <xf borderId="0" fillId="0" fontId="5" numFmtId="0" xfId="0" applyAlignment="1" applyFont="1">
      <alignment readingOrder="0" shrinkToFit="0" wrapText="0"/>
    </xf>
    <xf borderId="0" fillId="0" fontId="5" numFmtId="0" xfId="0" applyAlignment="1" applyFont="1">
      <alignment horizontal="center" readingOrder="0" shrinkToFit="0" wrapText="0"/>
    </xf>
    <xf borderId="0" fillId="0" fontId="5" numFmtId="49" xfId="0" applyAlignment="1" applyFont="1" applyNumberFormat="1">
      <alignment horizontal="left" readingOrder="0" shrinkToFit="0" wrapText="0"/>
    </xf>
    <xf borderId="0" fillId="0" fontId="6" numFmtId="49" xfId="0" applyFont="1" applyNumberFormat="1"/>
    <xf borderId="0" fillId="0" fontId="7" numFmtId="0" xfId="0" applyAlignment="1" applyFont="1">
      <alignment readingOrder="0" vertical="bottom"/>
    </xf>
    <xf borderId="0" fillId="0" fontId="7" numFmtId="0" xfId="0" applyAlignment="1" applyFont="1">
      <alignment horizontal="center" readingOrder="0" vertical="bottom"/>
    </xf>
    <xf borderId="0" fillId="0" fontId="7" numFmtId="0" xfId="0" applyAlignment="1" applyFont="1">
      <alignment readingOrder="0" shrinkToFit="0" vertical="bottom" wrapText="0"/>
    </xf>
    <xf borderId="0" fillId="0" fontId="8" numFmtId="0" xfId="0" applyAlignment="1" applyFont="1">
      <alignment readingOrder="0" vertical="bottom"/>
    </xf>
    <xf borderId="0" fillId="0" fontId="9" numFmtId="0" xfId="0" applyAlignment="1" applyFont="1">
      <alignment readingOrder="0" vertical="bottom"/>
    </xf>
    <xf borderId="0" fillId="0" fontId="8" numFmtId="0" xfId="0" applyAlignment="1" applyFont="1">
      <alignment horizontal="center" readingOrder="0" vertical="bottom"/>
    </xf>
    <xf borderId="0" fillId="0" fontId="9" numFmtId="0" xfId="0" applyAlignment="1" applyFont="1">
      <alignment vertical="bottom"/>
    </xf>
    <xf borderId="0" fillId="0" fontId="8" numFmtId="21" xfId="0" applyAlignment="1" applyFont="1" applyNumberFormat="1">
      <alignment horizontal="center" vertical="bottom"/>
    </xf>
    <xf borderId="0" fillId="0" fontId="8" numFmtId="0" xfId="0" applyAlignment="1" applyFont="1">
      <alignment vertical="bottom"/>
    </xf>
    <xf borderId="0" fillId="0" fontId="9" numFmtId="21" xfId="0" applyAlignment="1" applyFont="1" applyNumberFormat="1">
      <alignment horizontal="center" vertical="bottom"/>
    </xf>
    <xf borderId="0" fillId="0" fontId="10" numFmtId="21" xfId="0" applyAlignment="1" applyFont="1" applyNumberFormat="1">
      <alignment horizontal="center" vertical="bottom"/>
    </xf>
    <xf borderId="0" fillId="0" fontId="9" numFmtId="21" xfId="0" applyAlignment="1" applyFont="1" applyNumberFormat="1">
      <alignment vertical="bottom"/>
    </xf>
    <xf borderId="0" fillId="0" fontId="7" numFmtId="0" xfId="0" applyAlignment="1" applyFont="1">
      <alignment readingOrder="0"/>
    </xf>
    <xf borderId="0" fillId="0" fontId="11" numFmtId="0" xfId="0" applyAlignment="1" applyFont="1">
      <alignment readingOrder="0"/>
    </xf>
    <xf borderId="0" fillId="0" fontId="11" numFmtId="0" xfId="0" applyAlignment="1" applyFont="1">
      <alignment horizontal="center" readingOrder="0"/>
    </xf>
    <xf borderId="0" fillId="0" fontId="8" numFmtId="0" xfId="0" applyAlignment="1" applyFont="1">
      <alignment readingOrder="0"/>
    </xf>
    <xf borderId="0" fillId="0" fontId="12" numFmtId="0" xfId="0" applyAlignment="1" applyFont="1">
      <alignment readingOrder="0"/>
    </xf>
    <xf borderId="0" fillId="0" fontId="12" numFmtId="0" xfId="0" applyAlignment="1" applyFont="1">
      <alignment horizontal="center" readingOrder="0"/>
    </xf>
    <xf borderId="0" fillId="0" fontId="12" numFmtId="0" xfId="0" applyFont="1"/>
    <xf borderId="0" fillId="0" fontId="12" numFmtId="46" xfId="0" applyFont="1" applyNumberFormat="1"/>
    <xf borderId="0" fillId="3" fontId="7" numFmtId="0" xfId="0" applyAlignment="1" applyFont="1">
      <alignment horizontal="center" readingOrder="0" shrinkToFit="0" vertical="bottom" wrapText="0"/>
    </xf>
    <xf borderId="0" fillId="3" fontId="10" numFmtId="0" xfId="0" applyAlignment="1" applyFont="1">
      <alignment horizontal="center" readingOrder="0" shrinkToFit="0" vertical="bottom" wrapText="0"/>
    </xf>
    <xf borderId="0" fillId="3" fontId="8" numFmtId="0" xfId="0" applyAlignment="1" applyFont="1">
      <alignment horizontal="left" readingOrder="0" shrinkToFit="0" vertical="bottom" wrapText="0"/>
    </xf>
    <xf borderId="0" fillId="3" fontId="9" numFmtId="0" xfId="0" applyAlignment="1" applyFont="1">
      <alignment horizontal="left" readingOrder="0" shrinkToFit="0" vertical="bottom" wrapText="0"/>
    </xf>
    <xf borderId="0" fillId="3" fontId="9" numFmtId="0" xfId="0" applyAlignment="1" applyFont="1">
      <alignment horizontal="center" readingOrder="0" shrinkToFit="0" vertical="bottom" wrapText="0"/>
    </xf>
    <xf borderId="0" fillId="3" fontId="9" numFmtId="46" xfId="0" applyAlignment="1" applyFont="1" applyNumberFormat="1">
      <alignment horizontal="right" readingOrder="0" shrinkToFit="0" vertical="bottom" wrapText="0"/>
    </xf>
    <xf borderId="1" fillId="3" fontId="8" numFmtId="0" xfId="0" applyAlignment="1" applyBorder="1" applyFont="1">
      <alignment horizontal="left" readingOrder="0" shrinkToFit="0" vertical="bottom" wrapText="0"/>
    </xf>
    <xf borderId="1" fillId="3" fontId="8" numFmtId="0" xfId="0" applyAlignment="1" applyBorder="1" applyFont="1">
      <alignment horizontal="center" readingOrder="0" shrinkToFit="0" vertical="bottom" wrapText="0"/>
    </xf>
    <xf borderId="1" fillId="3" fontId="9" numFmtId="0" xfId="0" applyAlignment="1" applyBorder="1" applyFont="1">
      <alignment horizontal="left" readingOrder="0" shrinkToFit="0" vertical="bottom" wrapText="0"/>
    </xf>
    <xf borderId="1" fillId="3" fontId="9" numFmtId="46" xfId="0" applyAlignment="1" applyBorder="1" applyFont="1" applyNumberFormat="1">
      <alignment horizontal="right" readingOrder="0" shrinkToFit="0" vertical="bottom" wrapText="0"/>
    </xf>
    <xf borderId="0" fillId="3" fontId="8" numFmtId="0" xfId="0" applyAlignment="1" applyFont="1">
      <alignment horizontal="center" readingOrder="0" shrinkToFit="0" vertical="bottom" wrapText="0"/>
    </xf>
    <xf borderId="0" fillId="3" fontId="9" numFmtId="46" xfId="0" applyAlignment="1" applyFont="1" applyNumberFormat="1">
      <alignment horizontal="right" readingOrder="0" shrinkToFit="0" wrapText="0"/>
    </xf>
    <xf borderId="0" fillId="3" fontId="9" numFmtId="0" xfId="0" applyAlignment="1" applyFont="1">
      <alignment horizontal="left" readingOrder="0" shrinkToFit="0" wrapText="0"/>
    </xf>
    <xf borderId="0" fillId="3" fontId="9" numFmtId="0" xfId="0" applyAlignment="1" applyFont="1">
      <alignment horizontal="center" readingOrder="0" shrinkToFit="0" wrapText="0"/>
    </xf>
    <xf borderId="0" fillId="3" fontId="8" numFmtId="0" xfId="0" applyAlignment="1" applyFont="1">
      <alignment horizontal="left" readingOrder="0" shrinkToFit="0" wrapText="0"/>
    </xf>
    <xf borderId="0" fillId="3" fontId="8" numFmtId="0" xfId="0" applyAlignment="1" applyFont="1">
      <alignment horizontal="center" readingOrder="0" shrinkToFit="0" wrapText="0"/>
    </xf>
    <xf borderId="0" fillId="3" fontId="12" numFmtId="0" xfId="0" applyAlignment="1" applyFont="1">
      <alignment horizontal="left" readingOrder="0" shrinkToFit="0" wrapText="0"/>
    </xf>
    <xf borderId="0" fillId="3" fontId="8" numFmtId="46" xfId="0" applyAlignment="1" applyFont="1" applyNumberFormat="1">
      <alignment horizontal="right" readingOrder="0" shrinkToFit="0" wrapText="0"/>
    </xf>
    <xf borderId="0" fillId="3" fontId="8" numFmtId="46" xfId="0" applyAlignment="1" applyFont="1" applyNumberFormat="1">
      <alignment horizontal="right" readingOrder="0" shrinkToFit="0" vertical="bottom" wrapText="0"/>
    </xf>
    <xf borderId="0" fillId="3" fontId="9" numFmtId="46" xfId="0" applyAlignment="1" applyFont="1" applyNumberFormat="1">
      <alignment horizontal="left" readingOrder="0" shrinkToFit="0" vertical="bottom" wrapText="0"/>
    </xf>
    <xf borderId="0" fillId="3" fontId="9" numFmtId="46" xfId="0" applyAlignment="1" applyFont="1" applyNumberFormat="1">
      <alignment horizontal="right" shrinkToFit="0" vertical="bottom" wrapText="0"/>
    </xf>
    <xf borderId="0" fillId="3" fontId="12" numFmtId="0" xfId="0" applyAlignment="1" applyFont="1">
      <alignment horizontal="center" readingOrder="0" shrinkToFit="0" wrapText="0"/>
    </xf>
    <xf borderId="0" fillId="3" fontId="13" numFmtId="0" xfId="0" applyAlignment="1" applyFont="1">
      <alignment horizontal="center" readingOrder="0" shrinkToFit="0" vertical="bottom" wrapText="0"/>
    </xf>
    <xf borderId="0" fillId="3" fontId="13" numFmtId="0" xfId="0" applyAlignment="1" applyFont="1">
      <alignment horizontal="left" readingOrder="0" shrinkToFit="0" vertical="bottom" wrapText="0"/>
    </xf>
    <xf borderId="0" fillId="3" fontId="13" numFmtId="46" xfId="0" applyAlignment="1" applyFont="1" applyNumberFormat="1">
      <alignment horizontal="right" readingOrder="0" shrinkToFit="0" vertical="bottom" wrapText="0"/>
    </xf>
    <xf borderId="0" fillId="3" fontId="13" numFmtId="21" xfId="0" applyAlignment="1" applyFont="1" applyNumberFormat="1">
      <alignment horizontal="right" readingOrder="0" shrinkToFit="0" vertical="bottom" wrapText="0"/>
    </xf>
    <xf borderId="1" fillId="3" fontId="9" numFmtId="0" xfId="0" applyAlignment="1" applyBorder="1" applyFont="1">
      <alignment horizontal="center" readingOrder="0" shrinkToFit="0" vertical="bottom" wrapText="0"/>
    </xf>
    <xf borderId="0" fillId="3" fontId="8" numFmtId="0" xfId="0" applyAlignment="1" applyFont="1">
      <alignment horizontal="center" shrinkToFit="0" vertical="bottom" wrapText="0"/>
    </xf>
    <xf borderId="0" fillId="0" fontId="14" numFmtId="0" xfId="0" applyAlignment="1" applyFont="1">
      <alignment horizontal="center" readingOrder="0"/>
    </xf>
    <xf borderId="0" fillId="0" fontId="15" numFmtId="0" xfId="0" applyAlignment="1" applyFont="1">
      <alignment horizontal="center" readingOrder="0"/>
    </xf>
    <xf borderId="0" fillId="0" fontId="3" numFmtId="0" xfId="0" applyAlignment="1" applyFont="1">
      <alignment readingOrder="0"/>
    </xf>
    <xf borderId="0" fillId="0" fontId="6" numFmtId="0" xfId="0" applyAlignment="1" applyFont="1">
      <alignment readingOrder="0"/>
    </xf>
    <xf borderId="0" fillId="0" fontId="6" numFmtId="0" xfId="0" applyAlignment="1" applyFont="1">
      <alignment horizontal="center" readingOrder="0"/>
    </xf>
    <xf borderId="0" fillId="0" fontId="6" numFmtId="21" xfId="0" applyAlignment="1" applyFont="1" applyNumberFormat="1">
      <alignment readingOrder="0"/>
    </xf>
    <xf borderId="0" fillId="0" fontId="6" numFmtId="0" xfId="0" applyAlignment="1" applyFont="1">
      <alignment horizontal="center"/>
    </xf>
    <xf borderId="0" fillId="0" fontId="16" numFmtId="0" xfId="0" applyAlignment="1" applyFont="1">
      <alignment horizontal="center" readingOrder="0"/>
    </xf>
    <xf borderId="0" fillId="0" fontId="17" numFmtId="0" xfId="0" applyAlignment="1" applyFont="1">
      <alignment horizontal="center" readingOrder="0"/>
    </xf>
    <xf borderId="0" fillId="0" fontId="18" numFmtId="0" xfId="0" applyAlignment="1" applyFont="1">
      <alignment readingOrder="0"/>
    </xf>
    <xf borderId="0" fillId="0" fontId="19" numFmtId="0" xfId="0" applyAlignment="1" applyFont="1">
      <alignment readingOrder="0"/>
    </xf>
    <xf borderId="0" fillId="0" fontId="19" numFmtId="0" xfId="0" applyAlignment="1" applyFont="1">
      <alignment horizontal="center" readingOrder="0"/>
    </xf>
    <xf borderId="0" fillId="0" fontId="19" numFmtId="21" xfId="0" applyAlignment="1" applyFont="1" applyNumberFormat="1">
      <alignment readingOrder="0"/>
    </xf>
    <xf borderId="0" fillId="0" fontId="19" numFmtId="0" xfId="0" applyFont="1"/>
    <xf borderId="0" fillId="0" fontId="19" numFmtId="0" xfId="0" applyAlignment="1" applyFont="1">
      <alignment horizontal="center"/>
    </xf>
    <xf borderId="0" fillId="3" fontId="16" numFmtId="0" xfId="0" applyAlignment="1" applyFont="1">
      <alignment horizontal="center" readingOrder="0"/>
    </xf>
    <xf borderId="0" fillId="3" fontId="17" numFmtId="0" xfId="0" applyAlignment="1" applyFont="1">
      <alignment horizontal="center" readingOrder="0"/>
    </xf>
    <xf borderId="0" fillId="0" fontId="19" numFmtId="20" xfId="0" applyAlignment="1" applyFont="1" applyNumberFormat="1">
      <alignment readingOrder="0"/>
    </xf>
    <xf borderId="0" fillId="0" fontId="15" numFmtId="0" xfId="0" applyAlignment="1" applyFont="1">
      <alignment readingOrder="0"/>
    </xf>
    <xf borderId="0" fillId="0" fontId="4" numFmtId="0" xfId="0" applyAlignment="1" applyFont="1">
      <alignment vertical="bottom"/>
    </xf>
    <xf borderId="0" fillId="0" fontId="20" numFmtId="0" xfId="0" applyAlignment="1" applyFont="1">
      <alignment vertical="bottom"/>
    </xf>
    <xf borderId="0" fillId="0" fontId="20" numFmtId="21" xfId="0" applyAlignment="1" applyFont="1" applyNumberFormat="1">
      <alignment horizontal="center" vertical="bottom"/>
    </xf>
    <xf borderId="0" fillId="0" fontId="20" numFmtId="0" xfId="0" applyAlignment="1" applyFont="1">
      <alignment horizontal="center" vertical="bottom"/>
    </xf>
    <xf borderId="0" fillId="0" fontId="21" numFmtId="0" xfId="0" applyAlignment="1" applyFont="1">
      <alignment vertical="bottom"/>
    </xf>
    <xf borderId="1" fillId="4" fontId="22" numFmtId="0" xfId="0" applyAlignment="1" applyBorder="1" applyFill="1" applyFont="1">
      <alignment vertical="bottom"/>
    </xf>
    <xf borderId="1" fillId="4" fontId="21" numFmtId="0" xfId="0" applyAlignment="1" applyBorder="1" applyFont="1">
      <alignment vertical="bottom"/>
    </xf>
    <xf borderId="1" fillId="4" fontId="21" numFmtId="21" xfId="0" applyAlignment="1" applyBorder="1" applyFont="1" applyNumberFormat="1">
      <alignment vertical="bottom"/>
    </xf>
    <xf borderId="1" fillId="4" fontId="23" numFmtId="46" xfId="0" applyAlignment="1" applyBorder="1" applyFont="1" applyNumberFormat="1">
      <alignment horizontal="right" vertical="bottom"/>
    </xf>
    <xf borderId="1" fillId="5" fontId="4" numFmtId="0" xfId="0" applyAlignment="1" applyBorder="1" applyFill="1" applyFont="1">
      <alignment vertical="bottom"/>
    </xf>
    <xf borderId="1" fillId="5" fontId="21" numFmtId="0" xfId="0" applyAlignment="1" applyBorder="1" applyFont="1">
      <alignment vertical="bottom"/>
    </xf>
    <xf borderId="1" fillId="5" fontId="21" numFmtId="21" xfId="0" applyAlignment="1" applyBorder="1" applyFont="1" applyNumberFormat="1">
      <alignment vertical="bottom"/>
    </xf>
    <xf borderId="1" fillId="5" fontId="20" numFmtId="21" xfId="0" applyAlignment="1" applyBorder="1" applyFont="1" applyNumberFormat="1">
      <alignment horizontal="right" vertical="bottom"/>
    </xf>
    <xf borderId="0" fillId="0" fontId="21" numFmtId="21" xfId="0" applyAlignment="1" applyFont="1" applyNumberFormat="1">
      <alignment vertical="bottom"/>
    </xf>
    <xf borderId="0" fillId="0" fontId="20" numFmtId="21" xfId="0" applyAlignment="1" applyFont="1" applyNumberFormat="1">
      <alignment horizontal="right" vertical="bottom"/>
    </xf>
    <xf borderId="0" fillId="0" fontId="24" numFmtId="0" xfId="0" applyAlignment="1" applyFont="1">
      <alignment vertical="bottom"/>
    </xf>
    <xf borderId="0" fillId="0" fontId="24" numFmtId="21" xfId="0" applyAlignment="1" applyFont="1" applyNumberFormat="1">
      <alignment horizontal="center" vertical="bottom"/>
    </xf>
    <xf borderId="0" fillId="3" fontId="24" numFmtId="0" xfId="0" applyAlignment="1" applyFont="1">
      <alignment vertical="bottom"/>
    </xf>
    <xf borderId="1" fillId="5" fontId="24" numFmtId="0" xfId="0" applyAlignment="1" applyBorder="1" applyFont="1">
      <alignment vertical="bottom"/>
    </xf>
    <xf borderId="1" fillId="5" fontId="4" numFmtId="0" xfId="0" applyAlignment="1" applyBorder="1" applyFont="1">
      <alignment horizontal="center" vertical="bottom"/>
    </xf>
    <xf borderId="0" fillId="0" fontId="24" numFmtId="0" xfId="0" applyAlignment="1" applyFont="1">
      <alignment horizontal="center" vertical="bottom"/>
    </xf>
    <xf borderId="0" fillId="0" fontId="25" numFmtId="21" xfId="0" applyAlignment="1" applyFont="1" applyNumberFormat="1">
      <alignment horizontal="center" vertical="bottom"/>
    </xf>
  </cellXfs>
  <cellStyles count="1">
    <cellStyle xfId="0" name="Normal" builtinId="0"/>
  </cellStyles>
  <dxfs count="1">
    <dxf>
      <font>
        <color rgb="FFFF00FF"/>
      </font>
      <fill>
        <patternFill patternType="none"/>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8.0"/>
    <col customWidth="1" min="2" max="2" width="28.56"/>
    <col customWidth="1" min="3" max="3" width="16.11"/>
    <col customWidth="1" min="4" max="4" width="10.44"/>
    <col customWidth="1" min="5" max="5" width="23.11"/>
    <col customWidth="1" min="6" max="6" width="12.89"/>
    <col customWidth="1" min="7" max="7" width="53.11"/>
    <col customWidth="1" min="8" max="8" width="15.33"/>
    <col customWidth="1" min="9" max="9" width="22.44"/>
    <col customWidth="1" min="10" max="10" width="21.56"/>
    <col customWidth="1" min="11" max="11" width="18.11"/>
    <col customWidth="1" min="12" max="12" width="19.11"/>
    <col customWidth="1" min="13" max="13" width="25.22"/>
    <col customWidth="1" hidden="1" min="14" max="14" width="25.22"/>
  </cols>
  <sheetData>
    <row r="1" ht="17.25" customHeight="1">
      <c r="A1" s="1" t="s">
        <v>0</v>
      </c>
      <c r="B1" s="1" t="s">
        <v>1</v>
      </c>
      <c r="C1" s="1" t="s">
        <v>2</v>
      </c>
      <c r="D1" s="1" t="s">
        <v>3</v>
      </c>
      <c r="E1" s="1" t="s">
        <v>4</v>
      </c>
      <c r="F1" s="1" t="s">
        <v>5</v>
      </c>
      <c r="G1" s="1" t="s">
        <v>6</v>
      </c>
      <c r="H1" s="1" t="s">
        <v>7</v>
      </c>
      <c r="I1" s="1" t="s">
        <v>8</v>
      </c>
      <c r="J1" s="1" t="s">
        <v>9</v>
      </c>
      <c r="K1" s="1" t="s">
        <v>10</v>
      </c>
      <c r="L1" s="1" t="s">
        <v>11</v>
      </c>
      <c r="M1" s="1" t="s">
        <v>12</v>
      </c>
      <c r="N1" s="1" t="s">
        <v>13</v>
      </c>
    </row>
    <row r="2" ht="17.25" customHeight="1">
      <c r="A2" s="2"/>
      <c r="B2" s="3" t="s">
        <v>14</v>
      </c>
      <c r="C2" s="4" t="s">
        <v>15</v>
      </c>
      <c r="D2" s="5">
        <v>0.024340277777777777</v>
      </c>
      <c r="E2" s="2" t="str">
        <f t="shared" ref="E2:E667" si="1">IF(N2="", "", IF(ROW()=2, "", IF(N2=N1, E1, B1)))</f>
        <v/>
      </c>
      <c r="F2" s="6">
        <v>1.0</v>
      </c>
      <c r="G2" s="7" t="s">
        <v>16</v>
      </c>
      <c r="H2" s="8" t="s">
        <v>17</v>
      </c>
      <c r="I2" s="8" t="s">
        <v>18</v>
      </c>
      <c r="J2" s="8" t="s">
        <v>18</v>
      </c>
      <c r="K2" s="8" t="s">
        <v>18</v>
      </c>
      <c r="L2" s="8" t="s">
        <v>19</v>
      </c>
      <c r="M2" s="8"/>
      <c r="N2" s="8" t="str">
        <f t="array" ref="N2:N804">IF(B2:B804="", "", IFNA(VLOOKUP(B2:B804, {'Copy of Network Foundations Tra'!E:E, 'Copy of Network Foundations Tra'!D:D}, 2, FALSE), IFNA(VLOOKUP(B2:B804, {'Copy of DC Track'!F:F, 'Copy of DC Track'!E:E}, 2, FALSE), IFNA(VLOOKUP(B2:B804, {'Copy of Campus Track'!F:F, 'Copy of Campus Track'!E:E}, 2, FALSE), IFNA(VLOOKUP(B2:B804, {'Copy of Automation Fundamentals'!F:F, 'Copy of Automation Fundamentals'!E:E}, 2, FALSE), IFNA(VLOOKUP(B2:B804, {'Copy of Automation Advanced - N'!F:F, 'Copy of Automation Advanced - N'!E:E}, 2, FALSE), IFNA(VLOOKUP(B2:B804, {'Copy of Routing-MPLS Core'!F:F, 'Copy of Routing-MPLS Core'!E:E}, 2, FALSE), IFNA(VLOOKUP(B2:B804, {'Copy of AI Track'!D:D, 'Copy of AI Track'!C:C}, 2, FALSE), IFNA(VLOOKUP(B2:B804, {'Copy of Troubleshooting Techtor'!C:C, 'Copy of Troubleshooting Techtor'!B:B}, 2, FALSE), IFNA(VLOOKUP(B2:B804, {'Copy of QoS Techtorial'!C:C, 'Copy of QoS Techtorial'!B:B}, 2, FALSE), IFNA(VLOOKUP(B2:B804, {'Copy of Multicast Techtorial'!C:C, 'Copy of Multicast Techtorial'!B:B}, 2, FALSE), IFNA(VLOOKUP(B2:B804, {'Copy of 7130 - Ultra low Latenc'!C:C, 'Copy of 7130 - Ultra low Latenc'!B:B}, 2, FALSE), ""))))))))))))</f>
        <v>Network Introduction</v>
      </c>
    </row>
    <row r="3" ht="17.25" customHeight="1">
      <c r="A3" s="2"/>
      <c r="B3" s="3" t="s">
        <v>20</v>
      </c>
      <c r="C3" s="4" t="s">
        <v>15</v>
      </c>
      <c r="D3" s="5">
        <v>0.006076388888888889</v>
      </c>
      <c r="E3" s="2" t="str">
        <f t="shared" si="1"/>
        <v/>
      </c>
      <c r="F3" s="6">
        <v>1.0</v>
      </c>
      <c r="G3" s="7" t="s">
        <v>21</v>
      </c>
      <c r="H3" s="9" t="s">
        <v>17</v>
      </c>
      <c r="I3" s="9" t="s">
        <v>18</v>
      </c>
      <c r="J3" s="9" t="s">
        <v>18</v>
      </c>
      <c r="K3" s="9" t="s">
        <v>18</v>
      </c>
      <c r="L3" s="9" t="s">
        <v>19</v>
      </c>
      <c r="M3" s="10" t="s">
        <v>22</v>
      </c>
      <c r="N3" s="10" t="s">
        <v>23</v>
      </c>
    </row>
    <row r="4" ht="17.25" customHeight="1">
      <c r="A4" s="2"/>
      <c r="B4" s="3" t="s">
        <v>24</v>
      </c>
      <c r="C4" s="4" t="s">
        <v>15</v>
      </c>
      <c r="D4" s="5">
        <v>0.02741898148148148</v>
      </c>
      <c r="E4" s="2" t="str">
        <f t="shared" si="1"/>
        <v/>
      </c>
      <c r="F4" s="6">
        <v>2.0</v>
      </c>
      <c r="G4" s="7" t="s">
        <v>25</v>
      </c>
      <c r="H4" s="8" t="s">
        <v>17</v>
      </c>
      <c r="I4" s="8" t="s">
        <v>18</v>
      </c>
      <c r="J4" s="8" t="s">
        <v>18</v>
      </c>
      <c r="K4" s="8" t="s">
        <v>18</v>
      </c>
      <c r="L4" s="8" t="s">
        <v>19</v>
      </c>
      <c r="M4" s="8" t="s">
        <v>22</v>
      </c>
      <c r="N4" s="8" t="s">
        <v>23</v>
      </c>
    </row>
    <row r="5" ht="17.25" customHeight="1">
      <c r="A5" s="2"/>
      <c r="B5" s="3" t="s">
        <v>26</v>
      </c>
      <c r="C5" s="4" t="s">
        <v>15</v>
      </c>
      <c r="D5" s="5">
        <v>0.005416666666666667</v>
      </c>
      <c r="E5" s="2" t="str">
        <f t="shared" si="1"/>
        <v/>
      </c>
      <c r="F5" s="6">
        <v>3.0</v>
      </c>
      <c r="G5" s="7" t="s">
        <v>27</v>
      </c>
      <c r="H5" s="8" t="s">
        <v>17</v>
      </c>
      <c r="I5" s="8" t="s">
        <v>18</v>
      </c>
      <c r="J5" s="8" t="s">
        <v>18</v>
      </c>
      <c r="K5" s="8" t="s">
        <v>18</v>
      </c>
      <c r="L5" s="8" t="s">
        <v>19</v>
      </c>
      <c r="M5" s="8" t="s">
        <v>22</v>
      </c>
      <c r="N5" s="8" t="s">
        <v>23</v>
      </c>
    </row>
    <row r="6" ht="17.25" customHeight="1">
      <c r="A6" s="2"/>
      <c r="B6" s="11" t="s">
        <v>28</v>
      </c>
      <c r="C6" s="4" t="s">
        <v>15</v>
      </c>
      <c r="D6" s="12">
        <v>0.01605324074074074</v>
      </c>
      <c r="E6" s="2" t="str">
        <f t="shared" si="1"/>
        <v>Wireshark and TCP/IP</v>
      </c>
      <c r="F6" s="6">
        <v>1.0</v>
      </c>
      <c r="G6" s="2" t="s">
        <v>29</v>
      </c>
      <c r="H6" s="13" t="s">
        <v>17</v>
      </c>
      <c r="I6" s="13" t="s">
        <v>18</v>
      </c>
      <c r="J6" s="13" t="s">
        <v>18</v>
      </c>
      <c r="K6" s="13" t="s">
        <v>18</v>
      </c>
      <c r="L6" s="13" t="s">
        <v>19</v>
      </c>
      <c r="M6" s="13" t="s">
        <v>22</v>
      </c>
      <c r="N6" s="13" t="s">
        <v>30</v>
      </c>
    </row>
    <row r="7" ht="17.25" customHeight="1">
      <c r="A7" s="2"/>
      <c r="B7" s="11" t="s">
        <v>31</v>
      </c>
      <c r="C7" s="4" t="s">
        <v>15</v>
      </c>
      <c r="D7" s="12">
        <v>0.015300925925925926</v>
      </c>
      <c r="E7" s="2" t="str">
        <f t="shared" si="1"/>
        <v>Wireshark and TCP/IP</v>
      </c>
      <c r="F7" s="6">
        <v>2.0</v>
      </c>
      <c r="G7" s="2" t="s">
        <v>32</v>
      </c>
      <c r="H7" s="13" t="s">
        <v>17</v>
      </c>
      <c r="I7" s="13" t="s">
        <v>18</v>
      </c>
      <c r="J7" s="13" t="s">
        <v>18</v>
      </c>
      <c r="K7" s="13" t="s">
        <v>18</v>
      </c>
      <c r="L7" s="13" t="s">
        <v>19</v>
      </c>
      <c r="M7" s="13" t="s">
        <v>22</v>
      </c>
      <c r="N7" s="13" t="s">
        <v>30</v>
      </c>
    </row>
    <row r="8" ht="17.25" customHeight="1">
      <c r="A8" s="2"/>
      <c r="B8" s="11" t="s">
        <v>33</v>
      </c>
      <c r="C8" s="4" t="s">
        <v>15</v>
      </c>
      <c r="D8" s="12">
        <v>0.021111111111111112</v>
      </c>
      <c r="E8" s="2" t="str">
        <f t="shared" si="1"/>
        <v>Cabling and Connectivity - Part 2 - Fiber and Wireless</v>
      </c>
      <c r="F8" s="6">
        <v>2.0</v>
      </c>
      <c r="G8" s="2" t="s">
        <v>34</v>
      </c>
      <c r="H8" s="13" t="s">
        <v>17</v>
      </c>
      <c r="I8" s="13" t="s">
        <v>18</v>
      </c>
      <c r="J8" s="13" t="s">
        <v>18</v>
      </c>
      <c r="K8" s="13" t="s">
        <v>18</v>
      </c>
      <c r="L8" s="13" t="s">
        <v>19</v>
      </c>
      <c r="M8" s="13" t="s">
        <v>22</v>
      </c>
      <c r="N8" s="13" t="s">
        <v>35</v>
      </c>
    </row>
    <row r="9" ht="17.25" customHeight="1">
      <c r="A9" s="2"/>
      <c r="B9" s="11" t="s">
        <v>36</v>
      </c>
      <c r="C9" s="4" t="s">
        <v>15</v>
      </c>
      <c r="D9" s="12">
        <v>0.027939814814814813</v>
      </c>
      <c r="E9" s="2" t="str">
        <f t="shared" si="1"/>
        <v>Cabling and Connectivity - Part 2 - Fiber and Wireless</v>
      </c>
      <c r="F9" s="6">
        <v>3.0</v>
      </c>
      <c r="G9" s="2" t="s">
        <v>37</v>
      </c>
      <c r="H9" s="13" t="s">
        <v>17</v>
      </c>
      <c r="I9" s="13" t="s">
        <v>18</v>
      </c>
      <c r="J9" s="13" t="s">
        <v>18</v>
      </c>
      <c r="K9" s="13" t="s">
        <v>18</v>
      </c>
      <c r="L9" s="13" t="s">
        <v>19</v>
      </c>
      <c r="M9" s="13"/>
      <c r="N9" s="13" t="s">
        <v>35</v>
      </c>
    </row>
    <row r="10" ht="17.25" customHeight="1">
      <c r="A10" s="2"/>
      <c r="B10" s="11" t="s">
        <v>38</v>
      </c>
      <c r="C10" s="4" t="s">
        <v>15</v>
      </c>
      <c r="D10" s="12">
        <v>0.018020833333333333</v>
      </c>
      <c r="E10" s="2" t="str">
        <f t="shared" si="1"/>
        <v>L2 Devices Learning and Forwarding</v>
      </c>
      <c r="F10" s="6">
        <v>2.0</v>
      </c>
      <c r="G10" s="2" t="s">
        <v>39</v>
      </c>
      <c r="H10" s="13" t="s">
        <v>17</v>
      </c>
      <c r="I10" s="13" t="s">
        <v>18</v>
      </c>
      <c r="J10" s="13" t="s">
        <v>18</v>
      </c>
      <c r="K10" s="13" t="s">
        <v>18</v>
      </c>
      <c r="L10" s="13" t="s">
        <v>19</v>
      </c>
      <c r="M10" s="13" t="s">
        <v>22</v>
      </c>
      <c r="N10" s="13" t="s">
        <v>40</v>
      </c>
    </row>
    <row r="11" ht="17.25" customHeight="1">
      <c r="A11" s="2"/>
      <c r="B11" s="11" t="s">
        <v>41</v>
      </c>
      <c r="C11" s="4" t="s">
        <v>15</v>
      </c>
      <c r="D11" s="12">
        <v>0.010787037037037038</v>
      </c>
      <c r="E11" s="2" t="str">
        <f t="shared" si="1"/>
        <v>L2 Devices Learning and Forwarding</v>
      </c>
      <c r="F11" s="6">
        <v>2.0</v>
      </c>
      <c r="G11" s="2" t="s">
        <v>42</v>
      </c>
      <c r="H11" s="13" t="s">
        <v>17</v>
      </c>
      <c r="I11" s="13" t="s">
        <v>18</v>
      </c>
      <c r="J11" s="13" t="s">
        <v>18</v>
      </c>
      <c r="K11" s="13" t="s">
        <v>18</v>
      </c>
      <c r="L11" s="13" t="s">
        <v>19</v>
      </c>
      <c r="M11" s="13" t="s">
        <v>22</v>
      </c>
      <c r="N11" s="13" t="s">
        <v>40</v>
      </c>
    </row>
    <row r="12" ht="17.25" customHeight="1">
      <c r="A12" s="2"/>
      <c r="B12" s="11" t="s">
        <v>43</v>
      </c>
      <c r="C12" s="4" t="s">
        <v>15</v>
      </c>
      <c r="D12" s="12">
        <v>0.009583333333333333</v>
      </c>
      <c r="E12" s="2" t="str">
        <f t="shared" si="1"/>
        <v>L2 Devices Learning and Forwarding</v>
      </c>
      <c r="F12" s="6">
        <v>2.0</v>
      </c>
      <c r="G12" s="2" t="s">
        <v>44</v>
      </c>
      <c r="H12" s="13" t="s">
        <v>17</v>
      </c>
      <c r="I12" s="13" t="s">
        <v>18</v>
      </c>
      <c r="J12" s="13" t="s">
        <v>18</v>
      </c>
      <c r="K12" s="13" t="s">
        <v>18</v>
      </c>
      <c r="L12" s="13" t="s">
        <v>19</v>
      </c>
      <c r="M12" s="13" t="s">
        <v>22</v>
      </c>
      <c r="N12" s="13" t="s">
        <v>40</v>
      </c>
    </row>
    <row r="13" ht="17.25" customHeight="1">
      <c r="A13" s="2"/>
      <c r="B13" s="11" t="s">
        <v>45</v>
      </c>
      <c r="C13" s="4" t="s">
        <v>15</v>
      </c>
      <c r="D13" s="12">
        <v>0.013287037037037036</v>
      </c>
      <c r="E13" s="2" t="str">
        <f t="shared" si="1"/>
        <v>L2 Devices Learning and Forwarding</v>
      </c>
      <c r="F13" s="6">
        <v>2.0</v>
      </c>
      <c r="G13" s="2" t="s">
        <v>46</v>
      </c>
      <c r="H13" s="13" t="s">
        <v>17</v>
      </c>
      <c r="I13" s="13" t="s">
        <v>18</v>
      </c>
      <c r="J13" s="13" t="s">
        <v>18</v>
      </c>
      <c r="K13" s="13" t="s">
        <v>18</v>
      </c>
      <c r="L13" s="13" t="s">
        <v>19</v>
      </c>
      <c r="M13" s="13" t="s">
        <v>22</v>
      </c>
      <c r="N13" s="13" t="s">
        <v>40</v>
      </c>
    </row>
    <row r="14" ht="17.25" customHeight="1">
      <c r="A14" s="2"/>
      <c r="B14" s="11" t="s">
        <v>47</v>
      </c>
      <c r="C14" s="4" t="s">
        <v>15</v>
      </c>
      <c r="D14" s="12">
        <v>0.012118055555555556</v>
      </c>
      <c r="E14" s="2" t="str">
        <f t="shared" si="1"/>
        <v>L2 Devices Learning and Forwarding</v>
      </c>
      <c r="F14" s="6">
        <v>2.0</v>
      </c>
      <c r="G14" s="2" t="s">
        <v>48</v>
      </c>
      <c r="H14" s="13" t="s">
        <v>17</v>
      </c>
      <c r="I14" s="13" t="s">
        <v>18</v>
      </c>
      <c r="J14" s="13" t="s">
        <v>18</v>
      </c>
      <c r="K14" s="13" t="s">
        <v>18</v>
      </c>
      <c r="L14" s="13" t="s">
        <v>19</v>
      </c>
      <c r="M14" s="13" t="s">
        <v>22</v>
      </c>
      <c r="N14" s="13" t="s">
        <v>40</v>
      </c>
    </row>
    <row r="15" ht="17.25" customHeight="1">
      <c r="A15" s="2"/>
      <c r="B15" s="11" t="s">
        <v>49</v>
      </c>
      <c r="C15" s="4" t="s">
        <v>15</v>
      </c>
      <c r="D15" s="12">
        <v>0.01738425925925926</v>
      </c>
      <c r="E15" s="2" t="str">
        <f t="shared" si="1"/>
        <v>L2 Devices Learning and Forwarding</v>
      </c>
      <c r="F15" s="6">
        <v>4.0</v>
      </c>
      <c r="G15" s="2" t="s">
        <v>50</v>
      </c>
      <c r="H15" s="13" t="s">
        <v>17</v>
      </c>
      <c r="I15" s="13" t="s">
        <v>18</v>
      </c>
      <c r="J15" s="13" t="s">
        <v>18</v>
      </c>
      <c r="K15" s="13" t="s">
        <v>18</v>
      </c>
      <c r="L15" s="13" t="s">
        <v>19</v>
      </c>
      <c r="M15" s="13" t="s">
        <v>22</v>
      </c>
      <c r="N15" s="13" t="s">
        <v>40</v>
      </c>
    </row>
    <row r="16" ht="17.25" customHeight="1">
      <c r="A16" s="2"/>
      <c r="B16" s="11" t="s">
        <v>51</v>
      </c>
      <c r="C16" s="4" t="s">
        <v>15</v>
      </c>
      <c r="D16" s="12">
        <v>0.014918981481481481</v>
      </c>
      <c r="E16" s="2" t="str">
        <f t="shared" si="1"/>
        <v>Subnetting</v>
      </c>
      <c r="F16" s="6">
        <v>3.0</v>
      </c>
      <c r="G16" s="2" t="s">
        <v>52</v>
      </c>
      <c r="H16" s="13" t="s">
        <v>17</v>
      </c>
      <c r="I16" s="13" t="s">
        <v>18</v>
      </c>
      <c r="J16" s="13" t="s">
        <v>18</v>
      </c>
      <c r="K16" s="13" t="s">
        <v>18</v>
      </c>
      <c r="L16" s="13" t="s">
        <v>19</v>
      </c>
      <c r="M16" s="13" t="s">
        <v>22</v>
      </c>
      <c r="N16" s="13" t="s">
        <v>53</v>
      </c>
    </row>
    <row r="17" ht="17.25" customHeight="1">
      <c r="A17" s="2"/>
      <c r="B17" s="11" t="s">
        <v>54</v>
      </c>
      <c r="C17" s="4" t="s">
        <v>15</v>
      </c>
      <c r="D17" s="12">
        <v>0.010416666666666666</v>
      </c>
      <c r="E17" s="2" t="str">
        <f t="shared" si="1"/>
        <v>Subnetting</v>
      </c>
      <c r="F17" s="6">
        <v>2.0</v>
      </c>
      <c r="G17" s="2" t="s">
        <v>55</v>
      </c>
      <c r="H17" s="13" t="s">
        <v>17</v>
      </c>
      <c r="I17" s="13" t="s">
        <v>18</v>
      </c>
      <c r="J17" s="13" t="s">
        <v>18</v>
      </c>
      <c r="K17" s="13" t="s">
        <v>18</v>
      </c>
      <c r="L17" s="13" t="s">
        <v>19</v>
      </c>
      <c r="M17" s="13" t="s">
        <v>22</v>
      </c>
      <c r="N17" s="13" t="s">
        <v>53</v>
      </c>
    </row>
    <row r="18" ht="17.25" customHeight="1">
      <c r="A18" s="2"/>
      <c r="B18" s="11" t="s">
        <v>56</v>
      </c>
      <c r="C18" s="4" t="s">
        <v>15</v>
      </c>
      <c r="D18" s="12">
        <v>0.008356481481481482</v>
      </c>
      <c r="E18" s="2" t="str">
        <f t="shared" si="1"/>
        <v>Subnetting</v>
      </c>
      <c r="F18" s="6">
        <v>3.0</v>
      </c>
      <c r="G18" s="2" t="s">
        <v>57</v>
      </c>
      <c r="H18" s="13" t="s">
        <v>17</v>
      </c>
      <c r="I18" s="13" t="s">
        <v>18</v>
      </c>
      <c r="J18" s="13" t="s">
        <v>18</v>
      </c>
      <c r="K18" s="13" t="s">
        <v>18</v>
      </c>
      <c r="L18" s="13" t="s">
        <v>19</v>
      </c>
      <c r="M18" s="13" t="s">
        <v>22</v>
      </c>
      <c r="N18" s="13" t="s">
        <v>53</v>
      </c>
    </row>
    <row r="19" ht="17.25" customHeight="1">
      <c r="A19" s="2"/>
      <c r="B19" s="11" t="s">
        <v>58</v>
      </c>
      <c r="C19" s="4" t="s">
        <v>15</v>
      </c>
      <c r="D19" s="12">
        <v>0.015648148148148147</v>
      </c>
      <c r="E19" s="2" t="str">
        <f t="shared" si="1"/>
        <v>Subnetting</v>
      </c>
      <c r="F19" s="6">
        <v>3.0</v>
      </c>
      <c r="G19" s="2" t="s">
        <v>59</v>
      </c>
      <c r="H19" s="13" t="s">
        <v>17</v>
      </c>
      <c r="I19" s="13" t="s">
        <v>18</v>
      </c>
      <c r="J19" s="13" t="s">
        <v>18</v>
      </c>
      <c r="K19" s="13" t="s">
        <v>18</v>
      </c>
      <c r="L19" s="13" t="s">
        <v>19</v>
      </c>
      <c r="M19" s="13" t="s">
        <v>22</v>
      </c>
      <c r="N19" s="13" t="s">
        <v>53</v>
      </c>
    </row>
    <row r="20" ht="17.25" customHeight="1">
      <c r="A20" s="2"/>
      <c r="B20" s="11" t="s">
        <v>60</v>
      </c>
      <c r="C20" s="4" t="s">
        <v>15</v>
      </c>
      <c r="D20" s="12">
        <v>0.008368055555555556</v>
      </c>
      <c r="E20" s="2" t="str">
        <f t="shared" si="1"/>
        <v>Subnetting</v>
      </c>
      <c r="F20" s="6">
        <v>3.0</v>
      </c>
      <c r="G20" s="2" t="s">
        <v>61</v>
      </c>
      <c r="H20" s="13" t="s">
        <v>17</v>
      </c>
      <c r="I20" s="13" t="s">
        <v>18</v>
      </c>
      <c r="J20" s="13" t="s">
        <v>18</v>
      </c>
      <c r="K20" s="13" t="s">
        <v>18</v>
      </c>
      <c r="L20" s="13" t="s">
        <v>19</v>
      </c>
      <c r="M20" s="13" t="s">
        <v>22</v>
      </c>
      <c r="N20" s="13" t="s">
        <v>53</v>
      </c>
    </row>
    <row r="21" ht="17.25" customHeight="1">
      <c r="A21" s="2"/>
      <c r="B21" s="11" t="s">
        <v>62</v>
      </c>
      <c r="C21" s="4" t="s">
        <v>15</v>
      </c>
      <c r="D21" s="12">
        <v>0.016087962962962964</v>
      </c>
      <c r="E21" s="2" t="str">
        <f t="shared" si="1"/>
        <v>NTP</v>
      </c>
      <c r="F21" s="6">
        <v>3.0</v>
      </c>
      <c r="G21" s="2" t="s">
        <v>63</v>
      </c>
      <c r="H21" s="13" t="s">
        <v>17</v>
      </c>
      <c r="I21" s="13" t="s">
        <v>18</v>
      </c>
      <c r="J21" s="13" t="s">
        <v>18</v>
      </c>
      <c r="K21" s="13" t="s">
        <v>18</v>
      </c>
      <c r="L21" s="13" t="s">
        <v>19</v>
      </c>
      <c r="M21" s="13" t="s">
        <v>22</v>
      </c>
      <c r="N21" s="13" t="s">
        <v>64</v>
      </c>
    </row>
    <row r="22" ht="17.25" customHeight="1">
      <c r="A22" s="2"/>
      <c r="B22" s="11" t="s">
        <v>65</v>
      </c>
      <c r="C22" s="4" t="s">
        <v>15</v>
      </c>
      <c r="D22" s="12">
        <v>0.02228009259259259</v>
      </c>
      <c r="E22" s="2" t="str">
        <f t="shared" si="1"/>
        <v>NTP</v>
      </c>
      <c r="F22" s="6">
        <v>3.0</v>
      </c>
      <c r="G22" s="2" t="s">
        <v>66</v>
      </c>
      <c r="H22" s="13" t="s">
        <v>17</v>
      </c>
      <c r="I22" s="13" t="s">
        <v>18</v>
      </c>
      <c r="J22" s="13" t="s">
        <v>18</v>
      </c>
      <c r="K22" s="13" t="s">
        <v>18</v>
      </c>
      <c r="L22" s="13" t="s">
        <v>19</v>
      </c>
      <c r="M22" s="13" t="s">
        <v>22</v>
      </c>
      <c r="N22" s="13" t="s">
        <v>64</v>
      </c>
    </row>
    <row r="23" ht="17.25" customHeight="1">
      <c r="A23" s="2"/>
      <c r="B23" s="11" t="s">
        <v>67</v>
      </c>
      <c r="C23" s="4" t="s">
        <v>15</v>
      </c>
      <c r="D23" s="12">
        <v>0.009340277777777777</v>
      </c>
      <c r="E23" s="2" t="str">
        <f t="shared" si="1"/>
        <v>TCP vs UDP</v>
      </c>
      <c r="F23" s="6">
        <v>2.0</v>
      </c>
      <c r="G23" s="2" t="s">
        <v>68</v>
      </c>
      <c r="H23" s="13"/>
      <c r="I23" s="13" t="s">
        <v>18</v>
      </c>
      <c r="J23" s="13" t="s">
        <v>18</v>
      </c>
      <c r="K23" s="13" t="s">
        <v>18</v>
      </c>
      <c r="L23" s="13" t="s">
        <v>19</v>
      </c>
      <c r="M23" s="13"/>
      <c r="N23" s="13" t="s">
        <v>69</v>
      </c>
    </row>
    <row r="24" ht="17.25" customHeight="1">
      <c r="A24" s="2"/>
      <c r="B24" s="11" t="s">
        <v>70</v>
      </c>
      <c r="C24" s="4" t="s">
        <v>15</v>
      </c>
      <c r="D24" s="12">
        <v>0.01505787037037037</v>
      </c>
      <c r="E24" s="2" t="str">
        <f t="shared" si="1"/>
        <v>TCP vs UDP</v>
      </c>
      <c r="F24" s="6">
        <v>2.0</v>
      </c>
      <c r="G24" s="2" t="s">
        <v>71</v>
      </c>
      <c r="H24" s="13"/>
      <c r="I24" s="13" t="s">
        <v>18</v>
      </c>
      <c r="J24" s="13" t="s">
        <v>18</v>
      </c>
      <c r="K24" s="13" t="s">
        <v>18</v>
      </c>
      <c r="L24" s="13" t="s">
        <v>19</v>
      </c>
      <c r="M24" s="13"/>
      <c r="N24" s="13" t="s">
        <v>69</v>
      </c>
    </row>
    <row r="25" ht="17.25" customHeight="1">
      <c r="A25" s="2"/>
      <c r="B25" s="11" t="s">
        <v>72</v>
      </c>
      <c r="C25" s="4" t="s">
        <v>15</v>
      </c>
      <c r="D25" s="12">
        <v>0.010717592592592593</v>
      </c>
      <c r="E25" s="2" t="str">
        <f t="shared" si="1"/>
        <v>TCP vs UDP</v>
      </c>
      <c r="F25" s="6">
        <v>4.0</v>
      </c>
      <c r="G25" s="2" t="s">
        <v>73</v>
      </c>
      <c r="H25" s="13" t="s">
        <v>17</v>
      </c>
      <c r="I25" s="13" t="s">
        <v>18</v>
      </c>
      <c r="J25" s="13" t="s">
        <v>18</v>
      </c>
      <c r="K25" s="13" t="s">
        <v>18</v>
      </c>
      <c r="L25" s="13"/>
      <c r="M25" s="13" t="s">
        <v>74</v>
      </c>
      <c r="N25" s="13" t="s">
        <v>69</v>
      </c>
    </row>
    <row r="26" ht="17.25" customHeight="1">
      <c r="A26" s="2"/>
      <c r="B26" s="11" t="s">
        <v>75</v>
      </c>
      <c r="C26" s="4" t="s">
        <v>15</v>
      </c>
      <c r="D26" s="12">
        <v>0.003321759259259259</v>
      </c>
      <c r="E26" s="2" t="str">
        <f t="shared" si="1"/>
        <v>TCP vs UDP</v>
      </c>
      <c r="F26" s="6">
        <v>4.0</v>
      </c>
      <c r="G26" s="2" t="s">
        <v>76</v>
      </c>
      <c r="H26" s="13" t="s">
        <v>17</v>
      </c>
      <c r="I26" s="13" t="s">
        <v>18</v>
      </c>
      <c r="J26" s="13" t="s">
        <v>18</v>
      </c>
      <c r="K26" s="13" t="s">
        <v>18</v>
      </c>
      <c r="L26" s="13"/>
      <c r="M26" s="13" t="s">
        <v>74</v>
      </c>
      <c r="N26" s="13" t="s">
        <v>69</v>
      </c>
    </row>
    <row r="27" ht="17.25" customHeight="1">
      <c r="A27" s="2"/>
      <c r="B27" s="11" t="s">
        <v>77</v>
      </c>
      <c r="C27" s="4" t="s">
        <v>15</v>
      </c>
      <c r="D27" s="12">
        <v>0.004699074074074074</v>
      </c>
      <c r="E27" s="2" t="str">
        <f t="shared" si="1"/>
        <v>TCP vs UDP</v>
      </c>
      <c r="F27" s="6">
        <v>4.0</v>
      </c>
      <c r="G27" s="2" t="s">
        <v>78</v>
      </c>
      <c r="H27" s="13" t="s">
        <v>17</v>
      </c>
      <c r="I27" s="13" t="s">
        <v>18</v>
      </c>
      <c r="J27" s="13" t="s">
        <v>18</v>
      </c>
      <c r="K27" s="13" t="s">
        <v>18</v>
      </c>
      <c r="L27" s="13"/>
      <c r="M27" s="13" t="s">
        <v>74</v>
      </c>
      <c r="N27" s="13" t="s">
        <v>69</v>
      </c>
    </row>
    <row r="28" ht="17.25" customHeight="1">
      <c r="A28" s="2"/>
      <c r="B28" s="11" t="s">
        <v>79</v>
      </c>
      <c r="C28" s="4" t="s">
        <v>15</v>
      </c>
      <c r="D28" s="12">
        <v>0.004189814814814815</v>
      </c>
      <c r="E28" s="2" t="str">
        <f t="shared" si="1"/>
        <v>TCP vs UDP</v>
      </c>
      <c r="F28" s="6">
        <v>4.0</v>
      </c>
      <c r="G28" s="2" t="s">
        <v>80</v>
      </c>
      <c r="H28" s="13" t="s">
        <v>17</v>
      </c>
      <c r="I28" s="13" t="s">
        <v>18</v>
      </c>
      <c r="J28" s="13" t="s">
        <v>18</v>
      </c>
      <c r="K28" s="13" t="s">
        <v>18</v>
      </c>
      <c r="L28" s="13"/>
      <c r="M28" s="13" t="s">
        <v>74</v>
      </c>
      <c r="N28" s="13" t="s">
        <v>69</v>
      </c>
    </row>
    <row r="29" ht="17.25" customHeight="1">
      <c r="A29" s="2"/>
      <c r="B29" s="11" t="s">
        <v>81</v>
      </c>
      <c r="C29" s="4" t="s">
        <v>15</v>
      </c>
      <c r="D29" s="12">
        <v>0.014594907407407407</v>
      </c>
      <c r="E29" s="2" t="str">
        <f t="shared" si="1"/>
        <v>TCP vs UDP</v>
      </c>
      <c r="F29" s="6">
        <v>2.0</v>
      </c>
      <c r="G29" s="2" t="s">
        <v>82</v>
      </c>
      <c r="H29" s="13" t="s">
        <v>17</v>
      </c>
      <c r="I29" s="13" t="s">
        <v>18</v>
      </c>
      <c r="J29" s="13" t="s">
        <v>18</v>
      </c>
      <c r="K29" s="13" t="s">
        <v>18</v>
      </c>
      <c r="L29" s="13"/>
      <c r="M29" s="13" t="s">
        <v>74</v>
      </c>
      <c r="N29" s="13" t="s">
        <v>69</v>
      </c>
    </row>
    <row r="30" ht="17.25" customHeight="1">
      <c r="A30" s="2"/>
      <c r="B30" s="11" t="s">
        <v>83</v>
      </c>
      <c r="C30" s="4" t="s">
        <v>15</v>
      </c>
      <c r="D30" s="12">
        <v>0.01542824074074074</v>
      </c>
      <c r="E30" s="2" t="str">
        <f t="shared" si="1"/>
        <v>The Secret Sauce of Arista EOS Quality</v>
      </c>
      <c r="F30" s="6">
        <v>2.0</v>
      </c>
      <c r="G30" s="2" t="s">
        <v>84</v>
      </c>
      <c r="H30" s="13" t="s">
        <v>17</v>
      </c>
      <c r="I30" s="13" t="s">
        <v>18</v>
      </c>
      <c r="J30" s="13" t="s">
        <v>18</v>
      </c>
      <c r="K30" s="13" t="s">
        <v>18</v>
      </c>
      <c r="L30" s="13" t="s">
        <v>19</v>
      </c>
      <c r="M30" s="13" t="s">
        <v>22</v>
      </c>
      <c r="N30" s="13" t="s">
        <v>85</v>
      </c>
    </row>
    <row r="31" ht="17.25" customHeight="1">
      <c r="A31" s="2"/>
      <c r="B31" s="11" t="s">
        <v>86</v>
      </c>
      <c r="C31" s="4" t="s">
        <v>15</v>
      </c>
      <c r="D31" s="12">
        <v>0.007592592592592593</v>
      </c>
      <c r="E31" s="2" t="str">
        <f t="shared" si="1"/>
        <v>The Secret Sauce of Arista EOS Quality</v>
      </c>
      <c r="F31" s="6">
        <v>3.0</v>
      </c>
      <c r="G31" s="2" t="s">
        <v>87</v>
      </c>
      <c r="H31" s="13" t="s">
        <v>17</v>
      </c>
      <c r="I31" s="13" t="s">
        <v>18</v>
      </c>
      <c r="J31" s="13" t="s">
        <v>18</v>
      </c>
      <c r="K31" s="13" t="s">
        <v>18</v>
      </c>
      <c r="L31" s="13" t="s">
        <v>19</v>
      </c>
      <c r="M31" s="13" t="s">
        <v>22</v>
      </c>
      <c r="N31" s="13" t="s">
        <v>85</v>
      </c>
    </row>
    <row r="32" ht="17.25" customHeight="1">
      <c r="A32" s="2"/>
      <c r="B32" s="11" t="s">
        <v>88</v>
      </c>
      <c r="C32" s="4" t="s">
        <v>15</v>
      </c>
      <c r="D32" s="12">
        <v>0.01884259259259259</v>
      </c>
      <c r="E32" s="2" t="str">
        <f t="shared" si="1"/>
        <v>The Secret Sauce of Arista EOS Quality</v>
      </c>
      <c r="F32" s="6">
        <v>2.0</v>
      </c>
      <c r="G32" s="2" t="s">
        <v>89</v>
      </c>
      <c r="H32" s="13" t="s">
        <v>17</v>
      </c>
      <c r="I32" s="13" t="s">
        <v>18</v>
      </c>
      <c r="J32" s="13" t="s">
        <v>90</v>
      </c>
      <c r="K32" s="13" t="s">
        <v>18</v>
      </c>
      <c r="L32" s="13" t="s">
        <v>19</v>
      </c>
      <c r="M32" s="13" t="s">
        <v>22</v>
      </c>
      <c r="N32" s="13" t="s">
        <v>85</v>
      </c>
    </row>
    <row r="33" ht="17.25" customHeight="1">
      <c r="A33" s="2"/>
      <c r="B33" s="11" t="s">
        <v>91</v>
      </c>
      <c r="C33" s="4" t="s">
        <v>15</v>
      </c>
      <c r="D33" s="12">
        <v>0.02378472222222222</v>
      </c>
      <c r="E33" s="2" t="str">
        <f t="shared" si="1"/>
        <v>The Secret Sauce of Arista EOS Quality</v>
      </c>
      <c r="F33" s="6">
        <v>2.0</v>
      </c>
      <c r="G33" s="2" t="s">
        <v>92</v>
      </c>
      <c r="H33" s="13" t="s">
        <v>17</v>
      </c>
      <c r="I33" s="13" t="s">
        <v>18</v>
      </c>
      <c r="J33" s="13" t="s">
        <v>90</v>
      </c>
      <c r="K33" s="13" t="s">
        <v>18</v>
      </c>
      <c r="L33" s="13" t="s">
        <v>19</v>
      </c>
      <c r="M33" s="13" t="s">
        <v>22</v>
      </c>
      <c r="N33" s="13" t="s">
        <v>85</v>
      </c>
    </row>
    <row r="34" ht="17.25" customHeight="1">
      <c r="A34" s="2"/>
      <c r="B34" s="11" t="s">
        <v>93</v>
      </c>
      <c r="C34" s="4" t="s">
        <v>15</v>
      </c>
      <c r="D34" s="12">
        <v>0.017847222222222223</v>
      </c>
      <c r="E34" s="2" t="str">
        <f t="shared" si="1"/>
        <v>The Secret Sauce of Arista EOS Quality</v>
      </c>
      <c r="F34" s="6">
        <v>2.0</v>
      </c>
      <c r="G34" s="2" t="s">
        <v>94</v>
      </c>
      <c r="H34" s="13" t="s">
        <v>17</v>
      </c>
      <c r="I34" s="13" t="s">
        <v>18</v>
      </c>
      <c r="J34" s="13" t="s">
        <v>18</v>
      </c>
      <c r="K34" s="13" t="s">
        <v>18</v>
      </c>
      <c r="L34" s="13" t="s">
        <v>19</v>
      </c>
      <c r="M34" s="13"/>
      <c r="N34" s="13" t="s">
        <v>85</v>
      </c>
    </row>
    <row r="35" ht="17.25" customHeight="1">
      <c r="A35" s="2"/>
      <c r="B35" s="11" t="s">
        <v>95</v>
      </c>
      <c r="C35" s="4" t="s">
        <v>15</v>
      </c>
      <c r="D35" s="12">
        <v>0.0038310185185185183</v>
      </c>
      <c r="E35" s="2" t="str">
        <f t="shared" si="1"/>
        <v>The Secret Sauce of Arista EOS Quality</v>
      </c>
      <c r="F35" s="6">
        <v>3.0</v>
      </c>
      <c r="G35" s="2" t="s">
        <v>96</v>
      </c>
      <c r="H35" s="13" t="s">
        <v>17</v>
      </c>
      <c r="I35" s="13" t="s">
        <v>18</v>
      </c>
      <c r="J35" s="13"/>
      <c r="K35" s="13" t="s">
        <v>18</v>
      </c>
      <c r="L35" s="13" t="s">
        <v>19</v>
      </c>
      <c r="M35" s="13"/>
      <c r="N35" s="13" t="s">
        <v>85</v>
      </c>
    </row>
    <row r="36" ht="17.25" customHeight="1">
      <c r="A36" s="2"/>
      <c r="B36" s="11" t="s">
        <v>97</v>
      </c>
      <c r="C36" s="4" t="s">
        <v>15</v>
      </c>
      <c r="D36" s="12">
        <v>0.0035300925925925925</v>
      </c>
      <c r="E36" s="2" t="str">
        <f t="shared" si="1"/>
        <v>The Secret Sauce of Arista EOS Quality</v>
      </c>
      <c r="F36" s="6">
        <v>3.0</v>
      </c>
      <c r="G36" s="2" t="s">
        <v>98</v>
      </c>
      <c r="H36" s="13" t="s">
        <v>17</v>
      </c>
      <c r="I36" s="13" t="s">
        <v>18</v>
      </c>
      <c r="J36" s="13"/>
      <c r="K36" s="13" t="s">
        <v>18</v>
      </c>
      <c r="L36" s="13" t="s">
        <v>19</v>
      </c>
      <c r="M36" s="13"/>
      <c r="N36" s="13" t="s">
        <v>85</v>
      </c>
    </row>
    <row r="37" ht="17.25" customHeight="1">
      <c r="A37" s="14"/>
      <c r="B37" s="11" t="s">
        <v>99</v>
      </c>
      <c r="C37" s="4" t="s">
        <v>100</v>
      </c>
      <c r="D37" s="5">
        <v>0.013888888888888888</v>
      </c>
      <c r="E37" s="14" t="str">
        <f t="shared" si="1"/>
        <v>The Secret Sauce of Arista EOS Quality</v>
      </c>
      <c r="F37" s="6">
        <v>2.0</v>
      </c>
      <c r="G37" s="14"/>
      <c r="H37" s="15"/>
      <c r="I37" s="15">
        <v>2025.1</v>
      </c>
      <c r="J37" s="15" t="s">
        <v>101</v>
      </c>
      <c r="K37" s="15"/>
      <c r="L37" s="15"/>
      <c r="M37" s="15"/>
      <c r="N37" s="15" t="s">
        <v>85</v>
      </c>
    </row>
    <row r="38" ht="17.25" customHeight="1">
      <c r="A38" s="14"/>
      <c r="B38" s="11" t="s">
        <v>102</v>
      </c>
      <c r="C38" s="4" t="s">
        <v>100</v>
      </c>
      <c r="D38" s="5">
        <v>0.013888888888888888</v>
      </c>
      <c r="E38" s="14" t="str">
        <f t="shared" si="1"/>
        <v>The Secret Sauce of Arista EOS Quality</v>
      </c>
      <c r="F38" s="6">
        <v>3.0</v>
      </c>
      <c r="G38" s="14"/>
      <c r="H38" s="15"/>
      <c r="I38" s="15">
        <v>2025.1</v>
      </c>
      <c r="J38" s="15" t="s">
        <v>101</v>
      </c>
      <c r="K38" s="15"/>
      <c r="L38" s="15"/>
      <c r="M38" s="15"/>
      <c r="N38" s="15" t="s">
        <v>85</v>
      </c>
    </row>
    <row r="39" ht="17.25" customHeight="1">
      <c r="A39" s="14"/>
      <c r="B39" s="11" t="s">
        <v>103</v>
      </c>
      <c r="C39" s="4" t="s">
        <v>100</v>
      </c>
      <c r="D39" s="5">
        <v>0.013888888888888888</v>
      </c>
      <c r="E39" s="14" t="str">
        <f t="shared" si="1"/>
        <v>The Secret Sauce of Arista EOS Quality</v>
      </c>
      <c r="F39" s="6">
        <v>3.0</v>
      </c>
      <c r="G39" s="14"/>
      <c r="H39" s="15"/>
      <c r="I39" s="15">
        <v>2025.1</v>
      </c>
      <c r="J39" s="15" t="s">
        <v>101</v>
      </c>
      <c r="K39" s="15"/>
      <c r="L39" s="15"/>
      <c r="M39" s="15"/>
      <c r="N39" s="15" t="s">
        <v>85</v>
      </c>
    </row>
    <row r="40" ht="17.25" customHeight="1">
      <c r="A40" s="2"/>
      <c r="B40" s="11" t="s">
        <v>104</v>
      </c>
      <c r="C40" s="4" t="s">
        <v>15</v>
      </c>
      <c r="D40" s="12">
        <v>0.018587962962962962</v>
      </c>
      <c r="E40" s="2" t="str">
        <f t="shared" si="1"/>
        <v>Lab - Understanding and Working with Network Protocols</v>
      </c>
      <c r="F40" s="6">
        <v>3.0</v>
      </c>
      <c r="G40" s="2" t="s">
        <v>105</v>
      </c>
      <c r="H40" s="13" t="s">
        <v>17</v>
      </c>
      <c r="I40" s="13" t="s">
        <v>18</v>
      </c>
      <c r="J40" s="13" t="s">
        <v>90</v>
      </c>
      <c r="K40" s="13" t="s">
        <v>18</v>
      </c>
      <c r="L40" s="13" t="s">
        <v>19</v>
      </c>
      <c r="M40" s="13" t="s">
        <v>22</v>
      </c>
      <c r="N40" s="13" t="s">
        <v>106</v>
      </c>
    </row>
    <row r="41" ht="17.25" customHeight="1">
      <c r="A41" s="2"/>
      <c r="B41" s="11" t="s">
        <v>107</v>
      </c>
      <c r="C41" s="4" t="s">
        <v>15</v>
      </c>
      <c r="D41" s="12">
        <v>0.006446759259259259</v>
      </c>
      <c r="E41" s="2" t="str">
        <f t="shared" si="1"/>
        <v>Lab - Understanding and Working with Network Protocols</v>
      </c>
      <c r="F41" s="6">
        <v>3.0</v>
      </c>
      <c r="G41" s="2" t="s">
        <v>108</v>
      </c>
      <c r="H41" s="13" t="s">
        <v>17</v>
      </c>
      <c r="I41" s="13" t="s">
        <v>18</v>
      </c>
      <c r="J41" s="13" t="s">
        <v>90</v>
      </c>
      <c r="K41" s="13" t="s">
        <v>18</v>
      </c>
      <c r="L41" s="13" t="s">
        <v>19</v>
      </c>
      <c r="M41" s="13" t="s">
        <v>22</v>
      </c>
      <c r="N41" s="13" t="s">
        <v>106</v>
      </c>
    </row>
    <row r="42" ht="17.25" customHeight="1">
      <c r="A42" s="14"/>
      <c r="B42" s="11" t="s">
        <v>109</v>
      </c>
      <c r="C42" s="4" t="s">
        <v>100</v>
      </c>
      <c r="D42" s="5">
        <v>0.013888888888888888</v>
      </c>
      <c r="E42" s="14" t="str">
        <f t="shared" si="1"/>
        <v>Lab - Understanding and Working with Network Protocols</v>
      </c>
      <c r="F42" s="6">
        <v>3.0</v>
      </c>
      <c r="G42" s="14"/>
      <c r="H42" s="15"/>
      <c r="I42" s="15">
        <v>2025.1</v>
      </c>
      <c r="J42" s="15" t="s">
        <v>101</v>
      </c>
      <c r="K42" s="15"/>
      <c r="L42" s="15"/>
      <c r="M42" s="15"/>
      <c r="N42" s="15" t="s">
        <v>106</v>
      </c>
    </row>
    <row r="43" ht="17.25" customHeight="1">
      <c r="A43" s="2"/>
      <c r="B43" s="11" t="s">
        <v>110</v>
      </c>
      <c r="C43" s="4" t="s">
        <v>15</v>
      </c>
      <c r="D43" s="12">
        <v>0.022407407407407407</v>
      </c>
      <c r="E43" s="2" t="str">
        <f t="shared" si="1"/>
        <v>Lab - Creating a Network Diagram using LLDP</v>
      </c>
      <c r="F43" s="6">
        <v>3.0</v>
      </c>
      <c r="G43" s="2" t="s">
        <v>111</v>
      </c>
      <c r="H43" s="13" t="s">
        <v>17</v>
      </c>
      <c r="I43" s="13" t="s">
        <v>18</v>
      </c>
      <c r="J43" s="13" t="s">
        <v>18</v>
      </c>
      <c r="K43" s="13" t="s">
        <v>18</v>
      </c>
      <c r="L43" s="13" t="s">
        <v>19</v>
      </c>
      <c r="M43" s="13" t="s">
        <v>112</v>
      </c>
      <c r="N43" s="13" t="s">
        <v>113</v>
      </c>
    </row>
    <row r="44" ht="17.25" customHeight="1">
      <c r="A44" s="2"/>
      <c r="B44" s="11" t="s">
        <v>114</v>
      </c>
      <c r="C44" s="4" t="s">
        <v>15</v>
      </c>
      <c r="D44" s="12">
        <v>0.023078703703703702</v>
      </c>
      <c r="E44" s="2" t="str">
        <f t="shared" si="1"/>
        <v>Lab - Creating a Network Diagram using LLDP</v>
      </c>
      <c r="F44" s="6">
        <v>4.0</v>
      </c>
      <c r="G44" s="2" t="s">
        <v>115</v>
      </c>
      <c r="H44" s="13" t="s">
        <v>17</v>
      </c>
      <c r="I44" s="13" t="s">
        <v>18</v>
      </c>
      <c r="J44" s="13" t="s">
        <v>18</v>
      </c>
      <c r="K44" s="13" t="s">
        <v>18</v>
      </c>
      <c r="L44" s="13" t="s">
        <v>19</v>
      </c>
      <c r="M44" s="13"/>
      <c r="N44" s="13" t="s">
        <v>113</v>
      </c>
    </row>
    <row r="45" ht="17.25" customHeight="1">
      <c r="A45" s="2"/>
      <c r="B45" s="11" t="s">
        <v>116</v>
      </c>
      <c r="C45" s="4" t="s">
        <v>15</v>
      </c>
      <c r="D45" s="12">
        <v>0.009710648148148149</v>
      </c>
      <c r="E45" s="2" t="str">
        <f t="shared" si="1"/>
        <v>Lab - Creating a Network Diagram using LLDP</v>
      </c>
      <c r="F45" s="6">
        <v>3.0</v>
      </c>
      <c r="G45" s="2" t="s">
        <v>117</v>
      </c>
      <c r="H45" s="13" t="s">
        <v>17</v>
      </c>
      <c r="I45" s="13" t="s">
        <v>18</v>
      </c>
      <c r="J45" s="13"/>
      <c r="K45" s="13" t="s">
        <v>18</v>
      </c>
      <c r="L45" s="13" t="s">
        <v>19</v>
      </c>
      <c r="M45" s="13"/>
      <c r="N45" s="13" t="s">
        <v>113</v>
      </c>
    </row>
    <row r="46" ht="17.25" customHeight="1">
      <c r="A46" s="2"/>
      <c r="B46" s="11" t="s">
        <v>118</v>
      </c>
      <c r="C46" s="4" t="s">
        <v>15</v>
      </c>
      <c r="D46" s="12">
        <v>0.014039351851851851</v>
      </c>
      <c r="E46" s="2" t="str">
        <f t="shared" si="1"/>
        <v>Lab - Creating a Network Diagram using LLDP</v>
      </c>
      <c r="F46" s="6">
        <v>4.0</v>
      </c>
      <c r="G46" s="2" t="s">
        <v>119</v>
      </c>
      <c r="H46" s="13"/>
      <c r="I46" s="13" t="s">
        <v>18</v>
      </c>
      <c r="J46" s="13" t="s">
        <v>18</v>
      </c>
      <c r="K46" s="13" t="s">
        <v>18</v>
      </c>
      <c r="L46" s="13" t="s">
        <v>19</v>
      </c>
      <c r="M46" s="13" t="s">
        <v>120</v>
      </c>
      <c r="N46" s="13" t="s">
        <v>113</v>
      </c>
    </row>
    <row r="47" ht="17.25" customHeight="1">
      <c r="A47" s="2"/>
      <c r="B47" s="11" t="s">
        <v>121</v>
      </c>
      <c r="C47" s="4" t="s">
        <v>15</v>
      </c>
      <c r="D47" s="12">
        <v>0.017546296296296296</v>
      </c>
      <c r="E47" s="2" t="str">
        <f t="shared" si="1"/>
        <v>Lab - Creating a Network Diagram using LLDP</v>
      </c>
      <c r="F47" s="6">
        <v>4.0</v>
      </c>
      <c r="G47" s="2" t="s">
        <v>122</v>
      </c>
      <c r="H47" s="13"/>
      <c r="I47" s="13" t="s">
        <v>18</v>
      </c>
      <c r="J47" s="13" t="s">
        <v>18</v>
      </c>
      <c r="K47" s="13" t="s">
        <v>18</v>
      </c>
      <c r="L47" s="13" t="s">
        <v>19</v>
      </c>
      <c r="M47" s="13" t="s">
        <v>120</v>
      </c>
      <c r="N47" s="13" t="s">
        <v>113</v>
      </c>
    </row>
    <row r="48" ht="17.25" customHeight="1">
      <c r="A48" s="2"/>
      <c r="B48" s="11" t="s">
        <v>123</v>
      </c>
      <c r="C48" s="4" t="s">
        <v>15</v>
      </c>
      <c r="D48" s="12">
        <v>0.009791666666666667</v>
      </c>
      <c r="E48" s="2" t="str">
        <f t="shared" si="1"/>
        <v>Lab - Creating a Network Diagram using LLDP</v>
      </c>
      <c r="F48" s="6">
        <v>4.0</v>
      </c>
      <c r="G48" s="2" t="s">
        <v>124</v>
      </c>
      <c r="H48" s="13"/>
      <c r="I48" s="13" t="s">
        <v>18</v>
      </c>
      <c r="J48" s="13" t="s">
        <v>18</v>
      </c>
      <c r="K48" s="13" t="s">
        <v>18</v>
      </c>
      <c r="L48" s="13" t="s">
        <v>19</v>
      </c>
      <c r="M48" s="13" t="s">
        <v>120</v>
      </c>
      <c r="N48" s="13" t="s">
        <v>113</v>
      </c>
    </row>
    <row r="49" ht="17.25" customHeight="1">
      <c r="A49" s="14"/>
      <c r="B49" s="11" t="s">
        <v>125</v>
      </c>
      <c r="C49" s="4" t="s">
        <v>100</v>
      </c>
      <c r="D49" s="5">
        <v>0.013888888888888888</v>
      </c>
      <c r="E49" s="14" t="str">
        <f t="shared" si="1"/>
        <v>Lab - Creating a Network Diagram using LLDP</v>
      </c>
      <c r="F49" s="6">
        <v>4.0</v>
      </c>
      <c r="G49" s="14"/>
      <c r="H49" s="15"/>
      <c r="I49" s="15">
        <v>2025.1</v>
      </c>
      <c r="J49" s="15" t="s">
        <v>101</v>
      </c>
      <c r="K49" s="15"/>
      <c r="L49" s="15"/>
      <c r="M49" s="15"/>
      <c r="N49" s="15" t="s">
        <v>113</v>
      </c>
    </row>
    <row r="50" ht="17.25" customHeight="1">
      <c r="A50" s="14"/>
      <c r="B50" s="11" t="s">
        <v>126</v>
      </c>
      <c r="C50" s="4" t="s">
        <v>100</v>
      </c>
      <c r="D50" s="5">
        <v>0.013888888888888888</v>
      </c>
      <c r="E50" s="14" t="str">
        <f t="shared" si="1"/>
        <v>Lab - Creating a Network Diagram using LLDP</v>
      </c>
      <c r="F50" s="6">
        <v>4.0</v>
      </c>
      <c r="G50" s="14"/>
      <c r="H50" s="15"/>
      <c r="I50" s="15">
        <v>2025.1</v>
      </c>
      <c r="J50" s="15" t="s">
        <v>101</v>
      </c>
      <c r="K50" s="15"/>
      <c r="L50" s="15"/>
      <c r="M50" s="15"/>
      <c r="N50" s="15" t="s">
        <v>113</v>
      </c>
    </row>
    <row r="51" ht="17.25" customHeight="1">
      <c r="A51" s="2"/>
      <c r="B51" s="11" t="s">
        <v>127</v>
      </c>
      <c r="C51" s="4" t="s">
        <v>15</v>
      </c>
      <c r="D51" s="12">
        <v>0.010115740740740741</v>
      </c>
      <c r="E51" s="2" t="str">
        <f t="shared" si="1"/>
        <v>Lab - Configure Inter-VLAN Routing </v>
      </c>
      <c r="F51" s="6">
        <v>4.0</v>
      </c>
      <c r="G51" s="2" t="s">
        <v>128</v>
      </c>
      <c r="H51" s="13" t="s">
        <v>17</v>
      </c>
      <c r="I51" s="13" t="s">
        <v>18</v>
      </c>
      <c r="J51" s="13" t="s">
        <v>18</v>
      </c>
      <c r="K51" s="13" t="s">
        <v>18</v>
      </c>
      <c r="L51" s="13" t="s">
        <v>19</v>
      </c>
      <c r="M51" s="13" t="s">
        <v>22</v>
      </c>
      <c r="N51" s="13" t="s">
        <v>129</v>
      </c>
    </row>
    <row r="52" ht="17.25" customHeight="1">
      <c r="A52" s="2"/>
      <c r="B52" s="11" t="s">
        <v>130</v>
      </c>
      <c r="C52" s="4" t="s">
        <v>15</v>
      </c>
      <c r="D52" s="12">
        <v>0.015127314814814816</v>
      </c>
      <c r="E52" s="2" t="str">
        <f t="shared" si="1"/>
        <v>Lab - Configure Inter-VLAN Routing </v>
      </c>
      <c r="F52" s="6">
        <v>5.0</v>
      </c>
      <c r="G52" s="2" t="s">
        <v>131</v>
      </c>
      <c r="H52" s="13" t="s">
        <v>17</v>
      </c>
      <c r="I52" s="13" t="s">
        <v>18</v>
      </c>
      <c r="J52" s="13" t="s">
        <v>18</v>
      </c>
      <c r="K52" s="13" t="s">
        <v>18</v>
      </c>
      <c r="L52" s="13" t="s">
        <v>19</v>
      </c>
      <c r="M52" s="13" t="s">
        <v>22</v>
      </c>
      <c r="N52" s="13" t="s">
        <v>129</v>
      </c>
    </row>
    <row r="53" ht="17.25" customHeight="1">
      <c r="A53" s="2"/>
      <c r="B53" s="11" t="s">
        <v>132</v>
      </c>
      <c r="C53" s="4" t="s">
        <v>15</v>
      </c>
      <c r="D53" s="12">
        <v>0.015474537037037037</v>
      </c>
      <c r="E53" s="2" t="str">
        <f t="shared" si="1"/>
        <v>Lab - Configure Inter-VLAN Routing </v>
      </c>
      <c r="F53" s="6">
        <v>5.0</v>
      </c>
      <c r="G53" s="2" t="s">
        <v>133</v>
      </c>
      <c r="H53" s="13" t="s">
        <v>17</v>
      </c>
      <c r="I53" s="13" t="s">
        <v>18</v>
      </c>
      <c r="J53" s="13" t="s">
        <v>18</v>
      </c>
      <c r="K53" s="13" t="s">
        <v>18</v>
      </c>
      <c r="L53" s="13" t="s">
        <v>19</v>
      </c>
      <c r="M53" s="13"/>
      <c r="N53" s="13" t="s">
        <v>129</v>
      </c>
    </row>
    <row r="54" ht="17.25" customHeight="1">
      <c r="A54" s="14"/>
      <c r="B54" s="11" t="s">
        <v>134</v>
      </c>
      <c r="C54" s="4" t="s">
        <v>100</v>
      </c>
      <c r="D54" s="5">
        <v>0.013888888888888888</v>
      </c>
      <c r="E54" s="14" t="str">
        <f t="shared" si="1"/>
        <v>Lab - Configure Inter-VLAN Routing </v>
      </c>
      <c r="F54" s="6">
        <v>5.0</v>
      </c>
      <c r="G54" s="14"/>
      <c r="H54" s="15"/>
      <c r="I54" s="15">
        <v>2025.1</v>
      </c>
      <c r="J54" s="15" t="s">
        <v>101</v>
      </c>
      <c r="K54" s="15"/>
      <c r="L54" s="15"/>
      <c r="M54" s="15"/>
      <c r="N54" s="15" t="s">
        <v>129</v>
      </c>
    </row>
    <row r="55" ht="17.25" customHeight="1">
      <c r="A55" s="2"/>
      <c r="B55" s="11" t="s">
        <v>135</v>
      </c>
      <c r="C55" s="4" t="s">
        <v>15</v>
      </c>
      <c r="D55" s="12">
        <v>0.019872685185185184</v>
      </c>
      <c r="E55" s="2" t="str">
        <f t="shared" si="1"/>
        <v>Lab - Configure STP </v>
      </c>
      <c r="F55" s="6">
        <v>4.0</v>
      </c>
      <c r="G55" s="2" t="s">
        <v>136</v>
      </c>
      <c r="H55" s="13" t="s">
        <v>17</v>
      </c>
      <c r="I55" s="13" t="s">
        <v>18</v>
      </c>
      <c r="J55" s="13" t="s">
        <v>18</v>
      </c>
      <c r="K55" s="13" t="s">
        <v>18</v>
      </c>
      <c r="L55" s="13" t="s">
        <v>19</v>
      </c>
      <c r="M55" s="13"/>
      <c r="N55" s="13" t="s">
        <v>137</v>
      </c>
    </row>
    <row r="56" ht="17.25" customHeight="1">
      <c r="A56" s="2"/>
      <c r="B56" s="11" t="s">
        <v>138</v>
      </c>
      <c r="C56" s="4" t="s">
        <v>15</v>
      </c>
      <c r="D56" s="12">
        <v>0.013101851851851852</v>
      </c>
      <c r="E56" s="2" t="str">
        <f t="shared" si="1"/>
        <v>Lab - Configure STP </v>
      </c>
      <c r="F56" s="6">
        <v>4.0</v>
      </c>
      <c r="G56" s="2" t="s">
        <v>139</v>
      </c>
      <c r="H56" s="13" t="s">
        <v>17</v>
      </c>
      <c r="I56" s="13" t="s">
        <v>18</v>
      </c>
      <c r="J56" s="13"/>
      <c r="K56" s="13" t="s">
        <v>18</v>
      </c>
      <c r="L56" s="13" t="s">
        <v>19</v>
      </c>
      <c r="M56" s="13"/>
      <c r="N56" s="13" t="s">
        <v>137</v>
      </c>
    </row>
    <row r="57" ht="17.25" customHeight="1">
      <c r="A57" s="2"/>
      <c r="B57" s="11" t="s">
        <v>140</v>
      </c>
      <c r="C57" s="4" t="s">
        <v>15</v>
      </c>
      <c r="D57" s="12">
        <v>0.011550925925925926</v>
      </c>
      <c r="E57" s="2" t="str">
        <f t="shared" si="1"/>
        <v>Lab - Configure STP </v>
      </c>
      <c r="F57" s="6">
        <v>6.0</v>
      </c>
      <c r="G57" s="2" t="s">
        <v>141</v>
      </c>
      <c r="H57" s="13" t="s">
        <v>17</v>
      </c>
      <c r="I57" s="13" t="s">
        <v>18</v>
      </c>
      <c r="J57" s="13" t="s">
        <v>18</v>
      </c>
      <c r="K57" s="13" t="s">
        <v>18</v>
      </c>
      <c r="L57" s="13" t="s">
        <v>19</v>
      </c>
      <c r="M57" s="13"/>
      <c r="N57" s="13" t="s">
        <v>137</v>
      </c>
    </row>
    <row r="58" ht="17.25" customHeight="1">
      <c r="A58" s="14"/>
      <c r="B58" s="11" t="s">
        <v>142</v>
      </c>
      <c r="C58" s="4" t="s">
        <v>100</v>
      </c>
      <c r="D58" s="5">
        <v>0.013888888888888888</v>
      </c>
      <c r="E58" s="14" t="str">
        <f t="shared" si="1"/>
        <v>Lab - Configure STP </v>
      </c>
      <c r="F58" s="6">
        <v>6.0</v>
      </c>
      <c r="G58" s="14"/>
      <c r="H58" s="15"/>
      <c r="I58" s="15">
        <v>2025.1</v>
      </c>
      <c r="J58" s="15" t="s">
        <v>101</v>
      </c>
      <c r="K58" s="15"/>
      <c r="L58" s="15"/>
      <c r="M58" s="15"/>
      <c r="N58" s="15" t="s">
        <v>137</v>
      </c>
    </row>
    <row r="59" ht="17.25" customHeight="1">
      <c r="A59" s="14"/>
      <c r="B59" s="11" t="s">
        <v>143</v>
      </c>
      <c r="C59" s="4" t="s">
        <v>100</v>
      </c>
      <c r="D59" s="5">
        <v>0.013888888888888888</v>
      </c>
      <c r="E59" s="14" t="str">
        <f t="shared" si="1"/>
        <v>Lab - Configuring LACP and MLAG</v>
      </c>
      <c r="F59" s="6">
        <v>3.0</v>
      </c>
      <c r="G59" s="14"/>
      <c r="H59" s="15"/>
      <c r="I59" s="15">
        <v>2025.1</v>
      </c>
      <c r="J59" s="15" t="s">
        <v>101</v>
      </c>
      <c r="K59" s="15"/>
      <c r="L59" s="15"/>
      <c r="M59" s="15"/>
      <c r="N59" s="15" t="s">
        <v>144</v>
      </c>
    </row>
    <row r="60" ht="17.25" customHeight="1">
      <c r="A60" s="2"/>
      <c r="B60" s="11" t="s">
        <v>145</v>
      </c>
      <c r="C60" s="4" t="s">
        <v>15</v>
      </c>
      <c r="D60" s="12">
        <v>0.019467592592592592</v>
      </c>
      <c r="E60" s="2" t="str">
        <f t="shared" si="1"/>
        <v>Lab - Configure L3 Addresses</v>
      </c>
      <c r="F60" s="6">
        <v>3.0</v>
      </c>
      <c r="G60" s="2" t="s">
        <v>146</v>
      </c>
      <c r="H60" s="13" t="s">
        <v>17</v>
      </c>
      <c r="I60" s="13" t="s">
        <v>18</v>
      </c>
      <c r="J60" s="13" t="s">
        <v>18</v>
      </c>
      <c r="K60" s="13" t="s">
        <v>18</v>
      </c>
      <c r="L60" s="13" t="s">
        <v>19</v>
      </c>
      <c r="M60" s="13"/>
      <c r="N60" s="13" t="s">
        <v>147</v>
      </c>
    </row>
    <row r="61" ht="17.25" customHeight="1">
      <c r="A61" s="14"/>
      <c r="B61" s="11" t="s">
        <v>148</v>
      </c>
      <c r="C61" s="4" t="s">
        <v>100</v>
      </c>
      <c r="D61" s="5">
        <v>0.013888888888888888</v>
      </c>
      <c r="E61" s="14" t="str">
        <f t="shared" si="1"/>
        <v>Lab - Configure L3 Addresses</v>
      </c>
      <c r="F61" s="6">
        <v>3.0</v>
      </c>
      <c r="G61" s="14"/>
      <c r="H61" s="15"/>
      <c r="I61" s="15">
        <v>2025.1</v>
      </c>
      <c r="J61" s="15" t="s">
        <v>101</v>
      </c>
      <c r="K61" s="15"/>
      <c r="L61" s="15"/>
      <c r="M61" s="15"/>
      <c r="N61" s="15" t="s">
        <v>147</v>
      </c>
    </row>
    <row r="62" ht="17.25" customHeight="1">
      <c r="A62" s="2"/>
      <c r="B62" s="11" t="s">
        <v>149</v>
      </c>
      <c r="C62" s="4" t="s">
        <v>15</v>
      </c>
      <c r="D62" s="12">
        <v>0.014247685185185184</v>
      </c>
      <c r="E62" s="2" t="str">
        <f t="shared" si="1"/>
        <v>Lab - Configure L3 Addresses</v>
      </c>
      <c r="F62" s="6">
        <v>4.0</v>
      </c>
      <c r="G62" s="2" t="s">
        <v>150</v>
      </c>
      <c r="H62" s="13" t="s">
        <v>17</v>
      </c>
      <c r="I62" s="13" t="s">
        <v>18</v>
      </c>
      <c r="J62" s="13" t="s">
        <v>18</v>
      </c>
      <c r="K62" s="13" t="s">
        <v>18</v>
      </c>
      <c r="L62" s="13" t="s">
        <v>19</v>
      </c>
      <c r="M62" s="13"/>
      <c r="N62" s="13" t="s">
        <v>147</v>
      </c>
    </row>
    <row r="63" ht="17.25" customHeight="1">
      <c r="A63" s="2"/>
      <c r="B63" s="11" t="s">
        <v>151</v>
      </c>
      <c r="C63" s="4" t="s">
        <v>15</v>
      </c>
      <c r="D63" s="12">
        <v>0.021979166666666668</v>
      </c>
      <c r="E63" s="2" t="str">
        <f t="shared" si="1"/>
        <v>Lab - Configure L3 Addresses</v>
      </c>
      <c r="F63" s="6">
        <v>4.0</v>
      </c>
      <c r="G63" s="2" t="s">
        <v>152</v>
      </c>
      <c r="H63" s="13" t="s">
        <v>17</v>
      </c>
      <c r="I63" s="13" t="s">
        <v>18</v>
      </c>
      <c r="J63" s="13" t="s">
        <v>18</v>
      </c>
      <c r="K63" s="13" t="s">
        <v>18</v>
      </c>
      <c r="L63" s="13" t="s">
        <v>19</v>
      </c>
      <c r="M63" s="13"/>
      <c r="N63" s="13" t="s">
        <v>147</v>
      </c>
    </row>
    <row r="64" ht="17.25" customHeight="1">
      <c r="A64" s="2"/>
      <c r="B64" s="11" t="s">
        <v>153</v>
      </c>
      <c r="C64" s="4" t="s">
        <v>15</v>
      </c>
      <c r="D64" s="12">
        <v>0.013506944444444445</v>
      </c>
      <c r="E64" s="2" t="str">
        <f t="shared" si="1"/>
        <v>Lab - Configure L3 Addresses</v>
      </c>
      <c r="F64" s="6">
        <v>4.0</v>
      </c>
      <c r="G64" s="2" t="s">
        <v>154</v>
      </c>
      <c r="H64" s="13" t="s">
        <v>17</v>
      </c>
      <c r="I64" s="13" t="s">
        <v>18</v>
      </c>
      <c r="J64" s="13" t="s">
        <v>18</v>
      </c>
      <c r="K64" s="13" t="s">
        <v>18</v>
      </c>
      <c r="L64" s="13" t="s">
        <v>19</v>
      </c>
      <c r="M64" s="13"/>
      <c r="N64" s="13" t="s">
        <v>147</v>
      </c>
    </row>
    <row r="65" ht="17.25" customHeight="1">
      <c r="A65" s="2"/>
      <c r="B65" s="11" t="s">
        <v>155</v>
      </c>
      <c r="C65" s="4" t="s">
        <v>15</v>
      </c>
      <c r="D65" s="12">
        <v>0.026828703703703705</v>
      </c>
      <c r="E65" s="2" t="str">
        <f t="shared" si="1"/>
        <v>Lab - Configure L3 Addresses</v>
      </c>
      <c r="F65" s="6">
        <v>5.0</v>
      </c>
      <c r="G65" s="2" t="s">
        <v>156</v>
      </c>
      <c r="H65" s="13" t="s">
        <v>17</v>
      </c>
      <c r="I65" s="13" t="s">
        <v>18</v>
      </c>
      <c r="J65" s="13" t="s">
        <v>18</v>
      </c>
      <c r="K65" s="13" t="s">
        <v>18</v>
      </c>
      <c r="L65" s="13" t="s">
        <v>19</v>
      </c>
      <c r="M65" s="13"/>
      <c r="N65" s="13" t="s">
        <v>147</v>
      </c>
    </row>
    <row r="66" ht="17.25" customHeight="1">
      <c r="A66" s="14"/>
      <c r="B66" s="11" t="s">
        <v>157</v>
      </c>
      <c r="C66" s="4" t="s">
        <v>100</v>
      </c>
      <c r="D66" s="5">
        <v>0.013888888888888888</v>
      </c>
      <c r="E66" s="14" t="str">
        <f t="shared" si="1"/>
        <v>Lab - Configure L3 Addresses</v>
      </c>
      <c r="F66" s="6">
        <v>5.0</v>
      </c>
      <c r="G66" s="14"/>
      <c r="H66" s="15"/>
      <c r="I66" s="15">
        <v>2025.1</v>
      </c>
      <c r="J66" s="15" t="s">
        <v>101</v>
      </c>
      <c r="K66" s="15"/>
      <c r="L66" s="15"/>
      <c r="M66" s="15"/>
      <c r="N66" s="15" t="s">
        <v>147</v>
      </c>
    </row>
    <row r="67" ht="17.25" customHeight="1">
      <c r="A67" s="2"/>
      <c r="B67" s="11" t="s">
        <v>158</v>
      </c>
      <c r="C67" s="4" t="s">
        <v>15</v>
      </c>
      <c r="D67" s="12">
        <v>0.012256944444444445</v>
      </c>
      <c r="E67" s="2" t="str">
        <f t="shared" si="1"/>
        <v>Lab - Configure Routing Protocols</v>
      </c>
      <c r="F67" s="6">
        <v>3.0</v>
      </c>
      <c r="G67" s="2" t="s">
        <v>159</v>
      </c>
      <c r="H67" s="13" t="s">
        <v>17</v>
      </c>
      <c r="I67" s="13" t="s">
        <v>18</v>
      </c>
      <c r="J67" s="13" t="s">
        <v>18</v>
      </c>
      <c r="K67" s="13" t="s">
        <v>18</v>
      </c>
      <c r="L67" s="13" t="s">
        <v>19</v>
      </c>
      <c r="M67" s="13"/>
      <c r="N67" s="13" t="s">
        <v>160</v>
      </c>
    </row>
    <row r="68" ht="17.25" customHeight="1">
      <c r="A68" s="2"/>
      <c r="B68" s="11" t="s">
        <v>161</v>
      </c>
      <c r="C68" s="4" t="s">
        <v>15</v>
      </c>
      <c r="D68" s="12">
        <v>0.025949074074074076</v>
      </c>
      <c r="E68" s="2" t="str">
        <f t="shared" si="1"/>
        <v>Lab - Configure Routing Protocols</v>
      </c>
      <c r="F68" s="6">
        <v>5.0</v>
      </c>
      <c r="G68" s="2" t="s">
        <v>162</v>
      </c>
      <c r="H68" s="13" t="s">
        <v>17</v>
      </c>
      <c r="I68" s="13" t="s">
        <v>18</v>
      </c>
      <c r="J68" s="13" t="s">
        <v>18</v>
      </c>
      <c r="K68" s="13" t="s">
        <v>18</v>
      </c>
      <c r="L68" s="13" t="s">
        <v>19</v>
      </c>
      <c r="M68" s="13"/>
      <c r="N68" s="13" t="s">
        <v>160</v>
      </c>
    </row>
    <row r="69" ht="17.25" customHeight="1">
      <c r="A69" s="2"/>
      <c r="B69" s="11" t="s">
        <v>163</v>
      </c>
      <c r="C69" s="4" t="s">
        <v>15</v>
      </c>
      <c r="D69" s="12">
        <v>0.016979166666666667</v>
      </c>
      <c r="E69" s="2" t="str">
        <f t="shared" si="1"/>
        <v>Network Address Translation (NAT)</v>
      </c>
      <c r="F69" s="6">
        <v>4.0</v>
      </c>
      <c r="G69" s="2" t="s">
        <v>164</v>
      </c>
      <c r="H69" s="13" t="s">
        <v>17</v>
      </c>
      <c r="I69" s="13" t="s">
        <v>18</v>
      </c>
      <c r="J69" s="13" t="s">
        <v>18</v>
      </c>
      <c r="K69" s="13" t="s">
        <v>18</v>
      </c>
      <c r="L69" s="13" t="s">
        <v>19</v>
      </c>
      <c r="M69" s="13"/>
      <c r="N69" s="13" t="s">
        <v>165</v>
      </c>
    </row>
    <row r="70" ht="17.25" customHeight="1">
      <c r="A70" s="2"/>
      <c r="B70" s="11" t="s">
        <v>166</v>
      </c>
      <c r="C70" s="4" t="s">
        <v>15</v>
      </c>
      <c r="D70" s="12">
        <v>0.0165625</v>
      </c>
      <c r="E70" s="2" t="str">
        <f t="shared" si="1"/>
        <v>Network Address Translation (NAT)</v>
      </c>
      <c r="F70" s="6">
        <v>4.0</v>
      </c>
      <c r="G70" s="2" t="s">
        <v>167</v>
      </c>
      <c r="H70" s="13" t="s">
        <v>17</v>
      </c>
      <c r="I70" s="13" t="s">
        <v>18</v>
      </c>
      <c r="J70" s="13" t="s">
        <v>18</v>
      </c>
      <c r="K70" s="13" t="s">
        <v>18</v>
      </c>
      <c r="L70" s="13" t="s">
        <v>19</v>
      </c>
      <c r="M70" s="13"/>
      <c r="N70" s="13" t="s">
        <v>165</v>
      </c>
    </row>
    <row r="71" ht="17.25" customHeight="1">
      <c r="A71" s="2"/>
      <c r="B71" s="11" t="s">
        <v>168</v>
      </c>
      <c r="C71" s="4" t="s">
        <v>15</v>
      </c>
      <c r="D71" s="12">
        <v>0.006724537037037037</v>
      </c>
      <c r="E71" s="2" t="str">
        <f t="shared" si="1"/>
        <v>Network Address Translation (NAT)</v>
      </c>
      <c r="F71" s="6">
        <v>5.0</v>
      </c>
      <c r="G71" s="2" t="s">
        <v>169</v>
      </c>
      <c r="H71" s="13" t="s">
        <v>17</v>
      </c>
      <c r="I71" s="13" t="s">
        <v>18</v>
      </c>
      <c r="J71" s="13" t="s">
        <v>18</v>
      </c>
      <c r="K71" s="13" t="s">
        <v>18</v>
      </c>
      <c r="L71" s="13" t="s">
        <v>19</v>
      </c>
      <c r="M71" s="13"/>
      <c r="N71" s="13" t="s">
        <v>165</v>
      </c>
    </row>
    <row r="72" ht="17.25" customHeight="1">
      <c r="A72" s="2"/>
      <c r="B72" s="11" t="s">
        <v>170</v>
      </c>
      <c r="C72" s="4" t="s">
        <v>15</v>
      </c>
      <c r="D72" s="12">
        <v>0.014201388888888888</v>
      </c>
      <c r="E72" s="2" t="str">
        <f t="shared" si="1"/>
        <v>Network Address Translation (NAT)</v>
      </c>
      <c r="F72" s="6">
        <v>6.0</v>
      </c>
      <c r="G72" s="2" t="s">
        <v>171</v>
      </c>
      <c r="H72" s="13" t="s">
        <v>17</v>
      </c>
      <c r="I72" s="13" t="s">
        <v>18</v>
      </c>
      <c r="J72" s="13" t="s">
        <v>18</v>
      </c>
      <c r="K72" s="13" t="s">
        <v>18</v>
      </c>
      <c r="L72" s="13" t="s">
        <v>19</v>
      </c>
      <c r="M72" s="13"/>
      <c r="N72" s="13" t="s">
        <v>165</v>
      </c>
    </row>
    <row r="73" ht="17.25" customHeight="1">
      <c r="A73" s="14"/>
      <c r="B73" s="11" t="s">
        <v>172</v>
      </c>
      <c r="C73" s="4" t="s">
        <v>100</v>
      </c>
      <c r="D73" s="5">
        <v>0.013888888888888888</v>
      </c>
      <c r="E73" s="14" t="str">
        <f t="shared" si="1"/>
        <v>Network Address Translation (NAT)</v>
      </c>
      <c r="F73" s="6">
        <v>4.0</v>
      </c>
      <c r="G73" s="14"/>
      <c r="H73" s="15"/>
      <c r="I73" s="15">
        <v>2025.1</v>
      </c>
      <c r="J73" s="15" t="s">
        <v>101</v>
      </c>
      <c r="K73" s="15"/>
      <c r="L73" s="15"/>
      <c r="M73" s="15"/>
      <c r="N73" s="15" t="s">
        <v>165</v>
      </c>
    </row>
    <row r="74" ht="17.25" customHeight="1">
      <c r="A74" s="14"/>
      <c r="B74" s="11" t="s">
        <v>173</v>
      </c>
      <c r="C74" s="4" t="s">
        <v>100</v>
      </c>
      <c r="D74" s="5">
        <v>0.013888888888888888</v>
      </c>
      <c r="E74" s="14" t="str">
        <f t="shared" si="1"/>
        <v>Network Address Translation (NAT)</v>
      </c>
      <c r="F74" s="6">
        <v>5.0</v>
      </c>
      <c r="G74" s="14"/>
      <c r="H74" s="15"/>
      <c r="I74" s="15">
        <v>2025.1</v>
      </c>
      <c r="J74" s="15" t="s">
        <v>101</v>
      </c>
      <c r="K74" s="15"/>
      <c r="L74" s="15"/>
      <c r="M74" s="15"/>
      <c r="N74" s="15" t="s">
        <v>165</v>
      </c>
    </row>
    <row r="75" ht="17.25" customHeight="1">
      <c r="A75" s="2"/>
      <c r="B75" s="11" t="s">
        <v>174</v>
      </c>
      <c r="C75" s="4" t="s">
        <v>15</v>
      </c>
      <c r="D75" s="12">
        <v>0.013020833333333334</v>
      </c>
      <c r="E75" s="2" t="str">
        <f t="shared" si="1"/>
        <v>Lab - Troubleshooting ACL</v>
      </c>
      <c r="F75" s="6">
        <v>5.0</v>
      </c>
      <c r="G75" s="2" t="s">
        <v>175</v>
      </c>
      <c r="H75" s="13" t="s">
        <v>17</v>
      </c>
      <c r="I75" s="13" t="s">
        <v>18</v>
      </c>
      <c r="J75" s="13" t="s">
        <v>18</v>
      </c>
      <c r="K75" s="13" t="s">
        <v>18</v>
      </c>
      <c r="L75" s="13" t="s">
        <v>19</v>
      </c>
      <c r="M75" s="13"/>
      <c r="N75" s="13" t="s">
        <v>176</v>
      </c>
    </row>
    <row r="76" ht="17.25" customHeight="1">
      <c r="A76" s="2"/>
      <c r="B76" s="11" t="s">
        <v>177</v>
      </c>
      <c r="C76" s="4" t="s">
        <v>15</v>
      </c>
      <c r="D76" s="12">
        <v>0.019212962962962963</v>
      </c>
      <c r="E76" s="2" t="str">
        <f t="shared" si="1"/>
        <v>Lab - Troubleshooting ACL</v>
      </c>
      <c r="F76" s="6">
        <v>6.0</v>
      </c>
      <c r="G76" s="2" t="s">
        <v>178</v>
      </c>
      <c r="H76" s="13" t="s">
        <v>17</v>
      </c>
      <c r="I76" s="13" t="s">
        <v>18</v>
      </c>
      <c r="J76" s="13" t="s">
        <v>18</v>
      </c>
      <c r="K76" s="13" t="s">
        <v>18</v>
      </c>
      <c r="L76" s="13" t="s">
        <v>19</v>
      </c>
      <c r="M76" s="13"/>
      <c r="N76" s="13" t="s">
        <v>176</v>
      </c>
    </row>
    <row r="77" ht="17.25" customHeight="1">
      <c r="A77" s="2"/>
      <c r="B77" s="11" t="s">
        <v>179</v>
      </c>
      <c r="C77" s="4" t="s">
        <v>15</v>
      </c>
      <c r="D77" s="12">
        <v>0.01292824074074074</v>
      </c>
      <c r="E77" s="2" t="str">
        <f t="shared" si="1"/>
        <v>Lab - Troubleshooting ACL</v>
      </c>
      <c r="F77" s="6">
        <v>6.0</v>
      </c>
      <c r="G77" s="2" t="s">
        <v>180</v>
      </c>
      <c r="H77" s="13" t="s">
        <v>17</v>
      </c>
      <c r="I77" s="13" t="s">
        <v>18</v>
      </c>
      <c r="J77" s="13" t="s">
        <v>18</v>
      </c>
      <c r="K77" s="13" t="s">
        <v>18</v>
      </c>
      <c r="L77" s="13" t="s">
        <v>19</v>
      </c>
      <c r="M77" s="13"/>
      <c r="N77" s="13" t="s">
        <v>176</v>
      </c>
    </row>
    <row r="78" ht="17.25" customHeight="1">
      <c r="A78" s="2"/>
      <c r="B78" s="11" t="s">
        <v>181</v>
      </c>
      <c r="C78" s="4" t="s">
        <v>15</v>
      </c>
      <c r="D78" s="12">
        <v>0.017685185185185186</v>
      </c>
      <c r="E78" s="2" t="str">
        <f t="shared" si="1"/>
        <v>Congestion Management</v>
      </c>
      <c r="F78" s="6">
        <v>4.0</v>
      </c>
      <c r="G78" s="2" t="s">
        <v>182</v>
      </c>
      <c r="H78" s="13" t="s">
        <v>17</v>
      </c>
      <c r="I78" s="13" t="s">
        <v>18</v>
      </c>
      <c r="J78" s="13" t="s">
        <v>18</v>
      </c>
      <c r="K78" s="13" t="s">
        <v>18</v>
      </c>
      <c r="L78" s="13" t="s">
        <v>19</v>
      </c>
      <c r="M78" s="13"/>
      <c r="N78" s="13" t="s">
        <v>183</v>
      </c>
    </row>
    <row r="79" ht="17.25" customHeight="1">
      <c r="A79" s="2"/>
      <c r="B79" s="11" t="s">
        <v>184</v>
      </c>
      <c r="C79" s="4" t="s">
        <v>15</v>
      </c>
      <c r="D79" s="12">
        <v>0.01726851851851852</v>
      </c>
      <c r="E79" s="2" t="str">
        <f t="shared" si="1"/>
        <v>Introduction to IPv6</v>
      </c>
      <c r="F79" s="6">
        <v>4.0</v>
      </c>
      <c r="G79" s="2" t="s">
        <v>185</v>
      </c>
      <c r="H79" s="13" t="s">
        <v>17</v>
      </c>
      <c r="I79" s="13" t="s">
        <v>18</v>
      </c>
      <c r="J79" s="13" t="s">
        <v>18</v>
      </c>
      <c r="K79" s="13" t="s">
        <v>18</v>
      </c>
      <c r="L79" s="13" t="s">
        <v>19</v>
      </c>
      <c r="M79" s="13"/>
      <c r="N79" s="13" t="s">
        <v>186</v>
      </c>
    </row>
    <row r="80" ht="17.25" customHeight="1">
      <c r="A80" s="14"/>
      <c r="B80" s="11" t="s">
        <v>187</v>
      </c>
      <c r="C80" s="4" t="s">
        <v>100</v>
      </c>
      <c r="D80" s="5">
        <v>0.013888888888888888</v>
      </c>
      <c r="E80" s="14" t="str">
        <f t="shared" si="1"/>
        <v>IPv6 Address Types</v>
      </c>
      <c r="F80" s="6">
        <v>4.0</v>
      </c>
      <c r="G80" s="14"/>
      <c r="H80" s="15"/>
      <c r="I80" s="15">
        <v>2025.1</v>
      </c>
      <c r="J80" s="15" t="s">
        <v>101</v>
      </c>
      <c r="K80" s="15"/>
      <c r="L80" s="15"/>
      <c r="M80" s="15"/>
      <c r="N80" s="15" t="s">
        <v>188</v>
      </c>
    </row>
    <row r="81" ht="17.25" customHeight="1">
      <c r="A81" s="2"/>
      <c r="B81" s="11" t="s">
        <v>189</v>
      </c>
      <c r="C81" s="4" t="s">
        <v>15</v>
      </c>
      <c r="D81" s="12">
        <v>0.016527777777777777</v>
      </c>
      <c r="E81" s="2" t="str">
        <f t="shared" si="1"/>
        <v>Lab -  Configure IPv6 Addresses</v>
      </c>
      <c r="F81" s="6">
        <v>2.0</v>
      </c>
      <c r="G81" s="2" t="s">
        <v>190</v>
      </c>
      <c r="H81" s="13" t="s">
        <v>17</v>
      </c>
      <c r="I81" s="13" t="s">
        <v>18</v>
      </c>
      <c r="J81" s="13" t="s">
        <v>18</v>
      </c>
      <c r="K81" s="13" t="s">
        <v>18</v>
      </c>
      <c r="L81" s="13" t="s">
        <v>19</v>
      </c>
      <c r="M81" s="13"/>
      <c r="N81" s="13" t="s">
        <v>191</v>
      </c>
    </row>
    <row r="82" ht="17.25" customHeight="1">
      <c r="A82" s="2"/>
      <c r="B82" s="11" t="s">
        <v>192</v>
      </c>
      <c r="C82" s="4" t="s">
        <v>15</v>
      </c>
      <c r="D82" s="12">
        <v>0.011064814814814816</v>
      </c>
      <c r="E82" s="2" t="str">
        <f t="shared" si="1"/>
        <v>Lab -  Configure IPv6 Addresses</v>
      </c>
      <c r="F82" s="6">
        <v>3.0</v>
      </c>
      <c r="G82" s="2" t="s">
        <v>193</v>
      </c>
      <c r="H82" s="13" t="s">
        <v>17</v>
      </c>
      <c r="I82" s="13" t="s">
        <v>18</v>
      </c>
      <c r="J82" s="13" t="s">
        <v>18</v>
      </c>
      <c r="K82" s="13" t="s">
        <v>18</v>
      </c>
      <c r="L82" s="13" t="s">
        <v>19</v>
      </c>
      <c r="M82" s="13"/>
      <c r="N82" s="13" t="s">
        <v>191</v>
      </c>
    </row>
    <row r="83" ht="17.25" customHeight="1">
      <c r="A83" s="2"/>
      <c r="B83" s="11" t="s">
        <v>194</v>
      </c>
      <c r="C83" s="4" t="s">
        <v>15</v>
      </c>
      <c r="D83" s="12">
        <v>0.013912037037037037</v>
      </c>
      <c r="E83" s="2" t="str">
        <f t="shared" si="1"/>
        <v>Lab -  Configure IPv6 Addresses</v>
      </c>
      <c r="F83" s="6">
        <v>3.0</v>
      </c>
      <c r="G83" s="2" t="s">
        <v>195</v>
      </c>
      <c r="H83" s="13" t="s">
        <v>17</v>
      </c>
      <c r="I83" s="13" t="s">
        <v>18</v>
      </c>
      <c r="J83" s="13" t="s">
        <v>18</v>
      </c>
      <c r="K83" s="13" t="s">
        <v>18</v>
      </c>
      <c r="L83" s="13" t="s">
        <v>19</v>
      </c>
      <c r="M83" s="13"/>
      <c r="N83" s="13" t="s">
        <v>191</v>
      </c>
    </row>
    <row r="84" ht="17.25" customHeight="1">
      <c r="A84" s="14"/>
      <c r="B84" s="11" t="s">
        <v>196</v>
      </c>
      <c r="C84" s="4" t="s">
        <v>100</v>
      </c>
      <c r="D84" s="5">
        <v>0.013888888888888888</v>
      </c>
      <c r="E84" s="14" t="str">
        <f t="shared" si="1"/>
        <v>Lab -  Configure IPv6 Addresses</v>
      </c>
      <c r="F84" s="6">
        <v>3.0</v>
      </c>
      <c r="G84" s="14"/>
      <c r="H84" s="15"/>
      <c r="I84" s="15">
        <v>2025.1</v>
      </c>
      <c r="J84" s="15" t="s">
        <v>101</v>
      </c>
      <c r="K84" s="15"/>
      <c r="L84" s="15"/>
      <c r="M84" s="15"/>
      <c r="N84" s="15" t="s">
        <v>191</v>
      </c>
    </row>
    <row r="85">
      <c r="A85" s="2"/>
      <c r="B85" s="16" t="s">
        <v>197</v>
      </c>
      <c r="C85" s="4" t="s">
        <v>15</v>
      </c>
      <c r="D85" s="12">
        <v>0.010243055555555556</v>
      </c>
      <c r="E85" s="2" t="str">
        <f t="shared" si="1"/>
        <v>Lab -  Navigating CloudVision Portal</v>
      </c>
      <c r="F85" s="6">
        <v>4.0</v>
      </c>
      <c r="G85" s="2" t="s">
        <v>198</v>
      </c>
      <c r="H85" s="13" t="s">
        <v>199</v>
      </c>
      <c r="I85" s="13" t="s">
        <v>18</v>
      </c>
      <c r="J85" s="13" t="s">
        <v>18</v>
      </c>
      <c r="K85" s="13" t="s">
        <v>18</v>
      </c>
      <c r="L85" s="13" t="s">
        <v>19</v>
      </c>
      <c r="M85" s="13"/>
      <c r="N85" s="13" t="s">
        <v>200</v>
      </c>
    </row>
    <row r="86">
      <c r="A86" s="2"/>
      <c r="B86" s="16" t="s">
        <v>201</v>
      </c>
      <c r="C86" s="4" t="s">
        <v>15</v>
      </c>
      <c r="D86" s="12">
        <v>0.012800925925925926</v>
      </c>
      <c r="E86" s="2" t="str">
        <f t="shared" si="1"/>
        <v>Lab -  Navigating CloudVision Portal</v>
      </c>
      <c r="F86" s="6">
        <v>5.0</v>
      </c>
      <c r="G86" s="2" t="s">
        <v>202</v>
      </c>
      <c r="H86" s="13" t="s">
        <v>199</v>
      </c>
      <c r="I86" s="13" t="s">
        <v>18</v>
      </c>
      <c r="J86" s="13" t="s">
        <v>18</v>
      </c>
      <c r="K86" s="13" t="s">
        <v>18</v>
      </c>
      <c r="L86" s="13" t="s">
        <v>19</v>
      </c>
      <c r="M86" s="13"/>
      <c r="N86" s="13" t="s">
        <v>200</v>
      </c>
    </row>
    <row r="87">
      <c r="A87" s="2"/>
      <c r="B87" s="16" t="s">
        <v>203</v>
      </c>
      <c r="C87" s="4" t="s">
        <v>15</v>
      </c>
      <c r="D87" s="12">
        <v>0.01619212962962963</v>
      </c>
      <c r="E87" s="2" t="str">
        <f t="shared" si="1"/>
        <v>Lab -  Navigating CloudVision Portal</v>
      </c>
      <c r="F87" s="6">
        <v>5.0</v>
      </c>
      <c r="G87" s="2" t="s">
        <v>204</v>
      </c>
      <c r="H87" s="13" t="s">
        <v>199</v>
      </c>
      <c r="I87" s="13" t="s">
        <v>18</v>
      </c>
      <c r="J87" s="13" t="s">
        <v>18</v>
      </c>
      <c r="K87" s="13" t="s">
        <v>18</v>
      </c>
      <c r="L87" s="13" t="s">
        <v>19</v>
      </c>
      <c r="M87" s="13"/>
      <c r="N87" s="13" t="s">
        <v>200</v>
      </c>
    </row>
    <row r="88">
      <c r="A88" s="2"/>
      <c r="B88" s="16" t="s">
        <v>205</v>
      </c>
      <c r="C88" s="4" t="s">
        <v>15</v>
      </c>
      <c r="D88" s="12">
        <v>0.012094907407407407</v>
      </c>
      <c r="E88" s="2" t="str">
        <f t="shared" si="1"/>
        <v>L2LS Architecture: Plan for Performance, Redundancy, and Growth</v>
      </c>
      <c r="F88" s="6">
        <v>3.0</v>
      </c>
      <c r="G88" s="2" t="s">
        <v>206</v>
      </c>
      <c r="H88" s="13" t="s">
        <v>199</v>
      </c>
      <c r="I88" s="13">
        <v>2025.1</v>
      </c>
      <c r="J88" s="13" t="s">
        <v>101</v>
      </c>
      <c r="K88" s="13" t="s">
        <v>18</v>
      </c>
      <c r="L88" s="13"/>
      <c r="M88" s="13"/>
      <c r="N88" s="13" t="s">
        <v>207</v>
      </c>
    </row>
    <row r="89">
      <c r="A89" s="2"/>
      <c r="B89" s="16" t="s">
        <v>208</v>
      </c>
      <c r="C89" s="4" t="s">
        <v>15</v>
      </c>
      <c r="D89" s="12">
        <v>0.015497685185185186</v>
      </c>
      <c r="E89" s="2" t="str">
        <f t="shared" si="1"/>
        <v>L2LS Architecture: Plan for Performance, Redundancy, and Growth</v>
      </c>
      <c r="F89" s="6">
        <v>3.0</v>
      </c>
      <c r="G89" s="2" t="s">
        <v>209</v>
      </c>
      <c r="H89" s="13" t="s">
        <v>199</v>
      </c>
      <c r="I89" s="13">
        <v>2025.1</v>
      </c>
      <c r="J89" s="13" t="s">
        <v>101</v>
      </c>
      <c r="K89" s="13" t="s">
        <v>18</v>
      </c>
      <c r="L89" s="13"/>
      <c r="M89" s="13"/>
      <c r="N89" s="13" t="s">
        <v>207</v>
      </c>
    </row>
    <row r="90">
      <c r="A90" s="2"/>
      <c r="B90" s="16" t="s">
        <v>210</v>
      </c>
      <c r="C90" s="4" t="s">
        <v>15</v>
      </c>
      <c r="D90" s="12">
        <v>0.003553240740740741</v>
      </c>
      <c r="E90" s="2" t="str">
        <f t="shared" si="1"/>
        <v>L2LS Architecture: Plan for Performance, Redundancy, and Growth</v>
      </c>
      <c r="F90" s="6">
        <v>4.0</v>
      </c>
      <c r="G90" s="2" t="s">
        <v>211</v>
      </c>
      <c r="H90" s="13" t="s">
        <v>199</v>
      </c>
      <c r="I90" s="13">
        <v>2025.1</v>
      </c>
      <c r="J90" s="13" t="s">
        <v>101</v>
      </c>
      <c r="K90" s="13" t="s">
        <v>18</v>
      </c>
      <c r="L90" s="13"/>
      <c r="M90" s="13"/>
      <c r="N90" s="13" t="s">
        <v>207</v>
      </c>
    </row>
    <row r="91">
      <c r="A91" s="2"/>
      <c r="B91" s="16" t="s">
        <v>212</v>
      </c>
      <c r="C91" s="4" t="s">
        <v>15</v>
      </c>
      <c r="D91" s="12">
        <v>0.010590277777777778</v>
      </c>
      <c r="E91" s="2" t="str">
        <f t="shared" si="1"/>
        <v>L2LS Architecture: Plan for Performance, Redundancy, and Growth</v>
      </c>
      <c r="F91" s="6">
        <v>4.0</v>
      </c>
      <c r="G91" s="2" t="s">
        <v>213</v>
      </c>
      <c r="H91" s="13" t="s">
        <v>199</v>
      </c>
      <c r="I91" s="13">
        <v>2025.1</v>
      </c>
      <c r="J91" s="13" t="s">
        <v>101</v>
      </c>
      <c r="K91" s="13" t="s">
        <v>18</v>
      </c>
      <c r="L91" s="13"/>
      <c r="M91" s="13"/>
      <c r="N91" s="13" t="s">
        <v>207</v>
      </c>
    </row>
    <row r="92">
      <c r="A92" s="2"/>
      <c r="B92" s="16" t="s">
        <v>214</v>
      </c>
      <c r="C92" s="4" t="s">
        <v>15</v>
      </c>
      <c r="D92" s="12">
        <v>0.01607638888888889</v>
      </c>
      <c r="E92" s="2" t="str">
        <f t="shared" si="1"/>
        <v>Troubleshooting VLANs</v>
      </c>
      <c r="F92" s="6">
        <v>4.0</v>
      </c>
      <c r="G92" s="2" t="s">
        <v>215</v>
      </c>
      <c r="H92" s="13" t="s">
        <v>199</v>
      </c>
      <c r="I92" s="13">
        <v>2025.1</v>
      </c>
      <c r="J92" s="13" t="s">
        <v>101</v>
      </c>
      <c r="K92" s="13" t="s">
        <v>18</v>
      </c>
      <c r="L92" s="13"/>
      <c r="M92" s="13"/>
      <c r="N92" s="13" t="s">
        <v>216</v>
      </c>
    </row>
    <row r="93">
      <c r="A93" s="2"/>
      <c r="B93" s="16" t="s">
        <v>217</v>
      </c>
      <c r="C93" s="4" t="s">
        <v>15</v>
      </c>
      <c r="D93" s="12">
        <v>0.013668981481481482</v>
      </c>
      <c r="E93" s="2" t="str">
        <f t="shared" si="1"/>
        <v>Troubleshooting VLANs</v>
      </c>
      <c r="F93" s="6">
        <v>5.0</v>
      </c>
      <c r="G93" s="2" t="s">
        <v>218</v>
      </c>
      <c r="H93" s="13" t="s">
        <v>199</v>
      </c>
      <c r="I93" s="13">
        <v>2025.1</v>
      </c>
      <c r="J93" s="13" t="s">
        <v>101</v>
      </c>
      <c r="K93" s="13" t="s">
        <v>18</v>
      </c>
      <c r="L93" s="13"/>
      <c r="M93" s="13"/>
      <c r="N93" s="13" t="s">
        <v>216</v>
      </c>
    </row>
    <row r="94">
      <c r="A94" s="2"/>
      <c r="B94" s="16" t="s">
        <v>219</v>
      </c>
      <c r="C94" s="4" t="s">
        <v>15</v>
      </c>
      <c r="D94" s="12">
        <v>0.010868055555555556</v>
      </c>
      <c r="E94" s="2" t="str">
        <f t="shared" si="1"/>
        <v>Troubleshooting VLANs</v>
      </c>
      <c r="F94" s="6">
        <v>4.0</v>
      </c>
      <c r="G94" s="2" t="s">
        <v>220</v>
      </c>
      <c r="H94" s="13" t="s">
        <v>199</v>
      </c>
      <c r="I94" s="13">
        <v>2025.1</v>
      </c>
      <c r="J94" s="13" t="s">
        <v>101</v>
      </c>
      <c r="K94" s="13" t="s">
        <v>18</v>
      </c>
      <c r="L94" s="13"/>
      <c r="M94" s="13"/>
      <c r="N94" s="13" t="s">
        <v>216</v>
      </c>
    </row>
    <row r="95">
      <c r="A95" s="2"/>
      <c r="B95" s="16" t="s">
        <v>221</v>
      </c>
      <c r="C95" s="4" t="s">
        <v>15</v>
      </c>
      <c r="D95" s="12">
        <v>0.005300925925925926</v>
      </c>
      <c r="E95" s="2" t="str">
        <f t="shared" si="1"/>
        <v>Troubleshooting VLANs</v>
      </c>
      <c r="F95" s="6">
        <v>5.0</v>
      </c>
      <c r="G95" s="2" t="s">
        <v>222</v>
      </c>
      <c r="H95" s="13" t="s">
        <v>199</v>
      </c>
      <c r="I95" s="13">
        <v>2025.1</v>
      </c>
      <c r="J95" s="13" t="s">
        <v>101</v>
      </c>
      <c r="K95" s="13" t="s">
        <v>18</v>
      </c>
      <c r="L95" s="13"/>
      <c r="M95" s="13"/>
      <c r="N95" s="13" t="s">
        <v>216</v>
      </c>
    </row>
    <row r="96">
      <c r="A96" s="14"/>
      <c r="B96" s="17" t="s">
        <v>223</v>
      </c>
      <c r="C96" s="4" t="s">
        <v>100</v>
      </c>
      <c r="D96" s="5">
        <v>0.013888888888888888</v>
      </c>
      <c r="E96" s="14" t="str">
        <f t="shared" si="1"/>
        <v>Troubleshooting VLANs</v>
      </c>
      <c r="F96" s="6">
        <v>4.0</v>
      </c>
      <c r="G96" s="14"/>
      <c r="H96" s="15" t="s">
        <v>199</v>
      </c>
      <c r="I96" s="15" t="s">
        <v>18</v>
      </c>
      <c r="J96" s="15" t="s">
        <v>18</v>
      </c>
      <c r="K96" s="15" t="s">
        <v>18</v>
      </c>
      <c r="L96" s="15" t="s">
        <v>19</v>
      </c>
      <c r="M96" s="15"/>
      <c r="N96" s="15" t="s">
        <v>216</v>
      </c>
    </row>
    <row r="97">
      <c r="A97" s="2"/>
      <c r="B97" s="16" t="s">
        <v>224</v>
      </c>
      <c r="C97" s="4" t="s">
        <v>15</v>
      </c>
      <c r="D97" s="12">
        <v>0.022337962962962962</v>
      </c>
      <c r="E97" s="2" t="str">
        <f t="shared" si="1"/>
        <v>Lab - STP</v>
      </c>
      <c r="F97" s="6">
        <v>4.0</v>
      </c>
      <c r="G97" s="2" t="s">
        <v>225</v>
      </c>
      <c r="H97" s="13" t="s">
        <v>199</v>
      </c>
      <c r="I97" s="13">
        <v>2025.1</v>
      </c>
      <c r="J97" s="13" t="s">
        <v>101</v>
      </c>
      <c r="K97" s="13" t="s">
        <v>18</v>
      </c>
      <c r="L97" s="13"/>
      <c r="M97" s="13"/>
      <c r="N97" s="13" t="s">
        <v>226</v>
      </c>
    </row>
    <row r="98">
      <c r="A98" s="2"/>
      <c r="B98" s="16" t="s">
        <v>227</v>
      </c>
      <c r="C98" s="4" t="s">
        <v>15</v>
      </c>
      <c r="D98" s="12">
        <v>0.01758101851851852</v>
      </c>
      <c r="E98" s="2" t="str">
        <f t="shared" si="1"/>
        <v>Lab - STP</v>
      </c>
      <c r="F98" s="6">
        <v>4.0</v>
      </c>
      <c r="G98" s="2" t="s">
        <v>228</v>
      </c>
      <c r="H98" s="13" t="s">
        <v>199</v>
      </c>
      <c r="I98" s="13">
        <v>2025.1</v>
      </c>
      <c r="J98" s="13" t="s">
        <v>101</v>
      </c>
      <c r="K98" s="13" t="s">
        <v>18</v>
      </c>
      <c r="L98" s="13"/>
      <c r="M98" s="13"/>
      <c r="N98" s="13" t="s">
        <v>226</v>
      </c>
    </row>
    <row r="99">
      <c r="A99" s="2"/>
      <c r="B99" s="16" t="s">
        <v>229</v>
      </c>
      <c r="C99" s="4" t="s">
        <v>15</v>
      </c>
      <c r="D99" s="12">
        <v>0.014618055555555556</v>
      </c>
      <c r="E99" s="2" t="str">
        <f t="shared" si="1"/>
        <v>Lab - STP</v>
      </c>
      <c r="F99" s="6">
        <v>5.0</v>
      </c>
      <c r="G99" s="2" t="s">
        <v>230</v>
      </c>
      <c r="H99" s="13" t="s">
        <v>199</v>
      </c>
      <c r="I99" s="13">
        <v>2025.1</v>
      </c>
      <c r="J99" s="13" t="s">
        <v>101</v>
      </c>
      <c r="K99" s="13" t="s">
        <v>18</v>
      </c>
      <c r="L99" s="13"/>
      <c r="M99" s="13"/>
      <c r="N99" s="13" t="s">
        <v>226</v>
      </c>
    </row>
    <row r="100">
      <c r="A100" s="2"/>
      <c r="B100" s="16" t="s">
        <v>231</v>
      </c>
      <c r="C100" s="4" t="s">
        <v>15</v>
      </c>
      <c r="D100" s="12">
        <v>0.025208333333333333</v>
      </c>
      <c r="E100" s="2" t="str">
        <f t="shared" si="1"/>
        <v>Troubleshooting LACP</v>
      </c>
      <c r="F100" s="6">
        <v>6.0</v>
      </c>
      <c r="G100" s="2" t="s">
        <v>232</v>
      </c>
      <c r="H100" s="13" t="s">
        <v>199</v>
      </c>
      <c r="I100" s="13">
        <v>2025.1</v>
      </c>
      <c r="J100" s="13" t="s">
        <v>101</v>
      </c>
      <c r="K100" s="13" t="s">
        <v>18</v>
      </c>
      <c r="L100" s="13"/>
      <c r="M100" s="13"/>
      <c r="N100" s="13" t="s">
        <v>233</v>
      </c>
    </row>
    <row r="101">
      <c r="A101" s="2"/>
      <c r="B101" s="16" t="s">
        <v>234</v>
      </c>
      <c r="C101" s="4" t="s">
        <v>15</v>
      </c>
      <c r="D101" s="12">
        <v>0.015</v>
      </c>
      <c r="E101" s="2" t="str">
        <f t="shared" si="1"/>
        <v>Troubleshooting LACP</v>
      </c>
      <c r="F101" s="6">
        <v>6.0</v>
      </c>
      <c r="G101" s="2" t="s">
        <v>235</v>
      </c>
      <c r="H101" s="13" t="s">
        <v>199</v>
      </c>
      <c r="I101" s="13">
        <v>2025.1</v>
      </c>
      <c r="J101" s="13" t="s">
        <v>101</v>
      </c>
      <c r="K101" s="13" t="s">
        <v>18</v>
      </c>
      <c r="L101" s="13"/>
      <c r="M101" s="13"/>
      <c r="N101" s="13" t="s">
        <v>233</v>
      </c>
    </row>
    <row r="102">
      <c r="A102" s="14"/>
      <c r="B102" s="16" t="s">
        <v>236</v>
      </c>
      <c r="C102" s="4" t="s">
        <v>100</v>
      </c>
      <c r="D102" s="5">
        <v>0.013888888888888888</v>
      </c>
      <c r="E102" s="14" t="str">
        <f t="shared" si="1"/>
        <v>Troubleshooting LACP</v>
      </c>
      <c r="F102" s="6">
        <v>6.0</v>
      </c>
      <c r="G102" s="14"/>
      <c r="H102" s="15"/>
      <c r="I102" s="15">
        <v>2025.1</v>
      </c>
      <c r="J102" s="15" t="s">
        <v>101</v>
      </c>
      <c r="K102" s="15" t="s">
        <v>18</v>
      </c>
      <c r="L102" s="15"/>
      <c r="M102" s="15"/>
      <c r="N102" s="15" t="s">
        <v>233</v>
      </c>
    </row>
    <row r="103">
      <c r="A103" s="14"/>
      <c r="B103" s="16" t="s">
        <v>237</v>
      </c>
      <c r="C103" s="4" t="s">
        <v>100</v>
      </c>
      <c r="D103" s="5">
        <v>0.013888888888888888</v>
      </c>
      <c r="E103" s="14" t="str">
        <f t="shared" si="1"/>
        <v>Troubleshooting LACP</v>
      </c>
      <c r="F103" s="6">
        <v>6.0</v>
      </c>
      <c r="G103" s="14"/>
      <c r="H103" s="15" t="s">
        <v>199</v>
      </c>
      <c r="I103" s="15" t="s">
        <v>18</v>
      </c>
      <c r="J103" s="15" t="s">
        <v>18</v>
      </c>
      <c r="K103" s="15" t="s">
        <v>18</v>
      </c>
      <c r="L103" s="15" t="s">
        <v>19</v>
      </c>
      <c r="M103" s="15"/>
      <c r="N103" s="15" t="s">
        <v>233</v>
      </c>
    </row>
    <row r="104">
      <c r="A104" s="2"/>
      <c r="B104" s="16" t="s">
        <v>238</v>
      </c>
      <c r="C104" s="4" t="s">
        <v>15</v>
      </c>
      <c r="D104" s="12">
        <v>0.007743055555555556</v>
      </c>
      <c r="E104" s="2" t="str">
        <f t="shared" si="1"/>
        <v>Lab - Troubleshooting MLAG</v>
      </c>
      <c r="F104" s="6">
        <v>5.0</v>
      </c>
      <c r="G104" s="2" t="s">
        <v>239</v>
      </c>
      <c r="H104" s="13" t="s">
        <v>199</v>
      </c>
      <c r="I104" s="13">
        <v>2025.1</v>
      </c>
      <c r="J104" s="13" t="s">
        <v>101</v>
      </c>
      <c r="K104" s="13" t="s">
        <v>18</v>
      </c>
      <c r="L104" s="13"/>
      <c r="M104" s="13"/>
      <c r="N104" s="13" t="s">
        <v>240</v>
      </c>
    </row>
    <row r="105">
      <c r="A105" s="2"/>
      <c r="B105" s="16" t="s">
        <v>241</v>
      </c>
      <c r="C105" s="4" t="s">
        <v>15</v>
      </c>
      <c r="D105" s="12">
        <v>0.00974537037037037</v>
      </c>
      <c r="E105" s="2" t="str">
        <f t="shared" si="1"/>
        <v>Lab - Troubleshooting MLAG</v>
      </c>
      <c r="F105" s="6">
        <v>5.0</v>
      </c>
      <c r="G105" s="2" t="s">
        <v>242</v>
      </c>
      <c r="H105" s="13" t="s">
        <v>199</v>
      </c>
      <c r="I105" s="13">
        <v>2025.1</v>
      </c>
      <c r="J105" s="13" t="s">
        <v>101</v>
      </c>
      <c r="K105" s="13" t="s">
        <v>18</v>
      </c>
      <c r="L105" s="13"/>
      <c r="M105" s="13"/>
      <c r="N105" s="13" t="s">
        <v>240</v>
      </c>
    </row>
    <row r="106">
      <c r="A106" s="2"/>
      <c r="B106" s="16" t="s">
        <v>243</v>
      </c>
      <c r="C106" s="4" t="s">
        <v>15</v>
      </c>
      <c r="D106" s="12">
        <v>0.008067129629629629</v>
      </c>
      <c r="E106" s="2" t="str">
        <f t="shared" si="1"/>
        <v>Lab - Troubleshooting MLAG</v>
      </c>
      <c r="F106" s="6">
        <v>5.0</v>
      </c>
      <c r="G106" s="2" t="s">
        <v>244</v>
      </c>
      <c r="H106" s="13" t="s">
        <v>199</v>
      </c>
      <c r="I106" s="13">
        <v>2025.1</v>
      </c>
      <c r="J106" s="13" t="s">
        <v>101</v>
      </c>
      <c r="K106" s="13" t="s">
        <v>18</v>
      </c>
      <c r="L106" s="13"/>
      <c r="M106" s="13"/>
      <c r="N106" s="13" t="s">
        <v>240</v>
      </c>
    </row>
    <row r="107">
      <c r="A107" s="2"/>
      <c r="B107" s="16" t="s">
        <v>245</v>
      </c>
      <c r="C107" s="4" t="s">
        <v>15</v>
      </c>
      <c r="D107" s="12">
        <v>0.027511574074074074</v>
      </c>
      <c r="E107" s="2" t="str">
        <f t="shared" si="1"/>
        <v>Configuring VARP</v>
      </c>
      <c r="F107" s="6">
        <v>6.0</v>
      </c>
      <c r="G107" s="2" t="s">
        <v>246</v>
      </c>
      <c r="H107" s="13" t="s">
        <v>199</v>
      </c>
      <c r="I107" s="13" t="s">
        <v>18</v>
      </c>
      <c r="J107" s="13" t="s">
        <v>18</v>
      </c>
      <c r="K107" s="13" t="s">
        <v>18</v>
      </c>
      <c r="L107" s="13" t="s">
        <v>19</v>
      </c>
      <c r="M107" s="13"/>
      <c r="N107" s="13" t="s">
        <v>247</v>
      </c>
    </row>
    <row r="108">
      <c r="A108" s="2"/>
      <c r="B108" s="16" t="s">
        <v>248</v>
      </c>
      <c r="C108" s="4" t="s">
        <v>100</v>
      </c>
      <c r="D108" s="12">
        <v>0.0625</v>
      </c>
      <c r="E108" s="2" t="str">
        <f t="shared" si="1"/>
        <v>Configuring VARP</v>
      </c>
      <c r="F108" s="6">
        <v>6.0</v>
      </c>
      <c r="G108" s="2"/>
      <c r="H108" s="13" t="s">
        <v>199</v>
      </c>
      <c r="I108" s="13" t="s">
        <v>18</v>
      </c>
      <c r="J108" s="13" t="s">
        <v>18</v>
      </c>
      <c r="K108" s="13" t="s">
        <v>18</v>
      </c>
      <c r="L108" s="13" t="s">
        <v>19</v>
      </c>
      <c r="M108" s="13"/>
      <c r="N108" s="13" t="s">
        <v>247</v>
      </c>
    </row>
    <row r="109">
      <c r="A109" s="2"/>
      <c r="B109" s="16" t="s">
        <v>249</v>
      </c>
      <c r="C109" s="4" t="s">
        <v>15</v>
      </c>
      <c r="D109" s="12">
        <v>0.020023148148148148</v>
      </c>
      <c r="E109" s="2" t="str">
        <f t="shared" si="1"/>
        <v>Lab - Build L2LS with MLAG and VARP</v>
      </c>
      <c r="F109" s="6">
        <v>5.0</v>
      </c>
      <c r="G109" s="2" t="s">
        <v>250</v>
      </c>
      <c r="H109" s="13" t="s">
        <v>199</v>
      </c>
      <c r="I109" s="13" t="s">
        <v>18</v>
      </c>
      <c r="J109" s="13" t="s">
        <v>18</v>
      </c>
      <c r="K109" s="13" t="s">
        <v>18</v>
      </c>
      <c r="L109" s="13" t="s">
        <v>19</v>
      </c>
      <c r="M109" s="13"/>
      <c r="N109" s="13" t="s">
        <v>251</v>
      </c>
    </row>
    <row r="110">
      <c r="A110" s="2"/>
      <c r="B110" s="16" t="s">
        <v>252</v>
      </c>
      <c r="C110" s="4" t="s">
        <v>15</v>
      </c>
      <c r="D110" s="12">
        <v>0.01570601851851852</v>
      </c>
      <c r="E110" s="2" t="str">
        <f t="shared" si="1"/>
        <v>Lab - Build L2LS with MLAG and VARP</v>
      </c>
      <c r="F110" s="6">
        <v>6.0</v>
      </c>
      <c r="G110" s="2" t="s">
        <v>253</v>
      </c>
      <c r="H110" s="13" t="s">
        <v>199</v>
      </c>
      <c r="I110" s="13">
        <v>2025.1</v>
      </c>
      <c r="J110" s="13" t="s">
        <v>101</v>
      </c>
      <c r="K110" s="13" t="s">
        <v>18</v>
      </c>
      <c r="L110" s="13" t="s">
        <v>254</v>
      </c>
      <c r="M110" s="13"/>
      <c r="N110" s="13" t="s">
        <v>251</v>
      </c>
    </row>
    <row r="111">
      <c r="A111" s="2"/>
      <c r="B111" s="16" t="s">
        <v>255</v>
      </c>
      <c r="C111" s="4" t="s">
        <v>15</v>
      </c>
      <c r="D111" s="12">
        <v>0.020231481481481482</v>
      </c>
      <c r="E111" s="2" t="str">
        <f t="shared" si="1"/>
        <v>Configuring L2LS with CVP Configlets</v>
      </c>
      <c r="F111" s="6">
        <v>5.0</v>
      </c>
      <c r="G111" s="2" t="s">
        <v>256</v>
      </c>
      <c r="H111" s="13" t="s">
        <v>17</v>
      </c>
      <c r="I111" s="13" t="s">
        <v>18</v>
      </c>
      <c r="J111" s="13" t="s">
        <v>18</v>
      </c>
      <c r="K111" s="13" t="s">
        <v>18</v>
      </c>
      <c r="L111" s="13" t="s">
        <v>254</v>
      </c>
      <c r="M111" s="13" t="s">
        <v>257</v>
      </c>
      <c r="N111" s="13" t="s">
        <v>258</v>
      </c>
    </row>
    <row r="112">
      <c r="A112" s="2"/>
      <c r="B112" s="16" t="s">
        <v>259</v>
      </c>
      <c r="C112" s="4" t="s">
        <v>15</v>
      </c>
      <c r="D112" s="12">
        <v>0.01204861111111111</v>
      </c>
      <c r="E112" s="2" t="str">
        <f t="shared" si="1"/>
        <v>Configuring L2LS with CVP Configlets</v>
      </c>
      <c r="F112" s="6">
        <v>5.0</v>
      </c>
      <c r="G112" s="2" t="s">
        <v>260</v>
      </c>
      <c r="H112" s="13" t="s">
        <v>17</v>
      </c>
      <c r="I112" s="13" t="s">
        <v>18</v>
      </c>
      <c r="J112" s="13" t="s">
        <v>18</v>
      </c>
      <c r="K112" s="13" t="s">
        <v>18</v>
      </c>
      <c r="L112" s="13" t="s">
        <v>254</v>
      </c>
      <c r="M112" s="13" t="s">
        <v>257</v>
      </c>
      <c r="N112" s="13" t="s">
        <v>258</v>
      </c>
    </row>
    <row r="113">
      <c r="A113" s="2"/>
      <c r="B113" s="16" t="s">
        <v>261</v>
      </c>
      <c r="C113" s="4" t="s">
        <v>15</v>
      </c>
      <c r="D113" s="12">
        <v>0.0038773148148148148</v>
      </c>
      <c r="E113" s="2" t="str">
        <f t="shared" si="1"/>
        <v>L2LS Example</v>
      </c>
      <c r="F113" s="6">
        <v>7.0</v>
      </c>
      <c r="G113" s="2" t="s">
        <v>262</v>
      </c>
      <c r="H113" s="13" t="s">
        <v>17</v>
      </c>
      <c r="I113" s="13" t="s">
        <v>18</v>
      </c>
      <c r="J113" s="13" t="s">
        <v>18</v>
      </c>
      <c r="K113" s="13" t="s">
        <v>18</v>
      </c>
      <c r="L113" s="13" t="s">
        <v>254</v>
      </c>
      <c r="M113" s="13" t="s">
        <v>257</v>
      </c>
      <c r="N113" s="13" t="s">
        <v>263</v>
      </c>
    </row>
    <row r="114">
      <c r="A114" s="2"/>
      <c r="B114" s="16" t="s">
        <v>264</v>
      </c>
      <c r="C114" s="4" t="s">
        <v>15</v>
      </c>
      <c r="D114" s="12">
        <v>0.007245370370370371</v>
      </c>
      <c r="E114" s="2" t="str">
        <f t="shared" si="1"/>
        <v>Why BGP Underlay in L3LS Design</v>
      </c>
      <c r="F114" s="6">
        <v>5.0</v>
      </c>
      <c r="G114" s="2" t="s">
        <v>265</v>
      </c>
      <c r="H114" s="13" t="s">
        <v>17</v>
      </c>
      <c r="I114" s="13" t="s">
        <v>18</v>
      </c>
      <c r="J114" s="13" t="s">
        <v>18</v>
      </c>
      <c r="K114" s="13" t="s">
        <v>18</v>
      </c>
      <c r="L114" s="13" t="s">
        <v>254</v>
      </c>
      <c r="M114" s="13" t="s">
        <v>257</v>
      </c>
      <c r="N114" s="13" t="s">
        <v>266</v>
      </c>
    </row>
    <row r="115">
      <c r="A115" s="2"/>
      <c r="B115" s="16" t="s">
        <v>267</v>
      </c>
      <c r="C115" s="4" t="s">
        <v>15</v>
      </c>
      <c r="D115" s="12">
        <v>0.0171875</v>
      </c>
      <c r="E115" s="2" t="str">
        <f t="shared" si="1"/>
        <v>Why BGP Underlay in L3LS Design</v>
      </c>
      <c r="F115" s="6">
        <v>6.0</v>
      </c>
      <c r="G115" s="2" t="s">
        <v>268</v>
      </c>
      <c r="H115" s="13" t="s">
        <v>17</v>
      </c>
      <c r="I115" s="13" t="s">
        <v>18</v>
      </c>
      <c r="J115" s="13" t="s">
        <v>18</v>
      </c>
      <c r="K115" s="13" t="s">
        <v>18</v>
      </c>
      <c r="L115" s="13" t="s">
        <v>254</v>
      </c>
      <c r="M115" s="13" t="s">
        <v>257</v>
      </c>
      <c r="N115" s="13" t="s">
        <v>266</v>
      </c>
    </row>
    <row r="116">
      <c r="A116" s="2"/>
      <c r="B116" s="16" t="s">
        <v>269</v>
      </c>
      <c r="C116" s="4" t="s">
        <v>15</v>
      </c>
      <c r="D116" s="12">
        <v>0.01474537037037037</v>
      </c>
      <c r="E116" s="2" t="str">
        <f t="shared" si="1"/>
        <v>Why BGP Underlay in L3LS Design</v>
      </c>
      <c r="F116" s="6">
        <v>6.0</v>
      </c>
      <c r="G116" s="2" t="s">
        <v>270</v>
      </c>
      <c r="H116" s="13" t="s">
        <v>17</v>
      </c>
      <c r="I116" s="13" t="s">
        <v>18</v>
      </c>
      <c r="J116" s="13" t="s">
        <v>18</v>
      </c>
      <c r="K116" s="13" t="s">
        <v>18</v>
      </c>
      <c r="L116" s="13" t="s">
        <v>254</v>
      </c>
      <c r="M116" s="13" t="s">
        <v>257</v>
      </c>
      <c r="N116" s="13" t="s">
        <v>266</v>
      </c>
    </row>
    <row r="117">
      <c r="A117" s="2"/>
      <c r="B117" s="16" t="s">
        <v>271</v>
      </c>
      <c r="C117" s="4" t="s">
        <v>15</v>
      </c>
      <c r="D117" s="12">
        <v>0.012060185185185186</v>
      </c>
      <c r="E117" s="2" t="str">
        <f t="shared" si="1"/>
        <v>Why BGP Underlay in L3LS Design</v>
      </c>
      <c r="F117" s="6">
        <v>5.0</v>
      </c>
      <c r="G117" s="2" t="s">
        <v>272</v>
      </c>
      <c r="H117" s="13" t="s">
        <v>17</v>
      </c>
      <c r="I117" s="13" t="s">
        <v>18</v>
      </c>
      <c r="J117" s="13" t="s">
        <v>18</v>
      </c>
      <c r="K117" s="13" t="s">
        <v>18</v>
      </c>
      <c r="L117" s="13" t="s">
        <v>254</v>
      </c>
      <c r="M117" s="13" t="s">
        <v>257</v>
      </c>
      <c r="N117" s="13" t="s">
        <v>266</v>
      </c>
    </row>
    <row r="118">
      <c r="A118" s="2"/>
      <c r="B118" s="16" t="s">
        <v>273</v>
      </c>
      <c r="C118" s="4" t="s">
        <v>15</v>
      </c>
      <c r="D118" s="12">
        <v>0.017534722222222222</v>
      </c>
      <c r="E118" s="2" t="str">
        <f t="shared" si="1"/>
        <v>OSPF Configuration</v>
      </c>
      <c r="F118" s="6">
        <v>6.0</v>
      </c>
      <c r="G118" s="2" t="s">
        <v>274</v>
      </c>
      <c r="H118" s="13" t="s">
        <v>17</v>
      </c>
      <c r="I118" s="13" t="s">
        <v>18</v>
      </c>
      <c r="J118" s="13" t="s">
        <v>18</v>
      </c>
      <c r="K118" s="13" t="s">
        <v>18</v>
      </c>
      <c r="L118" s="13" t="s">
        <v>254</v>
      </c>
      <c r="M118" s="13" t="s">
        <v>257</v>
      </c>
      <c r="N118" s="13" t="s">
        <v>275</v>
      </c>
    </row>
    <row r="119">
      <c r="A119" s="2"/>
      <c r="B119" s="16" t="s">
        <v>276</v>
      </c>
      <c r="C119" s="4" t="s">
        <v>15</v>
      </c>
      <c r="D119" s="12">
        <v>0.01269675925925926</v>
      </c>
      <c r="E119" s="2" t="str">
        <f t="shared" si="1"/>
        <v>OSPF Configuration</v>
      </c>
      <c r="F119" s="6">
        <v>6.0</v>
      </c>
      <c r="G119" s="2" t="s">
        <v>277</v>
      </c>
      <c r="H119" s="13" t="s">
        <v>17</v>
      </c>
      <c r="I119" s="13" t="s">
        <v>18</v>
      </c>
      <c r="J119" s="13" t="s">
        <v>18</v>
      </c>
      <c r="K119" s="13" t="s">
        <v>18</v>
      </c>
      <c r="L119" s="13" t="s">
        <v>254</v>
      </c>
      <c r="M119" s="13" t="s">
        <v>257</v>
      </c>
      <c r="N119" s="13" t="s">
        <v>275</v>
      </c>
    </row>
    <row r="120">
      <c r="A120" s="2"/>
      <c r="B120" s="16" t="s">
        <v>278</v>
      </c>
      <c r="C120" s="4" t="s">
        <v>15</v>
      </c>
      <c r="D120" s="12">
        <v>0.0171875</v>
      </c>
      <c r="E120" s="2" t="str">
        <f t="shared" si="1"/>
        <v>IS-IS Communications</v>
      </c>
      <c r="F120" s="6">
        <v>6.0</v>
      </c>
      <c r="G120" s="2" t="s">
        <v>279</v>
      </c>
      <c r="H120" s="13" t="s">
        <v>17</v>
      </c>
      <c r="I120" s="13">
        <v>2025.1</v>
      </c>
      <c r="J120" s="13" t="s">
        <v>101</v>
      </c>
      <c r="K120" s="13" t="s">
        <v>18</v>
      </c>
      <c r="L120" s="13" t="s">
        <v>254</v>
      </c>
      <c r="M120" s="13" t="s">
        <v>257</v>
      </c>
      <c r="N120" s="13" t="s">
        <v>280</v>
      </c>
    </row>
    <row r="121">
      <c r="A121" s="2"/>
      <c r="B121" s="16" t="s">
        <v>281</v>
      </c>
      <c r="C121" s="4" t="s">
        <v>15</v>
      </c>
      <c r="D121" s="12">
        <v>0.01642361111111111</v>
      </c>
      <c r="E121" s="2" t="str">
        <f t="shared" si="1"/>
        <v>IS-IS Communications</v>
      </c>
      <c r="F121" s="6">
        <v>7.0</v>
      </c>
      <c r="G121" s="2" t="s">
        <v>282</v>
      </c>
      <c r="H121" s="13" t="s">
        <v>17</v>
      </c>
      <c r="I121" s="13" t="s">
        <v>18</v>
      </c>
      <c r="J121" s="13" t="s">
        <v>18</v>
      </c>
      <c r="K121" s="13" t="s">
        <v>18</v>
      </c>
      <c r="L121" s="13" t="s">
        <v>254</v>
      </c>
      <c r="M121" s="13" t="s">
        <v>257</v>
      </c>
      <c r="N121" s="13" t="s">
        <v>280</v>
      </c>
    </row>
    <row r="122">
      <c r="A122" s="2"/>
      <c r="B122" s="16" t="s">
        <v>283</v>
      </c>
      <c r="C122" s="4" t="s">
        <v>15</v>
      </c>
      <c r="D122" s="12">
        <v>0.01662037037037037</v>
      </c>
      <c r="E122" s="2" t="str">
        <f t="shared" si="1"/>
        <v>IS-IS Communications</v>
      </c>
      <c r="F122" s="6">
        <v>7.0</v>
      </c>
      <c r="G122" s="2" t="s">
        <v>284</v>
      </c>
      <c r="H122" s="13" t="s">
        <v>17</v>
      </c>
      <c r="I122" s="13" t="s">
        <v>18</v>
      </c>
      <c r="J122" s="13" t="s">
        <v>18</v>
      </c>
      <c r="K122" s="13" t="s">
        <v>18</v>
      </c>
      <c r="L122" s="13" t="s">
        <v>254</v>
      </c>
      <c r="M122" s="13" t="s">
        <v>257</v>
      </c>
      <c r="N122" s="13" t="s">
        <v>280</v>
      </c>
    </row>
    <row r="123">
      <c r="A123" s="2"/>
      <c r="B123" s="16" t="s">
        <v>285</v>
      </c>
      <c r="C123" s="4" t="s">
        <v>15</v>
      </c>
      <c r="D123" s="12">
        <v>0.014444444444444444</v>
      </c>
      <c r="E123" s="2" t="str">
        <f t="shared" si="1"/>
        <v>BGP Operation</v>
      </c>
      <c r="F123" s="6">
        <v>7.0</v>
      </c>
      <c r="G123" s="2" t="s">
        <v>286</v>
      </c>
      <c r="H123" s="13" t="s">
        <v>17</v>
      </c>
      <c r="I123" s="13" t="s">
        <v>18</v>
      </c>
      <c r="J123" s="13" t="s">
        <v>18</v>
      </c>
      <c r="K123" s="13" t="s">
        <v>18</v>
      </c>
      <c r="L123" s="13" t="s">
        <v>254</v>
      </c>
      <c r="M123" s="13" t="s">
        <v>257</v>
      </c>
      <c r="N123" s="13" t="s">
        <v>287</v>
      </c>
    </row>
    <row r="124">
      <c r="A124" s="2"/>
      <c r="B124" s="16" t="s">
        <v>288</v>
      </c>
      <c r="C124" s="4" t="s">
        <v>15</v>
      </c>
      <c r="D124" s="12">
        <v>0.0077546296296296295</v>
      </c>
      <c r="E124" s="2" t="str">
        <f t="shared" si="1"/>
        <v>BGP Operation</v>
      </c>
      <c r="F124" s="6">
        <v>7.0</v>
      </c>
      <c r="G124" s="2" t="s">
        <v>289</v>
      </c>
      <c r="H124" s="13" t="s">
        <v>17</v>
      </c>
      <c r="I124" s="13" t="s">
        <v>18</v>
      </c>
      <c r="J124" s="13" t="s">
        <v>18</v>
      </c>
      <c r="K124" s="13" t="s">
        <v>18</v>
      </c>
      <c r="L124" s="13" t="s">
        <v>254</v>
      </c>
      <c r="M124" s="13" t="s">
        <v>257</v>
      </c>
      <c r="N124" s="13" t="s">
        <v>287</v>
      </c>
    </row>
    <row r="125">
      <c r="A125" s="2"/>
      <c r="B125" s="16" t="s">
        <v>290</v>
      </c>
      <c r="C125" s="4" t="s">
        <v>15</v>
      </c>
      <c r="D125" s="12">
        <v>0.012905092592592593</v>
      </c>
      <c r="E125" s="2" t="str">
        <f t="shared" si="1"/>
        <v>BGP Operation</v>
      </c>
      <c r="F125" s="6">
        <v>7.0</v>
      </c>
      <c r="G125" s="2" t="s">
        <v>291</v>
      </c>
      <c r="H125" s="13" t="s">
        <v>17</v>
      </c>
      <c r="I125" s="13" t="s">
        <v>18</v>
      </c>
      <c r="J125" s="13" t="s">
        <v>18</v>
      </c>
      <c r="K125" s="13" t="s">
        <v>18</v>
      </c>
      <c r="L125" s="13" t="s">
        <v>254</v>
      </c>
      <c r="M125" s="13" t="s">
        <v>257</v>
      </c>
      <c r="N125" s="13" t="s">
        <v>287</v>
      </c>
    </row>
    <row r="126">
      <c r="A126" s="2"/>
      <c r="B126" s="16" t="s">
        <v>292</v>
      </c>
      <c r="C126" s="4" t="s">
        <v>15</v>
      </c>
      <c r="D126" s="12">
        <v>0.009976851851851851</v>
      </c>
      <c r="E126" s="2" t="str">
        <f t="shared" si="1"/>
        <v>eBGP Configuration Enhancements</v>
      </c>
      <c r="F126" s="6">
        <v>7.0</v>
      </c>
      <c r="G126" s="2" t="s">
        <v>293</v>
      </c>
      <c r="H126" s="13" t="s">
        <v>17</v>
      </c>
      <c r="I126" s="13" t="s">
        <v>18</v>
      </c>
      <c r="J126" s="13" t="s">
        <v>18</v>
      </c>
      <c r="K126" s="13" t="s">
        <v>18</v>
      </c>
      <c r="L126" s="13" t="s">
        <v>254</v>
      </c>
      <c r="M126" s="13" t="s">
        <v>257</v>
      </c>
      <c r="N126" s="13" t="s">
        <v>294</v>
      </c>
    </row>
    <row r="127">
      <c r="A127" s="14"/>
      <c r="B127" s="16" t="s">
        <v>295</v>
      </c>
      <c r="C127" s="4" t="s">
        <v>100</v>
      </c>
      <c r="D127" s="5">
        <v>0.013888888888888888</v>
      </c>
      <c r="E127" s="14" t="str">
        <f t="shared" si="1"/>
        <v>eBGP Configuration Enhancements</v>
      </c>
      <c r="F127" s="6">
        <v>7.0</v>
      </c>
      <c r="G127" s="14"/>
      <c r="H127" s="15" t="s">
        <v>17</v>
      </c>
      <c r="I127" s="15" t="s">
        <v>18</v>
      </c>
      <c r="J127" s="15" t="s">
        <v>18</v>
      </c>
      <c r="K127" s="15" t="s">
        <v>18</v>
      </c>
      <c r="L127" s="15" t="s">
        <v>254</v>
      </c>
      <c r="M127" s="15" t="s">
        <v>257</v>
      </c>
      <c r="N127" s="15" t="s">
        <v>294</v>
      </c>
    </row>
    <row r="128">
      <c r="A128" s="2"/>
      <c r="B128" s="16" t="s">
        <v>296</v>
      </c>
      <c r="C128" s="4" t="s">
        <v>15</v>
      </c>
      <c r="D128" s="12">
        <v>0.012893518518518518</v>
      </c>
      <c r="E128" s="2" t="str">
        <f t="shared" si="1"/>
        <v>Lab - Underlay Addressing with eBGP </v>
      </c>
      <c r="F128" s="6">
        <v>7.0</v>
      </c>
      <c r="G128" s="2" t="s">
        <v>297</v>
      </c>
      <c r="H128" s="13" t="s">
        <v>199</v>
      </c>
      <c r="I128" s="13" t="s">
        <v>18</v>
      </c>
      <c r="J128" s="13" t="s">
        <v>18</v>
      </c>
      <c r="K128" s="13" t="s">
        <v>18</v>
      </c>
      <c r="L128" s="13" t="s">
        <v>254</v>
      </c>
      <c r="M128" s="13" t="s">
        <v>298</v>
      </c>
      <c r="N128" s="13" t="s">
        <v>299</v>
      </c>
    </row>
    <row r="129">
      <c r="A129" s="2"/>
      <c r="B129" s="16" t="s">
        <v>300</v>
      </c>
      <c r="C129" s="4" t="s">
        <v>15</v>
      </c>
      <c r="D129" s="12">
        <v>0.008252314814814815</v>
      </c>
      <c r="E129" s="2" t="str">
        <f t="shared" si="1"/>
        <v>Lab - Underlay Addressing with eBGP </v>
      </c>
      <c r="F129" s="6">
        <v>7.0</v>
      </c>
      <c r="G129" s="2" t="s">
        <v>301</v>
      </c>
      <c r="H129" s="13" t="s">
        <v>199</v>
      </c>
      <c r="I129" s="13" t="s">
        <v>18</v>
      </c>
      <c r="J129" s="13" t="s">
        <v>18</v>
      </c>
      <c r="K129" s="13" t="s">
        <v>18</v>
      </c>
      <c r="L129" s="13" t="s">
        <v>19</v>
      </c>
      <c r="M129" s="13"/>
      <c r="N129" s="13" t="s">
        <v>299</v>
      </c>
    </row>
    <row r="130">
      <c r="A130" s="2"/>
      <c r="B130" s="16" t="s">
        <v>302</v>
      </c>
      <c r="C130" s="4" t="s">
        <v>15</v>
      </c>
      <c r="D130" s="12">
        <v>0.005555555555555556</v>
      </c>
      <c r="E130" s="2" t="str">
        <f t="shared" si="1"/>
        <v>VXLAN Load Balancing with ECMP</v>
      </c>
      <c r="F130" s="6">
        <v>4.0</v>
      </c>
      <c r="G130" s="2" t="s">
        <v>303</v>
      </c>
      <c r="H130" s="13" t="s">
        <v>199</v>
      </c>
      <c r="I130" s="13" t="s">
        <v>18</v>
      </c>
      <c r="J130" s="13" t="s">
        <v>18</v>
      </c>
      <c r="K130" s="13" t="s">
        <v>18</v>
      </c>
      <c r="L130" s="13" t="s">
        <v>19</v>
      </c>
      <c r="M130" s="13"/>
      <c r="N130" s="13" t="s">
        <v>304</v>
      </c>
    </row>
    <row r="131">
      <c r="A131" s="2"/>
      <c r="B131" s="16" t="s">
        <v>305</v>
      </c>
      <c r="C131" s="4" t="s">
        <v>15</v>
      </c>
      <c r="D131" s="12">
        <v>0.011041666666666667</v>
      </c>
      <c r="E131" s="2" t="str">
        <f t="shared" si="1"/>
        <v>VXLAN Load Balancing with ECMP</v>
      </c>
      <c r="F131" s="6">
        <v>8.0</v>
      </c>
      <c r="G131" s="2" t="s">
        <v>306</v>
      </c>
      <c r="H131" s="13" t="s">
        <v>199</v>
      </c>
      <c r="I131" s="13" t="s">
        <v>18</v>
      </c>
      <c r="J131" s="13" t="s">
        <v>18</v>
      </c>
      <c r="K131" s="13" t="s">
        <v>18</v>
      </c>
      <c r="L131" s="13" t="s">
        <v>19</v>
      </c>
      <c r="M131" s="13"/>
      <c r="N131" s="13" t="s">
        <v>304</v>
      </c>
    </row>
    <row r="132">
      <c r="A132" s="2"/>
      <c r="B132" s="16" t="s">
        <v>307</v>
      </c>
      <c r="C132" s="4" t="s">
        <v>15</v>
      </c>
      <c r="D132" s="12">
        <v>0.02136574074074074</v>
      </c>
      <c r="E132" s="2" t="str">
        <f t="shared" si="1"/>
        <v>VXLAN Load Balancing with ECMP</v>
      </c>
      <c r="F132" s="6">
        <v>8.0</v>
      </c>
      <c r="G132" s="2" t="s">
        <v>308</v>
      </c>
      <c r="H132" s="13" t="s">
        <v>199</v>
      </c>
      <c r="I132" s="13" t="s">
        <v>18</v>
      </c>
      <c r="J132" s="13" t="s">
        <v>18</v>
      </c>
      <c r="K132" s="13" t="s">
        <v>18</v>
      </c>
      <c r="L132" s="13" t="s">
        <v>19</v>
      </c>
      <c r="M132" s="13"/>
      <c r="N132" s="13" t="s">
        <v>304</v>
      </c>
    </row>
    <row r="133">
      <c r="A133" s="2"/>
      <c r="B133" s="16" t="s">
        <v>309</v>
      </c>
      <c r="C133" s="4" t="s">
        <v>15</v>
      </c>
      <c r="D133" s="12">
        <v>0.013414351851851853</v>
      </c>
      <c r="E133" s="2" t="str">
        <f t="shared" si="1"/>
        <v>VXLAN Load Balancing with ECMP</v>
      </c>
      <c r="F133" s="6">
        <v>8.0</v>
      </c>
      <c r="G133" s="2" t="s">
        <v>310</v>
      </c>
      <c r="H133" s="13" t="s">
        <v>199</v>
      </c>
      <c r="I133" s="13" t="s">
        <v>18</v>
      </c>
      <c r="J133" s="13" t="s">
        <v>18</v>
      </c>
      <c r="K133" s="13" t="s">
        <v>18</v>
      </c>
      <c r="L133" s="13" t="s">
        <v>19</v>
      </c>
      <c r="M133" s="13"/>
      <c r="N133" s="13" t="s">
        <v>304</v>
      </c>
    </row>
    <row r="134">
      <c r="A134" s="2"/>
      <c r="B134" s="16" t="s">
        <v>311</v>
      </c>
      <c r="C134" s="4" t="s">
        <v>15</v>
      </c>
      <c r="D134" s="12">
        <v>0.018703703703703705</v>
      </c>
      <c r="E134" s="2" t="str">
        <f t="shared" si="1"/>
        <v>VXLAN Load Balancing with ECMP</v>
      </c>
      <c r="F134" s="6">
        <v>8.0</v>
      </c>
      <c r="G134" s="2" t="s">
        <v>312</v>
      </c>
      <c r="H134" s="13" t="s">
        <v>199</v>
      </c>
      <c r="I134" s="13" t="s">
        <v>18</v>
      </c>
      <c r="J134" s="13" t="s">
        <v>18</v>
      </c>
      <c r="K134" s="13" t="s">
        <v>18</v>
      </c>
      <c r="L134" s="13" t="s">
        <v>19</v>
      </c>
      <c r="M134" s="13"/>
      <c r="N134" s="13" t="s">
        <v>304</v>
      </c>
    </row>
    <row r="135">
      <c r="A135" s="14"/>
      <c r="B135" s="3" t="s">
        <v>313</v>
      </c>
      <c r="C135" s="4" t="s">
        <v>100</v>
      </c>
      <c r="D135" s="5">
        <v>0.013888888888888888</v>
      </c>
      <c r="E135" s="14" t="str">
        <f t="shared" si="1"/>
        <v>VXLAN Load Balancing with ECMP</v>
      </c>
      <c r="F135" s="6">
        <v>8.0</v>
      </c>
      <c r="G135" s="14"/>
      <c r="H135" s="15"/>
      <c r="I135" s="15">
        <v>2025.1</v>
      </c>
      <c r="J135" s="15" t="s">
        <v>101</v>
      </c>
      <c r="K135" s="15" t="s">
        <v>18</v>
      </c>
      <c r="L135" s="15"/>
      <c r="M135" s="15"/>
      <c r="N135" s="15" t="s">
        <v>304</v>
      </c>
    </row>
    <row r="136">
      <c r="A136" s="2"/>
      <c r="B136" s="16" t="s">
        <v>314</v>
      </c>
      <c r="C136" s="4" t="s">
        <v>15</v>
      </c>
      <c r="D136" s="12">
        <v>0.023078703703703702</v>
      </c>
      <c r="E136" s="2" t="str">
        <f t="shared" si="1"/>
        <v>Lab - Configure VXLAN Dataplane with HER</v>
      </c>
      <c r="F136" s="6">
        <v>8.0</v>
      </c>
      <c r="G136" s="2" t="s">
        <v>315</v>
      </c>
      <c r="H136" s="13" t="s">
        <v>199</v>
      </c>
      <c r="I136" s="13" t="s">
        <v>18</v>
      </c>
      <c r="J136" s="13" t="s">
        <v>18</v>
      </c>
      <c r="K136" s="13" t="s">
        <v>18</v>
      </c>
      <c r="L136" s="13" t="s">
        <v>19</v>
      </c>
      <c r="M136" s="13"/>
      <c r="N136" s="13" t="s">
        <v>316</v>
      </c>
    </row>
    <row r="137">
      <c r="A137" s="2"/>
      <c r="B137" s="16" t="s">
        <v>317</v>
      </c>
      <c r="C137" s="4" t="s">
        <v>15</v>
      </c>
      <c r="D137" s="12">
        <v>0.029097222222222222</v>
      </c>
      <c r="E137" s="2" t="str">
        <f t="shared" si="1"/>
        <v>Lab - Configure VXLAN Dataplane with HER</v>
      </c>
      <c r="F137" s="6">
        <v>8.0</v>
      </c>
      <c r="G137" s="2" t="s">
        <v>318</v>
      </c>
      <c r="H137" s="13" t="s">
        <v>199</v>
      </c>
      <c r="I137" s="13" t="s">
        <v>18</v>
      </c>
      <c r="J137" s="13" t="s">
        <v>18</v>
      </c>
      <c r="K137" s="13" t="s">
        <v>18</v>
      </c>
      <c r="L137" s="13" t="s">
        <v>19</v>
      </c>
      <c r="M137" s="13"/>
      <c r="N137" s="13" t="s">
        <v>316</v>
      </c>
    </row>
    <row r="138">
      <c r="A138" s="2"/>
      <c r="B138" s="16" t="s">
        <v>319</v>
      </c>
      <c r="C138" s="4" t="s">
        <v>15</v>
      </c>
      <c r="D138" s="12">
        <v>0.012847222222222222</v>
      </c>
      <c r="E138" s="2" t="str">
        <f t="shared" si="1"/>
        <v>Configuring VXLAN with MLAG</v>
      </c>
      <c r="F138" s="6">
        <v>5.0</v>
      </c>
      <c r="G138" s="2" t="s">
        <v>320</v>
      </c>
      <c r="H138" s="13" t="s">
        <v>199</v>
      </c>
      <c r="I138" s="13" t="s">
        <v>18</v>
      </c>
      <c r="J138" s="13" t="s">
        <v>18</v>
      </c>
      <c r="K138" s="13" t="s">
        <v>18</v>
      </c>
      <c r="L138" s="13" t="s">
        <v>19</v>
      </c>
      <c r="M138" s="13"/>
      <c r="N138" s="13" t="s">
        <v>321</v>
      </c>
    </row>
    <row r="139">
      <c r="A139" s="2"/>
      <c r="B139" s="16" t="s">
        <v>322</v>
      </c>
      <c r="C139" s="4" t="s">
        <v>15</v>
      </c>
      <c r="D139" s="12">
        <v>0.015439814814814814</v>
      </c>
      <c r="E139" s="2" t="str">
        <f t="shared" si="1"/>
        <v>Configuring VXLAN with MLAG</v>
      </c>
      <c r="F139" s="6">
        <v>8.0</v>
      </c>
      <c r="G139" s="2" t="s">
        <v>323</v>
      </c>
      <c r="H139" s="13" t="s">
        <v>199</v>
      </c>
      <c r="I139" s="13" t="s">
        <v>18</v>
      </c>
      <c r="J139" s="13" t="s">
        <v>18</v>
      </c>
      <c r="K139" s="13" t="s">
        <v>18</v>
      </c>
      <c r="L139" s="13" t="s">
        <v>19</v>
      </c>
      <c r="M139" s="13"/>
      <c r="N139" s="13" t="s">
        <v>321</v>
      </c>
    </row>
    <row r="140">
      <c r="A140" s="2"/>
      <c r="B140" s="16" t="s">
        <v>324</v>
      </c>
      <c r="C140" s="4" t="s">
        <v>15</v>
      </c>
      <c r="D140" s="12">
        <v>0.01704861111111111</v>
      </c>
      <c r="E140" s="2" t="str">
        <f t="shared" si="1"/>
        <v>DF Bit, VTEP, MLAG, and Timers</v>
      </c>
      <c r="F140" s="6">
        <v>8.0</v>
      </c>
      <c r="G140" s="2" t="s">
        <v>325</v>
      </c>
      <c r="H140" s="13" t="s">
        <v>199</v>
      </c>
      <c r="I140" s="13" t="s">
        <v>18</v>
      </c>
      <c r="J140" s="13" t="s">
        <v>18</v>
      </c>
      <c r="K140" s="13" t="s">
        <v>18</v>
      </c>
      <c r="L140" s="13" t="s">
        <v>19</v>
      </c>
      <c r="M140" s="13"/>
      <c r="N140" s="13" t="s">
        <v>326</v>
      </c>
    </row>
    <row r="141">
      <c r="A141" s="2"/>
      <c r="B141" s="16" t="s">
        <v>327</v>
      </c>
      <c r="C141" s="4" t="s">
        <v>15</v>
      </c>
      <c r="D141" s="12">
        <v>0.015625</v>
      </c>
      <c r="E141" s="2" t="str">
        <f t="shared" si="1"/>
        <v>Troubleshooting VxLAN</v>
      </c>
      <c r="F141" s="6">
        <v>8.0</v>
      </c>
      <c r="G141" s="2" t="s">
        <v>328</v>
      </c>
      <c r="H141" s="13" t="s">
        <v>199</v>
      </c>
      <c r="I141" s="13" t="s">
        <v>18</v>
      </c>
      <c r="J141" s="13" t="s">
        <v>18</v>
      </c>
      <c r="K141" s="13" t="s">
        <v>18</v>
      </c>
      <c r="L141" s="13" t="s">
        <v>19</v>
      </c>
      <c r="M141" s="13"/>
      <c r="N141" s="13" t="s">
        <v>329</v>
      </c>
    </row>
    <row r="142">
      <c r="A142" s="2"/>
      <c r="B142" s="16" t="s">
        <v>330</v>
      </c>
      <c r="C142" s="4" t="s">
        <v>15</v>
      </c>
      <c r="D142" s="12">
        <v>0.018692129629629628</v>
      </c>
      <c r="E142" s="2" t="str">
        <f t="shared" si="1"/>
        <v>Troubleshooting VxLAN</v>
      </c>
      <c r="F142" s="6">
        <v>8.0</v>
      </c>
      <c r="G142" s="2" t="s">
        <v>331</v>
      </c>
      <c r="H142" s="13" t="s">
        <v>199</v>
      </c>
      <c r="I142" s="13" t="s">
        <v>18</v>
      </c>
      <c r="J142" s="13" t="s">
        <v>18</v>
      </c>
      <c r="K142" s="13" t="s">
        <v>18</v>
      </c>
      <c r="L142" s="13" t="s">
        <v>19</v>
      </c>
      <c r="M142" s="13"/>
      <c r="N142" s="13" t="s">
        <v>329</v>
      </c>
    </row>
    <row r="143">
      <c r="A143" s="2"/>
      <c r="B143" s="16" t="s">
        <v>332</v>
      </c>
      <c r="C143" s="4" t="s">
        <v>15</v>
      </c>
      <c r="D143" s="12">
        <v>0.016030092592592592</v>
      </c>
      <c r="E143" s="2" t="str">
        <f t="shared" si="1"/>
        <v>Troubleshooting VxLAN</v>
      </c>
      <c r="F143" s="6">
        <v>6.0</v>
      </c>
      <c r="G143" s="2" t="s">
        <v>333</v>
      </c>
      <c r="H143" s="13" t="s">
        <v>199</v>
      </c>
      <c r="I143" s="13" t="s">
        <v>18</v>
      </c>
      <c r="J143" s="13" t="s">
        <v>18</v>
      </c>
      <c r="K143" s="13" t="s">
        <v>18</v>
      </c>
      <c r="L143" s="13" t="s">
        <v>19</v>
      </c>
      <c r="M143" s="13"/>
      <c r="N143" s="13" t="s">
        <v>329</v>
      </c>
    </row>
    <row r="144">
      <c r="A144" s="2"/>
      <c r="B144" s="16" t="s">
        <v>334</v>
      </c>
      <c r="C144" s="4" t="s">
        <v>15</v>
      </c>
      <c r="D144" s="12">
        <v>0.011458333333333333</v>
      </c>
      <c r="E144" s="2" t="str">
        <f t="shared" si="1"/>
        <v>Troubleshooting VxLAN</v>
      </c>
      <c r="F144" s="6">
        <v>8.0</v>
      </c>
      <c r="G144" s="2" t="s">
        <v>335</v>
      </c>
      <c r="H144" s="13" t="s">
        <v>199</v>
      </c>
      <c r="I144" s="13" t="s">
        <v>18</v>
      </c>
      <c r="J144" s="13" t="s">
        <v>18</v>
      </c>
      <c r="K144" s="13" t="s">
        <v>18</v>
      </c>
      <c r="L144" s="13" t="s">
        <v>19</v>
      </c>
      <c r="M144" s="13"/>
      <c r="N144" s="13" t="s">
        <v>329</v>
      </c>
    </row>
    <row r="145">
      <c r="A145" s="2"/>
      <c r="B145" s="16" t="s">
        <v>336</v>
      </c>
      <c r="C145" s="4" t="s">
        <v>15</v>
      </c>
      <c r="D145" s="12">
        <v>0.018194444444444444</v>
      </c>
      <c r="E145" s="2" t="str">
        <f t="shared" si="1"/>
        <v>Troubleshooting VxLAN</v>
      </c>
      <c r="F145" s="6">
        <v>8.0</v>
      </c>
      <c r="G145" s="2" t="s">
        <v>337</v>
      </c>
      <c r="H145" s="13" t="s">
        <v>199</v>
      </c>
      <c r="I145" s="13" t="s">
        <v>18</v>
      </c>
      <c r="J145" s="13" t="s">
        <v>18</v>
      </c>
      <c r="K145" s="13" t="s">
        <v>18</v>
      </c>
      <c r="L145" s="13" t="s">
        <v>19</v>
      </c>
      <c r="M145" s="13"/>
      <c r="N145" s="13" t="s">
        <v>329</v>
      </c>
    </row>
    <row r="146">
      <c r="A146" s="2"/>
      <c r="B146" s="16" t="s">
        <v>338</v>
      </c>
      <c r="C146" s="4" t="s">
        <v>15</v>
      </c>
      <c r="D146" s="12">
        <v>0.014548611111111111</v>
      </c>
      <c r="E146" s="2" t="str">
        <f t="shared" si="1"/>
        <v>Troubleshooting VxLAN</v>
      </c>
      <c r="F146" s="6">
        <v>8.0</v>
      </c>
      <c r="G146" s="2" t="s">
        <v>339</v>
      </c>
      <c r="H146" s="13" t="s">
        <v>199</v>
      </c>
      <c r="I146" s="13" t="s">
        <v>18</v>
      </c>
      <c r="J146" s="13" t="s">
        <v>18</v>
      </c>
      <c r="K146" s="13" t="s">
        <v>18</v>
      </c>
      <c r="L146" s="13" t="s">
        <v>19</v>
      </c>
      <c r="M146" s="13"/>
      <c r="N146" s="13" t="s">
        <v>329</v>
      </c>
    </row>
    <row r="147">
      <c r="A147" s="2"/>
      <c r="B147" s="16" t="s">
        <v>340</v>
      </c>
      <c r="C147" s="4" t="s">
        <v>15</v>
      </c>
      <c r="D147" s="12">
        <v>0.019363425925925926</v>
      </c>
      <c r="E147" s="2" t="str">
        <f t="shared" si="1"/>
        <v>Troubleshooting VxLAN</v>
      </c>
      <c r="F147" s="6">
        <v>9.0</v>
      </c>
      <c r="G147" s="2" t="s">
        <v>341</v>
      </c>
      <c r="H147" s="13" t="s">
        <v>199</v>
      </c>
      <c r="I147" s="13" t="s">
        <v>18</v>
      </c>
      <c r="J147" s="13" t="s">
        <v>18</v>
      </c>
      <c r="K147" s="13" t="s">
        <v>18</v>
      </c>
      <c r="L147" s="13" t="s">
        <v>19</v>
      </c>
      <c r="M147" s="13"/>
      <c r="N147" s="13" t="s">
        <v>329</v>
      </c>
    </row>
    <row r="148">
      <c r="A148" s="2"/>
      <c r="B148" s="16" t="s">
        <v>342</v>
      </c>
      <c r="C148" s="4" t="s">
        <v>15</v>
      </c>
      <c r="D148" s="12">
        <v>0.015902777777777776</v>
      </c>
      <c r="E148" s="2" t="str">
        <f t="shared" si="1"/>
        <v>Troubleshooting VxLAN</v>
      </c>
      <c r="F148" s="6">
        <v>9.0</v>
      </c>
      <c r="G148" s="2" t="s">
        <v>343</v>
      </c>
      <c r="H148" s="13" t="s">
        <v>199</v>
      </c>
      <c r="I148" s="13" t="s">
        <v>18</v>
      </c>
      <c r="J148" s="13" t="s">
        <v>18</v>
      </c>
      <c r="K148" s="13" t="s">
        <v>18</v>
      </c>
      <c r="L148" s="13" t="s">
        <v>19</v>
      </c>
      <c r="M148" s="13"/>
      <c r="N148" s="13" t="s">
        <v>329</v>
      </c>
    </row>
    <row r="149">
      <c r="A149" s="2"/>
      <c r="B149" s="16" t="s">
        <v>344</v>
      </c>
      <c r="C149" s="4" t="s">
        <v>15</v>
      </c>
      <c r="D149" s="12">
        <v>0.013738425925925926</v>
      </c>
      <c r="E149" s="2" t="str">
        <f t="shared" si="1"/>
        <v>eVPN Route Type 5 (IP Prefix)</v>
      </c>
      <c r="F149" s="6">
        <v>8.0</v>
      </c>
      <c r="G149" s="2" t="s">
        <v>345</v>
      </c>
      <c r="H149" s="13" t="s">
        <v>199</v>
      </c>
      <c r="I149" s="13" t="s">
        <v>18</v>
      </c>
      <c r="J149" s="13" t="s">
        <v>18</v>
      </c>
      <c r="K149" s="13" t="s">
        <v>18</v>
      </c>
      <c r="L149" s="13" t="s">
        <v>19</v>
      </c>
      <c r="M149" s="13"/>
      <c r="N149" s="13" t="s">
        <v>346</v>
      </c>
    </row>
    <row r="150">
      <c r="A150" s="2"/>
      <c r="B150" s="16" t="s">
        <v>347</v>
      </c>
      <c r="C150" s="4" t="s">
        <v>15</v>
      </c>
      <c r="D150" s="12">
        <v>0.010428240740740741</v>
      </c>
      <c r="E150" s="2" t="str">
        <f t="shared" si="1"/>
        <v>eVPN Route Type 5 (IP Prefix)</v>
      </c>
      <c r="F150" s="6">
        <v>9.0</v>
      </c>
      <c r="G150" s="2" t="s">
        <v>348</v>
      </c>
      <c r="H150" s="13" t="s">
        <v>199</v>
      </c>
      <c r="I150" s="13" t="s">
        <v>18</v>
      </c>
      <c r="J150" s="13" t="s">
        <v>18</v>
      </c>
      <c r="K150" s="13" t="s">
        <v>18</v>
      </c>
      <c r="L150" s="13" t="s">
        <v>19</v>
      </c>
      <c r="M150" s="13"/>
      <c r="N150" s="13" t="s">
        <v>346</v>
      </c>
    </row>
    <row r="151">
      <c r="A151" s="2"/>
      <c r="B151" s="16" t="s">
        <v>349</v>
      </c>
      <c r="C151" s="4" t="s">
        <v>15</v>
      </c>
      <c r="D151" s="12">
        <v>0.020613425925925927</v>
      </c>
      <c r="E151" s="2" t="str">
        <f t="shared" si="1"/>
        <v>eVPN Route Type 5 (IP Prefix)</v>
      </c>
      <c r="F151" s="6">
        <v>9.0</v>
      </c>
      <c r="G151" s="2" t="s">
        <v>350</v>
      </c>
      <c r="H151" s="13" t="s">
        <v>199</v>
      </c>
      <c r="I151" s="13" t="s">
        <v>18</v>
      </c>
      <c r="J151" s="13" t="s">
        <v>18</v>
      </c>
      <c r="K151" s="13" t="s">
        <v>18</v>
      </c>
      <c r="L151" s="13" t="s">
        <v>19</v>
      </c>
      <c r="M151" s="13"/>
      <c r="N151" s="13" t="s">
        <v>346</v>
      </c>
    </row>
    <row r="152">
      <c r="A152" s="2"/>
      <c r="B152" s="16" t="s">
        <v>351</v>
      </c>
      <c r="C152" s="4" t="s">
        <v>15</v>
      </c>
      <c r="D152" s="12">
        <v>0.0203125</v>
      </c>
      <c r="E152" s="2" t="str">
        <f t="shared" si="1"/>
        <v>eVPN Route Type 5 (IP Prefix)</v>
      </c>
      <c r="F152" s="6">
        <v>9.0</v>
      </c>
      <c r="G152" s="2" t="s">
        <v>352</v>
      </c>
      <c r="H152" s="13" t="s">
        <v>199</v>
      </c>
      <c r="I152" s="13" t="s">
        <v>18</v>
      </c>
      <c r="J152" s="13" t="s">
        <v>18</v>
      </c>
      <c r="K152" s="13" t="s">
        <v>18</v>
      </c>
      <c r="L152" s="13" t="s">
        <v>19</v>
      </c>
      <c r="M152" s="13"/>
      <c r="N152" s="13" t="s">
        <v>346</v>
      </c>
    </row>
    <row r="153">
      <c r="A153" s="14"/>
      <c r="B153" s="16" t="s">
        <v>353</v>
      </c>
      <c r="C153" s="4" t="s">
        <v>100</v>
      </c>
      <c r="D153" s="5">
        <v>0.013888888888888888</v>
      </c>
      <c r="E153" s="14" t="str">
        <f t="shared" si="1"/>
        <v>eVPN Route Type 5 (IP Prefix)</v>
      </c>
      <c r="F153" s="6">
        <v>9.0</v>
      </c>
      <c r="G153" s="14"/>
      <c r="H153" s="15" t="s">
        <v>199</v>
      </c>
      <c r="I153" s="15" t="s">
        <v>18</v>
      </c>
      <c r="J153" s="15" t="s">
        <v>18</v>
      </c>
      <c r="K153" s="15" t="s">
        <v>18</v>
      </c>
      <c r="L153" s="15" t="s">
        <v>19</v>
      </c>
      <c r="M153" s="15"/>
      <c r="N153" s="15" t="s">
        <v>346</v>
      </c>
    </row>
    <row r="154">
      <c r="A154" s="2"/>
      <c r="B154" s="16" t="s">
        <v>354</v>
      </c>
      <c r="C154" s="4" t="s">
        <v>15</v>
      </c>
      <c r="D154" s="12">
        <v>0.015856481481481482</v>
      </c>
      <c r="E154" s="2" t="str">
        <f t="shared" si="1"/>
        <v>Lab - L3 EVPN Asymmetric IRB</v>
      </c>
      <c r="F154" s="6">
        <v>9.0</v>
      </c>
      <c r="G154" s="2" t="s">
        <v>355</v>
      </c>
      <c r="H154" s="13" t="s">
        <v>199</v>
      </c>
      <c r="I154" s="13" t="s">
        <v>18</v>
      </c>
      <c r="J154" s="13" t="s">
        <v>18</v>
      </c>
      <c r="K154" s="13" t="s">
        <v>18</v>
      </c>
      <c r="L154" s="13" t="s">
        <v>19</v>
      </c>
      <c r="M154" s="13"/>
      <c r="N154" s="13" t="s">
        <v>356</v>
      </c>
    </row>
    <row r="155">
      <c r="A155" s="2"/>
      <c r="B155" s="16" t="s">
        <v>357</v>
      </c>
      <c r="C155" s="4" t="s">
        <v>15</v>
      </c>
      <c r="D155" s="12">
        <v>0.009965277777777778</v>
      </c>
      <c r="E155" s="2" t="str">
        <f t="shared" si="1"/>
        <v>Lab - L3 EVPN Asymmetric IRB</v>
      </c>
      <c r="F155" s="6">
        <v>9.0</v>
      </c>
      <c r="G155" s="2" t="s">
        <v>358</v>
      </c>
      <c r="H155" s="13" t="s">
        <v>199</v>
      </c>
      <c r="I155" s="13" t="s">
        <v>18</v>
      </c>
      <c r="J155" s="13" t="s">
        <v>18</v>
      </c>
      <c r="K155" s="13" t="s">
        <v>18</v>
      </c>
      <c r="L155" s="13" t="s">
        <v>19</v>
      </c>
      <c r="M155" s="13"/>
      <c r="N155" s="13" t="s">
        <v>356</v>
      </c>
    </row>
    <row r="156">
      <c r="A156" s="2"/>
      <c r="B156" s="16" t="s">
        <v>359</v>
      </c>
      <c r="C156" s="4" t="s">
        <v>15</v>
      </c>
      <c r="D156" s="12">
        <v>0.01982638888888889</v>
      </c>
      <c r="E156" s="2" t="str">
        <f t="shared" si="1"/>
        <v>Lab - L3 EVPN Asymmetric IRB</v>
      </c>
      <c r="F156" s="6">
        <v>9.0</v>
      </c>
      <c r="G156" s="2" t="s">
        <v>360</v>
      </c>
      <c r="H156" s="13" t="s">
        <v>199</v>
      </c>
      <c r="I156" s="13" t="s">
        <v>18</v>
      </c>
      <c r="J156" s="13" t="s">
        <v>18</v>
      </c>
      <c r="K156" s="13" t="s">
        <v>18</v>
      </c>
      <c r="L156" s="13" t="s">
        <v>19</v>
      </c>
      <c r="M156" s="13"/>
      <c r="N156" s="13" t="s">
        <v>356</v>
      </c>
    </row>
    <row r="157">
      <c r="A157" s="2"/>
      <c r="B157" s="16" t="s">
        <v>361</v>
      </c>
      <c r="C157" s="4" t="s">
        <v>15</v>
      </c>
      <c r="D157" s="12">
        <v>0.017418981481481483</v>
      </c>
      <c r="E157" s="2" t="str">
        <f t="shared" si="1"/>
        <v>Lab - L3 EVPN Asymmetric IRB</v>
      </c>
      <c r="F157" s="6">
        <v>9.0</v>
      </c>
      <c r="G157" s="2" t="s">
        <v>362</v>
      </c>
      <c r="H157" s="13" t="s">
        <v>199</v>
      </c>
      <c r="I157" s="13" t="s">
        <v>18</v>
      </c>
      <c r="J157" s="13" t="s">
        <v>18</v>
      </c>
      <c r="K157" s="13" t="s">
        <v>18</v>
      </c>
      <c r="L157" s="13" t="s">
        <v>19</v>
      </c>
      <c r="M157" s="13"/>
      <c r="N157" s="13" t="s">
        <v>356</v>
      </c>
    </row>
    <row r="158">
      <c r="A158" s="14"/>
      <c r="B158" s="16" t="s">
        <v>363</v>
      </c>
      <c r="C158" s="4" t="s">
        <v>100</v>
      </c>
      <c r="D158" s="5">
        <v>0.013888888888888888</v>
      </c>
      <c r="E158" s="14" t="str">
        <f t="shared" si="1"/>
        <v>Lab - L3 EVPN Asymmetric IRB</v>
      </c>
      <c r="F158" s="6">
        <v>9.0</v>
      </c>
      <c r="G158" s="14"/>
      <c r="H158" s="15" t="s">
        <v>199</v>
      </c>
      <c r="I158" s="15" t="s">
        <v>18</v>
      </c>
      <c r="J158" s="15" t="s">
        <v>18</v>
      </c>
      <c r="K158" s="15" t="s">
        <v>18</v>
      </c>
      <c r="L158" s="15" t="s">
        <v>19</v>
      </c>
      <c r="M158" s="15"/>
      <c r="N158" s="15" t="s">
        <v>356</v>
      </c>
    </row>
    <row r="159">
      <c r="A159" s="2"/>
      <c r="B159" s="16" t="s">
        <v>364</v>
      </c>
      <c r="C159" s="4" t="s">
        <v>15</v>
      </c>
      <c r="D159" s="12">
        <v>0.015729166666666666</v>
      </c>
      <c r="E159" s="2" t="str">
        <f t="shared" si="1"/>
        <v>Lab - EVPN Multihoming</v>
      </c>
      <c r="F159" s="6">
        <v>8.0</v>
      </c>
      <c r="G159" s="2" t="s">
        <v>365</v>
      </c>
      <c r="H159" s="13" t="s">
        <v>199</v>
      </c>
      <c r="I159" s="13" t="s">
        <v>18</v>
      </c>
      <c r="J159" s="13" t="s">
        <v>18</v>
      </c>
      <c r="K159" s="13" t="s">
        <v>18</v>
      </c>
      <c r="L159" s="13" t="s">
        <v>19</v>
      </c>
      <c r="M159" s="13"/>
      <c r="N159" s="13" t="s">
        <v>366</v>
      </c>
    </row>
    <row r="160">
      <c r="A160" s="2"/>
      <c r="B160" s="16" t="s">
        <v>367</v>
      </c>
      <c r="C160" s="4" t="s">
        <v>15</v>
      </c>
      <c r="D160" s="12">
        <v>0.016238425925925927</v>
      </c>
      <c r="E160" s="2" t="str">
        <f t="shared" si="1"/>
        <v>Lab - EVPN Multihoming</v>
      </c>
      <c r="F160" s="6">
        <v>8.0</v>
      </c>
      <c r="G160" s="2" t="s">
        <v>368</v>
      </c>
      <c r="H160" s="13" t="s">
        <v>199</v>
      </c>
      <c r="I160" s="13" t="s">
        <v>18</v>
      </c>
      <c r="J160" s="13" t="s">
        <v>18</v>
      </c>
      <c r="K160" s="13" t="s">
        <v>18</v>
      </c>
      <c r="L160" s="13" t="s">
        <v>19</v>
      </c>
      <c r="M160" s="13"/>
      <c r="N160" s="13" t="s">
        <v>366</v>
      </c>
    </row>
    <row r="161">
      <c r="A161" s="2"/>
      <c r="B161" s="16" t="s">
        <v>369</v>
      </c>
      <c r="C161" s="4" t="s">
        <v>15</v>
      </c>
      <c r="D161" s="12">
        <v>0.010891203703703703</v>
      </c>
      <c r="E161" s="2" t="str">
        <f t="shared" si="1"/>
        <v>eBGP for Underlay and Overlay</v>
      </c>
      <c r="F161" s="6">
        <v>7.0</v>
      </c>
      <c r="G161" s="2" t="s">
        <v>370</v>
      </c>
      <c r="H161" s="13" t="s">
        <v>199</v>
      </c>
      <c r="I161" s="13">
        <v>2025.1</v>
      </c>
      <c r="J161" s="13" t="s">
        <v>101</v>
      </c>
      <c r="K161" s="13" t="s">
        <v>18</v>
      </c>
      <c r="L161" s="13" t="s">
        <v>254</v>
      </c>
      <c r="M161" s="13"/>
      <c r="N161" s="13" t="s">
        <v>371</v>
      </c>
    </row>
    <row r="162">
      <c r="A162" s="14"/>
      <c r="B162" s="16" t="s">
        <v>372</v>
      </c>
      <c r="C162" s="4" t="s">
        <v>100</v>
      </c>
      <c r="D162" s="5">
        <v>0.013888888888888888</v>
      </c>
      <c r="E162" s="14" t="str">
        <f t="shared" si="1"/>
        <v>eBGP for Underlay and Overlay</v>
      </c>
      <c r="F162" s="6">
        <v>8.0</v>
      </c>
      <c r="G162" s="14"/>
      <c r="H162" s="15" t="s">
        <v>199</v>
      </c>
      <c r="I162" s="15">
        <v>2025.1</v>
      </c>
      <c r="J162" s="15" t="s">
        <v>101</v>
      </c>
      <c r="K162" s="15" t="s">
        <v>18</v>
      </c>
      <c r="L162" s="15" t="s">
        <v>254</v>
      </c>
      <c r="M162" s="15"/>
      <c r="N162" s="15" t="s">
        <v>371</v>
      </c>
    </row>
    <row r="163">
      <c r="A163" s="2"/>
      <c r="B163" s="16" t="s">
        <v>373</v>
      </c>
      <c r="C163" s="4" t="s">
        <v>15</v>
      </c>
      <c r="D163" s="12">
        <v>0.014004629629629629</v>
      </c>
      <c r="E163" s="2" t="str">
        <f t="shared" si="1"/>
        <v>Lab - Building L3LS, EVPN and MLAG in DC with Studios</v>
      </c>
      <c r="F163" s="6">
        <v>3.0</v>
      </c>
      <c r="G163" s="2" t="s">
        <v>374</v>
      </c>
      <c r="H163" s="13" t="s">
        <v>17</v>
      </c>
      <c r="I163" s="13" t="s">
        <v>18</v>
      </c>
      <c r="J163" s="13" t="s">
        <v>18</v>
      </c>
      <c r="K163" s="13" t="s">
        <v>18</v>
      </c>
      <c r="L163" s="13" t="s">
        <v>254</v>
      </c>
      <c r="M163" s="13" t="s">
        <v>257</v>
      </c>
      <c r="N163" s="13" t="s">
        <v>375</v>
      </c>
    </row>
    <row r="164">
      <c r="A164" s="2"/>
      <c r="B164" s="16" t="s">
        <v>376</v>
      </c>
      <c r="C164" s="4" t="s">
        <v>15</v>
      </c>
      <c r="D164" s="12">
        <v>0.008310185185185184</v>
      </c>
      <c r="E164" s="2" t="str">
        <f t="shared" si="1"/>
        <v>Lab - Building L3LS, EVPN and MLAG in DC with Studios</v>
      </c>
      <c r="F164" s="6">
        <v>3.0</v>
      </c>
      <c r="G164" s="2" t="s">
        <v>377</v>
      </c>
      <c r="H164" s="13" t="s">
        <v>199</v>
      </c>
      <c r="I164" s="13" t="s">
        <v>18</v>
      </c>
      <c r="J164" s="13" t="s">
        <v>18</v>
      </c>
      <c r="K164" s="13" t="s">
        <v>18</v>
      </c>
      <c r="L164" s="13" t="s">
        <v>19</v>
      </c>
      <c r="M164" s="13"/>
      <c r="N164" s="13" t="s">
        <v>375</v>
      </c>
    </row>
    <row r="165">
      <c r="A165" s="2"/>
      <c r="B165" s="16" t="s">
        <v>378</v>
      </c>
      <c r="C165" s="4" t="s">
        <v>15</v>
      </c>
      <c r="D165" s="12">
        <v>0.00829861111111111</v>
      </c>
      <c r="E165" s="2" t="str">
        <f t="shared" si="1"/>
        <v>Positioning CVP</v>
      </c>
      <c r="F165" s="6">
        <v>6.0</v>
      </c>
      <c r="G165" s="2" t="s">
        <v>379</v>
      </c>
      <c r="H165" s="13" t="s">
        <v>199</v>
      </c>
      <c r="I165" s="13" t="s">
        <v>18</v>
      </c>
      <c r="J165" s="13" t="s">
        <v>18</v>
      </c>
      <c r="K165" s="13" t="s">
        <v>18</v>
      </c>
      <c r="L165" s="13" t="s">
        <v>19</v>
      </c>
      <c r="M165" s="13"/>
      <c r="N165" s="13" t="s">
        <v>380</v>
      </c>
    </row>
    <row r="166">
      <c r="A166" s="2"/>
      <c r="B166" s="16" t="s">
        <v>381</v>
      </c>
      <c r="C166" s="4" t="s">
        <v>15</v>
      </c>
      <c r="D166" s="12">
        <v>0.01849537037037037</v>
      </c>
      <c r="E166" s="2" t="str">
        <f t="shared" si="1"/>
        <v>Positioning CVP</v>
      </c>
      <c r="F166" s="6">
        <v>6.0</v>
      </c>
      <c r="G166" s="2" t="s">
        <v>382</v>
      </c>
      <c r="H166" s="13" t="s">
        <v>17</v>
      </c>
      <c r="I166" s="13" t="s">
        <v>18</v>
      </c>
      <c r="J166" s="13" t="s">
        <v>18</v>
      </c>
      <c r="K166" s="13" t="s">
        <v>18</v>
      </c>
      <c r="L166" s="13" t="s">
        <v>254</v>
      </c>
      <c r="M166" s="13" t="s">
        <v>74</v>
      </c>
      <c r="N166" s="13" t="s">
        <v>380</v>
      </c>
    </row>
    <row r="167">
      <c r="A167" s="2"/>
      <c r="B167" s="16" t="s">
        <v>383</v>
      </c>
      <c r="C167" s="4" t="s">
        <v>15</v>
      </c>
      <c r="D167" s="12">
        <v>0.012534722222222221</v>
      </c>
      <c r="E167" s="2" t="str">
        <f t="shared" si="1"/>
        <v>Positioning CVP</v>
      </c>
      <c r="F167" s="6">
        <v>5.0</v>
      </c>
      <c r="G167" s="2" t="s">
        <v>384</v>
      </c>
      <c r="H167" s="13" t="s">
        <v>199</v>
      </c>
      <c r="I167" s="13">
        <v>2025.1</v>
      </c>
      <c r="J167" s="13" t="s">
        <v>101</v>
      </c>
      <c r="K167" s="13" t="s">
        <v>18</v>
      </c>
      <c r="L167" s="13" t="s">
        <v>19</v>
      </c>
      <c r="M167" s="13"/>
      <c r="N167" s="13" t="s">
        <v>380</v>
      </c>
    </row>
    <row r="168">
      <c r="A168" s="2"/>
      <c r="B168" s="16" t="s">
        <v>385</v>
      </c>
      <c r="C168" s="4" t="s">
        <v>15</v>
      </c>
      <c r="D168" s="12">
        <v>0.01638888888888889</v>
      </c>
      <c r="E168" s="2" t="str">
        <f t="shared" si="1"/>
        <v>Positioning CVP</v>
      </c>
      <c r="F168" s="6">
        <v>3.0</v>
      </c>
      <c r="G168" s="2" t="s">
        <v>386</v>
      </c>
      <c r="H168" s="13" t="s">
        <v>199</v>
      </c>
      <c r="I168" s="13">
        <v>2025.1</v>
      </c>
      <c r="J168" s="13" t="s">
        <v>101</v>
      </c>
      <c r="K168" s="13" t="s">
        <v>18</v>
      </c>
      <c r="L168" s="13" t="s">
        <v>254</v>
      </c>
      <c r="M168" s="13"/>
      <c r="N168" s="13" t="s">
        <v>380</v>
      </c>
    </row>
    <row r="169">
      <c r="A169" s="2"/>
      <c r="B169" s="16" t="s">
        <v>387</v>
      </c>
      <c r="C169" s="4" t="s">
        <v>15</v>
      </c>
      <c r="D169" s="12">
        <v>0.0018171296296296297</v>
      </c>
      <c r="E169" s="2" t="str">
        <f t="shared" si="1"/>
        <v>Positioning CVP</v>
      </c>
      <c r="F169" s="6">
        <v>4.0</v>
      </c>
      <c r="G169" s="2" t="s">
        <v>388</v>
      </c>
      <c r="H169" s="13" t="s">
        <v>17</v>
      </c>
      <c r="I169" s="13" t="s">
        <v>18</v>
      </c>
      <c r="J169" s="13" t="s">
        <v>18</v>
      </c>
      <c r="K169" s="13" t="s">
        <v>18</v>
      </c>
      <c r="L169" s="13" t="s">
        <v>254</v>
      </c>
      <c r="M169" s="13" t="s">
        <v>74</v>
      </c>
      <c r="N169" s="13" t="s">
        <v>380</v>
      </c>
    </row>
    <row r="170">
      <c r="A170" s="2"/>
      <c r="B170" s="16" t="s">
        <v>389</v>
      </c>
      <c r="C170" s="4" t="s">
        <v>15</v>
      </c>
      <c r="D170" s="12">
        <v>0.0011689814814814816</v>
      </c>
      <c r="E170" s="2" t="str">
        <f t="shared" si="1"/>
        <v>Positioning CVP</v>
      </c>
      <c r="F170" s="6">
        <v>2.0</v>
      </c>
      <c r="G170" s="2" t="s">
        <v>390</v>
      </c>
      <c r="H170" s="13" t="s">
        <v>17</v>
      </c>
      <c r="I170" s="13" t="s">
        <v>18</v>
      </c>
      <c r="J170" s="13" t="s">
        <v>18</v>
      </c>
      <c r="K170" s="13" t="s">
        <v>18</v>
      </c>
      <c r="L170" s="13" t="s">
        <v>254</v>
      </c>
      <c r="M170" s="13" t="s">
        <v>74</v>
      </c>
      <c r="N170" s="13" t="s">
        <v>380</v>
      </c>
    </row>
    <row r="171">
      <c r="A171" s="2"/>
      <c r="B171" s="16" t="s">
        <v>391</v>
      </c>
      <c r="C171" s="4" t="s">
        <v>15</v>
      </c>
      <c r="D171" s="12">
        <v>6.365740740740741E-4</v>
      </c>
      <c r="E171" s="2" t="str">
        <f t="shared" si="1"/>
        <v>Positioning CVP</v>
      </c>
      <c r="F171" s="6">
        <v>3.0</v>
      </c>
      <c r="G171" s="2" t="s">
        <v>392</v>
      </c>
      <c r="H171" s="13" t="s">
        <v>17</v>
      </c>
      <c r="I171" s="13" t="s">
        <v>18</v>
      </c>
      <c r="J171" s="13" t="s">
        <v>18</v>
      </c>
      <c r="K171" s="13" t="s">
        <v>18</v>
      </c>
      <c r="L171" s="13" t="s">
        <v>254</v>
      </c>
      <c r="M171" s="13" t="s">
        <v>74</v>
      </c>
      <c r="N171" s="13" t="s">
        <v>380</v>
      </c>
    </row>
    <row r="172">
      <c r="A172" s="14"/>
      <c r="B172" s="16" t="s">
        <v>393</v>
      </c>
      <c r="C172" s="4" t="s">
        <v>100</v>
      </c>
      <c r="D172" s="5">
        <v>0.013888888888888888</v>
      </c>
      <c r="E172" s="14" t="str">
        <f t="shared" si="1"/>
        <v>Positioning CVP</v>
      </c>
      <c r="F172" s="6">
        <v>3.0</v>
      </c>
      <c r="G172" s="14"/>
      <c r="H172" s="15" t="s">
        <v>199</v>
      </c>
      <c r="I172" s="15">
        <v>2025.1</v>
      </c>
      <c r="J172" s="15" t="s">
        <v>101</v>
      </c>
      <c r="K172" s="15" t="s">
        <v>18</v>
      </c>
      <c r="L172" s="15" t="s">
        <v>254</v>
      </c>
      <c r="M172" s="15"/>
      <c r="N172" s="15" t="s">
        <v>380</v>
      </c>
    </row>
    <row r="173">
      <c r="A173" s="2"/>
      <c r="B173" s="16" t="s">
        <v>394</v>
      </c>
      <c r="C173" s="4" t="s">
        <v>15</v>
      </c>
      <c r="D173" s="12">
        <v>0.009965277777777778</v>
      </c>
      <c r="E173" s="2" t="str">
        <f t="shared" si="1"/>
        <v>Lab - Navigating CVP</v>
      </c>
      <c r="F173" s="6">
        <v>5.0</v>
      </c>
      <c r="G173" s="2" t="s">
        <v>395</v>
      </c>
      <c r="H173" s="13" t="s">
        <v>17</v>
      </c>
      <c r="I173" s="13" t="s">
        <v>18</v>
      </c>
      <c r="J173" s="13" t="s">
        <v>18</v>
      </c>
      <c r="K173" s="13" t="s">
        <v>18</v>
      </c>
      <c r="L173" s="13" t="s">
        <v>254</v>
      </c>
      <c r="M173" s="13" t="s">
        <v>257</v>
      </c>
      <c r="N173" s="13" t="s">
        <v>396</v>
      </c>
    </row>
    <row r="174">
      <c r="A174" s="2"/>
      <c r="B174" s="16" t="s">
        <v>397</v>
      </c>
      <c r="C174" s="4" t="s">
        <v>15</v>
      </c>
      <c r="D174" s="12">
        <v>0.002685185185185185</v>
      </c>
      <c r="E174" s="2" t="str">
        <f t="shared" si="1"/>
        <v>Connecting Devices to CloudVision</v>
      </c>
      <c r="F174" s="6">
        <v>4.0</v>
      </c>
      <c r="G174" s="2" t="s">
        <v>398</v>
      </c>
      <c r="H174" s="13" t="s">
        <v>17</v>
      </c>
      <c r="I174" s="13" t="s">
        <v>18</v>
      </c>
      <c r="J174" s="13" t="s">
        <v>18</v>
      </c>
      <c r="K174" s="13" t="s">
        <v>18</v>
      </c>
      <c r="L174" s="13" t="s">
        <v>254</v>
      </c>
      <c r="M174" s="13" t="s">
        <v>257</v>
      </c>
      <c r="N174" s="13" t="s">
        <v>399</v>
      </c>
    </row>
    <row r="175">
      <c r="A175" s="2"/>
      <c r="B175" s="16" t="s">
        <v>400</v>
      </c>
      <c r="C175" s="4" t="s">
        <v>15</v>
      </c>
      <c r="D175" s="12">
        <v>0.0030671296296296297</v>
      </c>
      <c r="E175" s="2" t="str">
        <f t="shared" si="1"/>
        <v>Connecting Devices to CloudVision</v>
      </c>
      <c r="F175" s="6">
        <v>4.0</v>
      </c>
      <c r="G175" s="2" t="s">
        <v>401</v>
      </c>
      <c r="H175" s="13" t="s">
        <v>17</v>
      </c>
      <c r="I175" s="13" t="s">
        <v>18</v>
      </c>
      <c r="J175" s="13" t="s">
        <v>18</v>
      </c>
      <c r="K175" s="13" t="s">
        <v>18</v>
      </c>
      <c r="L175" s="13" t="s">
        <v>254</v>
      </c>
      <c r="M175" s="13" t="s">
        <v>257</v>
      </c>
      <c r="N175" s="13" t="s">
        <v>399</v>
      </c>
    </row>
    <row r="176">
      <c r="A176" s="2"/>
      <c r="B176" s="16" t="s">
        <v>402</v>
      </c>
      <c r="C176" s="4" t="s">
        <v>15</v>
      </c>
      <c r="D176" s="12">
        <v>0.003969907407407407</v>
      </c>
      <c r="E176" s="2" t="str">
        <f t="shared" si="1"/>
        <v>Connecting Devices to CloudVision</v>
      </c>
      <c r="F176" s="6">
        <v>4.0</v>
      </c>
      <c r="G176" s="2" t="s">
        <v>403</v>
      </c>
      <c r="H176" s="13" t="s">
        <v>17</v>
      </c>
      <c r="I176" s="13" t="s">
        <v>18</v>
      </c>
      <c r="J176" s="13" t="s">
        <v>18</v>
      </c>
      <c r="K176" s="13" t="s">
        <v>18</v>
      </c>
      <c r="L176" s="13" t="s">
        <v>254</v>
      </c>
      <c r="M176" s="13" t="s">
        <v>257</v>
      </c>
      <c r="N176" s="13" t="s">
        <v>399</v>
      </c>
    </row>
    <row r="177">
      <c r="A177" s="2"/>
      <c r="B177" s="16" t="s">
        <v>404</v>
      </c>
      <c r="C177" s="4" t="s">
        <v>15</v>
      </c>
      <c r="D177" s="12">
        <v>0.009375</v>
      </c>
      <c r="E177" s="2" t="str">
        <f t="shared" si="1"/>
        <v>Connecting Devices to CloudVision</v>
      </c>
      <c r="F177" s="6">
        <v>5.0</v>
      </c>
      <c r="G177" s="2" t="s">
        <v>405</v>
      </c>
      <c r="H177" s="13" t="s">
        <v>17</v>
      </c>
      <c r="I177" s="13" t="s">
        <v>18</v>
      </c>
      <c r="J177" s="13" t="s">
        <v>18</v>
      </c>
      <c r="K177" s="13" t="s">
        <v>18</v>
      </c>
      <c r="L177" s="13" t="s">
        <v>254</v>
      </c>
      <c r="M177" s="13" t="s">
        <v>257</v>
      </c>
      <c r="N177" s="13" t="s">
        <v>399</v>
      </c>
    </row>
    <row r="178">
      <c r="A178" s="2"/>
      <c r="B178" s="16" t="s">
        <v>406</v>
      </c>
      <c r="C178" s="4" t="s">
        <v>15</v>
      </c>
      <c r="D178" s="12">
        <v>0.014027777777777778</v>
      </c>
      <c r="E178" s="2" t="str">
        <f t="shared" si="1"/>
        <v>Connecting Devices to CloudVision</v>
      </c>
      <c r="F178" s="6">
        <v>5.0</v>
      </c>
      <c r="G178" s="2" t="s">
        <v>407</v>
      </c>
      <c r="H178" s="13" t="s">
        <v>17</v>
      </c>
      <c r="I178" s="13" t="s">
        <v>18</v>
      </c>
      <c r="J178" s="13" t="s">
        <v>18</v>
      </c>
      <c r="K178" s="13" t="s">
        <v>18</v>
      </c>
      <c r="L178" s="13" t="s">
        <v>254</v>
      </c>
      <c r="M178" s="13" t="s">
        <v>257</v>
      </c>
      <c r="N178" s="13" t="s">
        <v>399</v>
      </c>
    </row>
    <row r="179">
      <c r="A179" s="2"/>
      <c r="B179" s="16" t="s">
        <v>408</v>
      </c>
      <c r="C179" s="4" t="s">
        <v>15</v>
      </c>
      <c r="D179" s="12">
        <v>0.0036226851851851854</v>
      </c>
      <c r="E179" s="2" t="str">
        <f t="shared" si="1"/>
        <v>Connecting Devices to CloudVision</v>
      </c>
      <c r="F179" s="6">
        <v>5.0</v>
      </c>
      <c r="G179" s="2" t="s">
        <v>409</v>
      </c>
      <c r="H179" s="13" t="s">
        <v>17</v>
      </c>
      <c r="I179" s="13" t="s">
        <v>18</v>
      </c>
      <c r="J179" s="13" t="s">
        <v>18</v>
      </c>
      <c r="K179" s="13" t="s">
        <v>18</v>
      </c>
      <c r="L179" s="13" t="s">
        <v>254</v>
      </c>
      <c r="M179" s="13" t="s">
        <v>257</v>
      </c>
      <c r="N179" s="13" t="s">
        <v>399</v>
      </c>
    </row>
    <row r="180">
      <c r="A180" s="14"/>
      <c r="B180" s="16" t="s">
        <v>410</v>
      </c>
      <c r="C180" s="4" t="s">
        <v>100</v>
      </c>
      <c r="D180" s="5">
        <v>0.013888888888888888</v>
      </c>
      <c r="E180" s="14" t="str">
        <f t="shared" si="1"/>
        <v>Connecting Devices to CloudVision</v>
      </c>
      <c r="F180" s="6">
        <v>5.0</v>
      </c>
      <c r="G180" s="14"/>
      <c r="H180" s="15"/>
      <c r="I180" s="15" t="s">
        <v>18</v>
      </c>
      <c r="J180" s="15" t="s">
        <v>18</v>
      </c>
      <c r="K180" s="15" t="s">
        <v>18</v>
      </c>
      <c r="L180" s="15"/>
      <c r="M180" s="15"/>
      <c r="N180" s="15" t="s">
        <v>399</v>
      </c>
    </row>
    <row r="181">
      <c r="A181" s="2"/>
      <c r="B181" s="16" t="s">
        <v>411</v>
      </c>
      <c r="C181" s="4" t="s">
        <v>15</v>
      </c>
      <c r="D181" s="12">
        <v>0.01025462962962963</v>
      </c>
      <c r="E181" s="2" t="str">
        <f t="shared" si="1"/>
        <v>Connecting Devices to CloudVision</v>
      </c>
      <c r="F181" s="6">
        <v>5.0</v>
      </c>
      <c r="G181" s="2" t="s">
        <v>412</v>
      </c>
      <c r="H181" s="13" t="s">
        <v>17</v>
      </c>
      <c r="I181" s="13" t="s">
        <v>18</v>
      </c>
      <c r="J181" s="13" t="s">
        <v>18</v>
      </c>
      <c r="K181" s="13" t="s">
        <v>18</v>
      </c>
      <c r="L181" s="13" t="s">
        <v>254</v>
      </c>
      <c r="M181" s="13" t="s">
        <v>257</v>
      </c>
      <c r="N181" s="13" t="s">
        <v>399</v>
      </c>
    </row>
    <row r="182">
      <c r="A182" s="2"/>
      <c r="B182" s="16" t="s">
        <v>413</v>
      </c>
      <c r="C182" s="4" t="s">
        <v>15</v>
      </c>
      <c r="D182" s="12">
        <v>0.004189814814814815</v>
      </c>
      <c r="E182" s="2" t="str">
        <f t="shared" si="1"/>
        <v>Connecting Devices to CloudVision</v>
      </c>
      <c r="F182" s="6">
        <v>5.0</v>
      </c>
      <c r="G182" s="2" t="s">
        <v>414</v>
      </c>
      <c r="H182" s="13" t="s">
        <v>17</v>
      </c>
      <c r="I182" s="13" t="s">
        <v>18</v>
      </c>
      <c r="J182" s="13" t="s">
        <v>18</v>
      </c>
      <c r="K182" s="13" t="s">
        <v>18</v>
      </c>
      <c r="L182" s="13" t="s">
        <v>254</v>
      </c>
      <c r="M182" s="13" t="s">
        <v>257</v>
      </c>
      <c r="N182" s="13" t="s">
        <v>399</v>
      </c>
    </row>
    <row r="183">
      <c r="A183" s="14"/>
      <c r="B183" s="16" t="s">
        <v>415</v>
      </c>
      <c r="C183" s="4" t="s">
        <v>100</v>
      </c>
      <c r="D183" s="5">
        <v>0.013888888888888888</v>
      </c>
      <c r="E183" s="14" t="str">
        <f t="shared" si="1"/>
        <v>Connecting Devices to CloudVision</v>
      </c>
      <c r="F183" s="6">
        <v>5.0</v>
      </c>
      <c r="G183" s="14"/>
      <c r="H183" s="15"/>
      <c r="I183" s="15">
        <v>2025.1</v>
      </c>
      <c r="J183" s="15" t="s">
        <v>101</v>
      </c>
      <c r="K183" s="15" t="s">
        <v>18</v>
      </c>
      <c r="L183" s="15" t="s">
        <v>254</v>
      </c>
      <c r="M183" s="15"/>
      <c r="N183" s="15" t="s">
        <v>399</v>
      </c>
    </row>
    <row r="184">
      <c r="A184" s="14"/>
      <c r="B184" s="16" t="s">
        <v>416</v>
      </c>
      <c r="C184" s="4" t="s">
        <v>100</v>
      </c>
      <c r="D184" s="5">
        <v>0.013888888888888888</v>
      </c>
      <c r="E184" s="14" t="str">
        <f t="shared" si="1"/>
        <v>Connecting Devices to CloudVision</v>
      </c>
      <c r="F184" s="6">
        <v>5.0</v>
      </c>
      <c r="G184" s="14"/>
      <c r="H184" s="15"/>
      <c r="I184" s="15">
        <v>2025.1</v>
      </c>
      <c r="J184" s="15" t="s">
        <v>101</v>
      </c>
      <c r="K184" s="15" t="s">
        <v>18</v>
      </c>
      <c r="L184" s="15" t="s">
        <v>254</v>
      </c>
      <c r="M184" s="15"/>
      <c r="N184" s="15" t="s">
        <v>399</v>
      </c>
    </row>
    <row r="185">
      <c r="A185" s="2"/>
      <c r="B185" s="16" t="s">
        <v>417</v>
      </c>
      <c r="C185" s="4" t="s">
        <v>15</v>
      </c>
      <c r="D185" s="12">
        <v>0.020694444444444446</v>
      </c>
      <c r="E185" s="2" t="str">
        <f t="shared" si="1"/>
        <v>Connecting Devices to CloudVision</v>
      </c>
      <c r="F185" s="6">
        <v>6.0</v>
      </c>
      <c r="G185" s="2" t="s">
        <v>418</v>
      </c>
      <c r="H185" s="13" t="s">
        <v>17</v>
      </c>
      <c r="I185" s="13" t="s">
        <v>18</v>
      </c>
      <c r="J185" s="13" t="s">
        <v>18</v>
      </c>
      <c r="K185" s="13" t="s">
        <v>18</v>
      </c>
      <c r="L185" s="13" t="s">
        <v>254</v>
      </c>
      <c r="M185" s="13" t="s">
        <v>257</v>
      </c>
      <c r="N185" s="13" t="s">
        <v>399</v>
      </c>
    </row>
    <row r="186">
      <c r="A186" s="2"/>
      <c r="B186" s="16" t="s">
        <v>419</v>
      </c>
      <c r="C186" s="4" t="s">
        <v>15</v>
      </c>
      <c r="D186" s="12">
        <v>0.010289351851851852</v>
      </c>
      <c r="E186" s="2" t="str">
        <f t="shared" si="1"/>
        <v>Connecting Devices to CloudVision</v>
      </c>
      <c r="F186" s="6">
        <v>4.0</v>
      </c>
      <c r="G186" s="2" t="s">
        <v>420</v>
      </c>
      <c r="H186" s="13" t="s">
        <v>17</v>
      </c>
      <c r="I186" s="13" t="s">
        <v>18</v>
      </c>
      <c r="J186" s="13" t="s">
        <v>18</v>
      </c>
      <c r="K186" s="13" t="s">
        <v>18</v>
      </c>
      <c r="L186" s="13" t="s">
        <v>254</v>
      </c>
      <c r="M186" s="13" t="s">
        <v>257</v>
      </c>
      <c r="N186" s="13" t="s">
        <v>399</v>
      </c>
    </row>
    <row r="187">
      <c r="A187" s="2"/>
      <c r="B187" s="16" t="s">
        <v>421</v>
      </c>
      <c r="C187" s="4" t="s">
        <v>15</v>
      </c>
      <c r="D187" s="12">
        <v>0.017418981481481483</v>
      </c>
      <c r="E187" s="2" t="str">
        <f t="shared" si="1"/>
        <v>Image Repository</v>
      </c>
      <c r="F187" s="6">
        <v>6.0</v>
      </c>
      <c r="G187" s="2" t="s">
        <v>422</v>
      </c>
      <c r="H187" s="13" t="s">
        <v>17</v>
      </c>
      <c r="I187" s="13" t="s">
        <v>18</v>
      </c>
      <c r="J187" s="13" t="s">
        <v>18</v>
      </c>
      <c r="K187" s="13" t="s">
        <v>18</v>
      </c>
      <c r="L187" s="13" t="s">
        <v>254</v>
      </c>
      <c r="M187" s="13" t="s">
        <v>74</v>
      </c>
      <c r="N187" s="13" t="s">
        <v>423</v>
      </c>
    </row>
    <row r="188">
      <c r="A188" s="2"/>
      <c r="B188" s="16" t="s">
        <v>424</v>
      </c>
      <c r="C188" s="4" t="s">
        <v>15</v>
      </c>
      <c r="D188" s="12">
        <v>0.01659722222222222</v>
      </c>
      <c r="E188" s="2" t="str">
        <f t="shared" si="1"/>
        <v>Image Repository</v>
      </c>
      <c r="F188" s="6">
        <v>6.0</v>
      </c>
      <c r="G188" s="2" t="s">
        <v>425</v>
      </c>
      <c r="H188" s="13" t="s">
        <v>17</v>
      </c>
      <c r="I188" s="13" t="s">
        <v>18</v>
      </c>
      <c r="J188" s="13" t="s">
        <v>18</v>
      </c>
      <c r="K188" s="13" t="s">
        <v>18</v>
      </c>
      <c r="L188" s="13" t="s">
        <v>254</v>
      </c>
      <c r="M188" s="13" t="s">
        <v>74</v>
      </c>
      <c r="N188" s="13" t="s">
        <v>423</v>
      </c>
    </row>
    <row r="189">
      <c r="A189" s="2"/>
      <c r="B189" s="16" t="s">
        <v>426</v>
      </c>
      <c r="C189" s="4" t="s">
        <v>15</v>
      </c>
      <c r="D189" s="12">
        <v>0.006307870370370371</v>
      </c>
      <c r="E189" s="2" t="str">
        <f t="shared" si="1"/>
        <v>Image Repository</v>
      </c>
      <c r="F189" s="6">
        <v>6.0</v>
      </c>
      <c r="G189" s="2" t="s">
        <v>427</v>
      </c>
      <c r="H189" s="13" t="s">
        <v>17</v>
      </c>
      <c r="I189" s="13" t="s">
        <v>18</v>
      </c>
      <c r="J189" s="13" t="s">
        <v>18</v>
      </c>
      <c r="K189" s="13" t="s">
        <v>18</v>
      </c>
      <c r="L189" s="13" t="s">
        <v>254</v>
      </c>
      <c r="M189" s="13" t="s">
        <v>74</v>
      </c>
      <c r="N189" s="13" t="s">
        <v>423</v>
      </c>
    </row>
    <row r="190">
      <c r="A190" s="2"/>
      <c r="B190" s="16" t="s">
        <v>428</v>
      </c>
      <c r="C190" s="4" t="s">
        <v>15</v>
      </c>
      <c r="D190" s="12">
        <v>0.014826388888888889</v>
      </c>
      <c r="E190" s="2" t="str">
        <f t="shared" si="1"/>
        <v>Zero Touch Replcement (ZTR)</v>
      </c>
      <c r="F190" s="6">
        <v>5.0</v>
      </c>
      <c r="G190" s="2" t="s">
        <v>429</v>
      </c>
      <c r="H190" s="13" t="s">
        <v>17</v>
      </c>
      <c r="I190" s="13" t="s">
        <v>18</v>
      </c>
      <c r="J190" s="13" t="s">
        <v>18</v>
      </c>
      <c r="K190" s="13" t="s">
        <v>18</v>
      </c>
      <c r="L190" s="13" t="s">
        <v>254</v>
      </c>
      <c r="M190" s="13" t="s">
        <v>257</v>
      </c>
      <c r="N190" s="13" t="s">
        <v>430</v>
      </c>
    </row>
    <row r="191">
      <c r="A191" s="2"/>
      <c r="B191" s="16" t="s">
        <v>431</v>
      </c>
      <c r="C191" s="4" t="s">
        <v>15</v>
      </c>
      <c r="D191" s="12">
        <v>0.00738425925925926</v>
      </c>
      <c r="E191" s="2" t="str">
        <f t="shared" si="1"/>
        <v>Zero Touch Replcement (ZTR)</v>
      </c>
      <c r="F191" s="6">
        <v>4.0</v>
      </c>
      <c r="G191" s="2" t="s">
        <v>432</v>
      </c>
      <c r="H191" s="13" t="s">
        <v>17</v>
      </c>
      <c r="I191" s="13" t="s">
        <v>18</v>
      </c>
      <c r="J191" s="13" t="s">
        <v>18</v>
      </c>
      <c r="K191" s="13" t="s">
        <v>18</v>
      </c>
      <c r="L191" s="13" t="s">
        <v>254</v>
      </c>
      <c r="M191" s="13" t="s">
        <v>257</v>
      </c>
      <c r="N191" s="13" t="s">
        <v>430</v>
      </c>
    </row>
    <row r="192">
      <c r="A192" s="2"/>
      <c r="B192" s="16" t="s">
        <v>433</v>
      </c>
      <c r="C192" s="4" t="s">
        <v>15</v>
      </c>
      <c r="D192" s="12">
        <v>0.01678240740740741</v>
      </c>
      <c r="E192" s="2" t="str">
        <f t="shared" si="1"/>
        <v>Zero Touch Replcement (ZTR)</v>
      </c>
      <c r="F192" s="6">
        <v>5.0</v>
      </c>
      <c r="G192" s="2" t="s">
        <v>434</v>
      </c>
      <c r="H192" s="13" t="s">
        <v>17</v>
      </c>
      <c r="I192" s="13" t="s">
        <v>18</v>
      </c>
      <c r="J192" s="13" t="s">
        <v>18</v>
      </c>
      <c r="K192" s="13" t="s">
        <v>18</v>
      </c>
      <c r="L192" s="13" t="s">
        <v>254</v>
      </c>
      <c r="M192" s="13" t="s">
        <v>257</v>
      </c>
      <c r="N192" s="13" t="s">
        <v>430</v>
      </c>
    </row>
    <row r="193">
      <c r="A193" s="14"/>
      <c r="B193" s="16" t="s">
        <v>435</v>
      </c>
      <c r="C193" s="4" t="s">
        <v>100</v>
      </c>
      <c r="D193" s="5">
        <v>0.013888888888888888</v>
      </c>
      <c r="E193" s="14" t="str">
        <f t="shared" si="1"/>
        <v>Zero Touch Replcement (ZTR)</v>
      </c>
      <c r="F193" s="6">
        <v>5.0</v>
      </c>
      <c r="G193" s="14"/>
      <c r="H193" s="15"/>
      <c r="I193" s="15">
        <v>2025.1</v>
      </c>
      <c r="J193" s="15" t="s">
        <v>101</v>
      </c>
      <c r="K193" s="15" t="s">
        <v>18</v>
      </c>
      <c r="L193" s="15" t="s">
        <v>254</v>
      </c>
      <c r="M193" s="15"/>
      <c r="N193" s="15" t="s">
        <v>430</v>
      </c>
    </row>
    <row r="194">
      <c r="A194" s="14"/>
      <c r="B194" s="16" t="s">
        <v>436</v>
      </c>
      <c r="C194" s="4" t="s">
        <v>100</v>
      </c>
      <c r="D194" s="5">
        <v>0.013888888888888888</v>
      </c>
      <c r="E194" s="14" t="str">
        <f t="shared" si="1"/>
        <v>Zero Touch Replcement (ZTR)</v>
      </c>
      <c r="F194" s="6">
        <v>5.0</v>
      </c>
      <c r="G194" s="14"/>
      <c r="H194" s="15"/>
      <c r="I194" s="15">
        <v>2025.1</v>
      </c>
      <c r="J194" s="15" t="s">
        <v>101</v>
      </c>
      <c r="K194" s="15" t="s">
        <v>18</v>
      </c>
      <c r="L194" s="15" t="s">
        <v>254</v>
      </c>
      <c r="M194" s="15"/>
      <c r="N194" s="15" t="s">
        <v>430</v>
      </c>
    </row>
    <row r="195">
      <c r="A195" s="2"/>
      <c r="B195" s="16" t="s">
        <v>437</v>
      </c>
      <c r="C195" s="4" t="s">
        <v>15</v>
      </c>
      <c r="D195" s="12">
        <v>0.0025</v>
      </c>
      <c r="E195" s="2" t="str">
        <f t="shared" si="1"/>
        <v>Lab - Clean Up Studios</v>
      </c>
      <c r="F195" s="6">
        <v>3.0</v>
      </c>
      <c r="G195" s="2" t="s">
        <v>438</v>
      </c>
      <c r="H195" s="13" t="s">
        <v>17</v>
      </c>
      <c r="I195" s="13" t="s">
        <v>18</v>
      </c>
      <c r="J195" s="13" t="s">
        <v>18</v>
      </c>
      <c r="K195" s="13" t="s">
        <v>18</v>
      </c>
      <c r="L195" s="13" t="s">
        <v>254</v>
      </c>
      <c r="M195" s="13" t="s">
        <v>74</v>
      </c>
      <c r="N195" s="13" t="s">
        <v>439</v>
      </c>
    </row>
    <row r="196">
      <c r="A196" s="2"/>
      <c r="B196" s="16" t="s">
        <v>440</v>
      </c>
      <c r="C196" s="4" t="s">
        <v>15</v>
      </c>
      <c r="D196" s="12">
        <v>0.0019328703703703704</v>
      </c>
      <c r="E196" s="2" t="str">
        <f t="shared" si="1"/>
        <v>Lab - Clean Up Studios</v>
      </c>
      <c r="F196" s="6">
        <v>5.0</v>
      </c>
      <c r="G196" s="2" t="s">
        <v>441</v>
      </c>
      <c r="H196" s="13" t="s">
        <v>17</v>
      </c>
      <c r="I196" s="13" t="s">
        <v>18</v>
      </c>
      <c r="J196" s="13" t="s">
        <v>18</v>
      </c>
      <c r="K196" s="13" t="s">
        <v>18</v>
      </c>
      <c r="L196" s="13" t="s">
        <v>254</v>
      </c>
      <c r="M196" s="13" t="s">
        <v>74</v>
      </c>
      <c r="N196" s="13" t="s">
        <v>439</v>
      </c>
    </row>
    <row r="197">
      <c r="A197" s="2"/>
      <c r="B197" s="16" t="s">
        <v>442</v>
      </c>
      <c r="C197" s="4" t="s">
        <v>15</v>
      </c>
      <c r="D197" s="12">
        <v>0.0020486111111111113</v>
      </c>
      <c r="E197" s="2" t="str">
        <f t="shared" si="1"/>
        <v>Lab - Clean Up Studios</v>
      </c>
      <c r="F197" s="6">
        <v>5.0</v>
      </c>
      <c r="G197" s="2" t="s">
        <v>443</v>
      </c>
      <c r="H197" s="13" t="s">
        <v>17</v>
      </c>
      <c r="I197" s="13" t="s">
        <v>18</v>
      </c>
      <c r="J197" s="13" t="s">
        <v>18</v>
      </c>
      <c r="K197" s="13" t="s">
        <v>18</v>
      </c>
      <c r="L197" s="13" t="s">
        <v>254</v>
      </c>
      <c r="M197" s="13" t="s">
        <v>74</v>
      </c>
      <c r="N197" s="13" t="s">
        <v>439</v>
      </c>
    </row>
    <row r="198">
      <c r="A198" s="2"/>
      <c r="B198" s="16" t="s">
        <v>444</v>
      </c>
      <c r="C198" s="4" t="s">
        <v>15</v>
      </c>
      <c r="D198" s="12">
        <v>0.0030555555555555557</v>
      </c>
      <c r="E198" s="2" t="str">
        <f t="shared" si="1"/>
        <v>Lab - Clean Up Studios</v>
      </c>
      <c r="F198" s="6">
        <v>5.0</v>
      </c>
      <c r="G198" s="2" t="s">
        <v>445</v>
      </c>
      <c r="H198" s="13" t="s">
        <v>17</v>
      </c>
      <c r="I198" s="13" t="s">
        <v>18</v>
      </c>
      <c r="J198" s="13" t="s">
        <v>18</v>
      </c>
      <c r="K198" s="13" t="s">
        <v>18</v>
      </c>
      <c r="L198" s="13" t="s">
        <v>254</v>
      </c>
      <c r="M198" s="13" t="s">
        <v>74</v>
      </c>
      <c r="N198" s="13" t="s">
        <v>439</v>
      </c>
    </row>
    <row r="199">
      <c r="A199" s="2"/>
      <c r="B199" s="16" t="s">
        <v>446</v>
      </c>
      <c r="C199" s="4" t="s">
        <v>15</v>
      </c>
      <c r="D199" s="12">
        <v>0.0031018518518518517</v>
      </c>
      <c r="E199" s="2" t="str">
        <f t="shared" si="1"/>
        <v>Lab - Clean Up Studios</v>
      </c>
      <c r="F199" s="6">
        <v>6.0</v>
      </c>
      <c r="G199" s="2" t="s">
        <v>447</v>
      </c>
      <c r="H199" s="13" t="s">
        <v>17</v>
      </c>
      <c r="I199" s="13" t="s">
        <v>18</v>
      </c>
      <c r="J199" s="13" t="s">
        <v>18</v>
      </c>
      <c r="K199" s="13" t="s">
        <v>18</v>
      </c>
      <c r="L199" s="13" t="s">
        <v>254</v>
      </c>
      <c r="M199" s="13" t="s">
        <v>74</v>
      </c>
      <c r="N199" s="13" t="s">
        <v>439</v>
      </c>
    </row>
    <row r="200">
      <c r="A200" s="2"/>
      <c r="B200" s="16" t="s">
        <v>448</v>
      </c>
      <c r="C200" s="4" t="s">
        <v>15</v>
      </c>
      <c r="D200" s="12">
        <v>0.012303240740740741</v>
      </c>
      <c r="E200" s="2" t="str">
        <f t="shared" si="1"/>
        <v>Lab - Clean Up Studios</v>
      </c>
      <c r="F200" s="6">
        <v>6.0</v>
      </c>
      <c r="G200" s="2" t="s">
        <v>447</v>
      </c>
      <c r="H200" s="13" t="s">
        <v>17</v>
      </c>
      <c r="I200" s="13" t="s">
        <v>18</v>
      </c>
      <c r="J200" s="13" t="s">
        <v>18</v>
      </c>
      <c r="K200" s="13" t="s">
        <v>18</v>
      </c>
      <c r="L200" s="13" t="s">
        <v>254</v>
      </c>
      <c r="M200" s="13" t="s">
        <v>74</v>
      </c>
      <c r="N200" s="13" t="s">
        <v>439</v>
      </c>
    </row>
    <row r="201">
      <c r="A201" s="2"/>
      <c r="B201" s="16" t="s">
        <v>449</v>
      </c>
      <c r="C201" s="4" t="s">
        <v>15</v>
      </c>
      <c r="D201" s="12">
        <v>0.0096875</v>
      </c>
      <c r="E201" s="2" t="str">
        <f t="shared" si="1"/>
        <v>Provision New Devices with ZTP and Studios</v>
      </c>
      <c r="F201" s="6">
        <v>7.0</v>
      </c>
      <c r="G201" s="2" t="s">
        <v>450</v>
      </c>
      <c r="H201" s="13" t="s">
        <v>199</v>
      </c>
      <c r="I201" s="13">
        <v>2025.1</v>
      </c>
      <c r="J201" s="13" t="s">
        <v>101</v>
      </c>
      <c r="K201" s="13" t="s">
        <v>18</v>
      </c>
      <c r="L201" s="13" t="s">
        <v>254</v>
      </c>
      <c r="M201" s="13"/>
      <c r="N201" s="13" t="s">
        <v>371</v>
      </c>
    </row>
    <row r="202">
      <c r="A202" s="2"/>
      <c r="B202" s="16" t="s">
        <v>451</v>
      </c>
      <c r="C202" s="4" t="s">
        <v>15</v>
      </c>
      <c r="D202" s="12">
        <v>0.002662037037037037</v>
      </c>
      <c r="E202" s="2" t="str">
        <f t="shared" si="1"/>
        <v>Configuring L3LS using Studios</v>
      </c>
      <c r="F202" s="6">
        <v>4.0</v>
      </c>
      <c r="G202" s="2" t="s">
        <v>452</v>
      </c>
      <c r="H202" s="13" t="s">
        <v>17</v>
      </c>
      <c r="I202" s="13" t="s">
        <v>18</v>
      </c>
      <c r="J202" s="13" t="s">
        <v>18</v>
      </c>
      <c r="K202" s="13" t="s">
        <v>18</v>
      </c>
      <c r="L202" s="13" t="s">
        <v>254</v>
      </c>
      <c r="M202" s="13" t="s">
        <v>74</v>
      </c>
      <c r="N202" s="13" t="s">
        <v>453</v>
      </c>
    </row>
    <row r="203">
      <c r="A203" s="2"/>
      <c r="B203" s="16" t="s">
        <v>454</v>
      </c>
      <c r="C203" s="4" t="s">
        <v>15</v>
      </c>
      <c r="D203" s="12">
        <v>7.986111111111112E-4</v>
      </c>
      <c r="E203" s="2" t="str">
        <f t="shared" si="1"/>
        <v>Configuring L3LS using Studios</v>
      </c>
      <c r="F203" s="6">
        <v>3.0</v>
      </c>
      <c r="G203" s="2" t="s">
        <v>455</v>
      </c>
      <c r="H203" s="13" t="s">
        <v>17</v>
      </c>
      <c r="I203" s="13" t="s">
        <v>18</v>
      </c>
      <c r="J203" s="13" t="s">
        <v>18</v>
      </c>
      <c r="K203" s="13" t="s">
        <v>18</v>
      </c>
      <c r="L203" s="13" t="s">
        <v>254</v>
      </c>
      <c r="M203" s="13" t="s">
        <v>74</v>
      </c>
      <c r="N203" s="13" t="s">
        <v>453</v>
      </c>
    </row>
    <row r="204">
      <c r="A204" s="2"/>
      <c r="B204" s="16" t="s">
        <v>456</v>
      </c>
      <c r="C204" s="4" t="s">
        <v>15</v>
      </c>
      <c r="D204" s="12">
        <v>0.008611111111111111</v>
      </c>
      <c r="E204" s="2" t="str">
        <f t="shared" si="1"/>
        <v>Configuring L3LS using Studios</v>
      </c>
      <c r="F204" s="6">
        <v>6.0</v>
      </c>
      <c r="G204" s="2" t="s">
        <v>457</v>
      </c>
      <c r="H204" s="13" t="s">
        <v>17</v>
      </c>
      <c r="I204" s="13" t="s">
        <v>18</v>
      </c>
      <c r="J204" s="13" t="s">
        <v>18</v>
      </c>
      <c r="K204" s="13" t="s">
        <v>18</v>
      </c>
      <c r="L204" s="13" t="s">
        <v>254</v>
      </c>
      <c r="M204" s="13" t="s">
        <v>74</v>
      </c>
      <c r="N204" s="13" t="s">
        <v>453</v>
      </c>
    </row>
    <row r="205">
      <c r="A205" s="2"/>
      <c r="B205" s="16" t="s">
        <v>458</v>
      </c>
      <c r="C205" s="4" t="s">
        <v>15</v>
      </c>
      <c r="D205" s="12">
        <v>7.986111111111112E-4</v>
      </c>
      <c r="E205" s="2" t="str">
        <f t="shared" si="1"/>
        <v>Configuring L3LS using Studios</v>
      </c>
      <c r="F205" s="6">
        <v>5.0</v>
      </c>
      <c r="G205" s="2" t="s">
        <v>459</v>
      </c>
      <c r="H205" s="13" t="s">
        <v>17</v>
      </c>
      <c r="I205" s="13" t="s">
        <v>18</v>
      </c>
      <c r="J205" s="13" t="s">
        <v>18</v>
      </c>
      <c r="K205" s="13" t="s">
        <v>18</v>
      </c>
      <c r="L205" s="13" t="s">
        <v>254</v>
      </c>
      <c r="M205" s="13" t="s">
        <v>74</v>
      </c>
      <c r="N205" s="13" t="s">
        <v>453</v>
      </c>
    </row>
    <row r="206">
      <c r="A206" s="2"/>
      <c r="B206" s="16" t="s">
        <v>460</v>
      </c>
      <c r="C206" s="4" t="s">
        <v>15</v>
      </c>
      <c r="D206" s="12">
        <v>9.375E-4</v>
      </c>
      <c r="E206" s="2" t="str">
        <f t="shared" si="1"/>
        <v>802.1X Details in Endpoint Search</v>
      </c>
      <c r="F206" s="6">
        <v>3.0</v>
      </c>
      <c r="G206" s="2" t="s">
        <v>461</v>
      </c>
      <c r="H206" s="13" t="s">
        <v>17</v>
      </c>
      <c r="I206" s="13" t="s">
        <v>18</v>
      </c>
      <c r="J206" s="13" t="s">
        <v>18</v>
      </c>
      <c r="K206" s="13" t="s">
        <v>18</v>
      </c>
      <c r="L206" s="13" t="s">
        <v>254</v>
      </c>
      <c r="M206" s="13" t="s">
        <v>74</v>
      </c>
      <c r="N206" s="13" t="s">
        <v>462</v>
      </c>
    </row>
    <row r="207">
      <c r="A207" s="2"/>
      <c r="B207" s="16" t="s">
        <v>463</v>
      </c>
      <c r="C207" s="4" t="s">
        <v>15</v>
      </c>
      <c r="D207" s="12">
        <v>0.001863425925925926</v>
      </c>
      <c r="E207" s="2" t="str">
        <f t="shared" si="1"/>
        <v>802.1X Details in Endpoint Search</v>
      </c>
      <c r="F207" s="6">
        <v>4.0</v>
      </c>
      <c r="G207" s="2" t="s">
        <v>464</v>
      </c>
      <c r="H207" s="13" t="s">
        <v>17</v>
      </c>
      <c r="I207" s="13" t="s">
        <v>18</v>
      </c>
      <c r="J207" s="13" t="s">
        <v>18</v>
      </c>
      <c r="K207" s="13" t="s">
        <v>18</v>
      </c>
      <c r="L207" s="13" t="s">
        <v>254</v>
      </c>
      <c r="M207" s="13" t="s">
        <v>74</v>
      </c>
      <c r="N207" s="13" t="s">
        <v>462</v>
      </c>
    </row>
    <row r="208">
      <c r="A208" s="2"/>
      <c r="B208" s="16" t="s">
        <v>465</v>
      </c>
      <c r="C208" s="4" t="s">
        <v>15</v>
      </c>
      <c r="D208" s="12">
        <v>6.828703703703704E-4</v>
      </c>
      <c r="E208" s="2" t="str">
        <f t="shared" si="1"/>
        <v>802.1X Details in Endpoint Search</v>
      </c>
      <c r="F208" s="6">
        <v>4.0</v>
      </c>
      <c r="G208" s="2" t="s">
        <v>466</v>
      </c>
      <c r="H208" s="13" t="s">
        <v>17</v>
      </c>
      <c r="I208" s="13" t="s">
        <v>18</v>
      </c>
      <c r="J208" s="13" t="s">
        <v>18</v>
      </c>
      <c r="K208" s="13" t="s">
        <v>18</v>
      </c>
      <c r="L208" s="13" t="s">
        <v>254</v>
      </c>
      <c r="M208" s="13" t="s">
        <v>74</v>
      </c>
      <c r="N208" s="13" t="s">
        <v>462</v>
      </c>
    </row>
    <row r="209">
      <c r="A209" s="2"/>
      <c r="B209" s="16" t="s">
        <v>467</v>
      </c>
      <c r="C209" s="4" t="s">
        <v>15</v>
      </c>
      <c r="D209" s="12">
        <v>6.134259259259259E-4</v>
      </c>
      <c r="E209" s="2" t="str">
        <f t="shared" si="1"/>
        <v>802.1X Details in Endpoint Search</v>
      </c>
      <c r="F209" s="6">
        <v>3.0</v>
      </c>
      <c r="G209" s="2" t="s">
        <v>468</v>
      </c>
      <c r="H209" s="13" t="s">
        <v>17</v>
      </c>
      <c r="I209" s="13" t="s">
        <v>18</v>
      </c>
      <c r="J209" s="13" t="s">
        <v>18</v>
      </c>
      <c r="K209" s="13" t="s">
        <v>18</v>
      </c>
      <c r="L209" s="13" t="s">
        <v>254</v>
      </c>
      <c r="M209" s="13" t="s">
        <v>74</v>
      </c>
      <c r="N209" s="13" t="s">
        <v>462</v>
      </c>
    </row>
    <row r="210">
      <c r="A210" s="2"/>
      <c r="B210" s="16" t="s">
        <v>469</v>
      </c>
      <c r="C210" s="4" t="s">
        <v>15</v>
      </c>
      <c r="D210" s="12">
        <v>9.953703703703704E-4</v>
      </c>
      <c r="E210" s="2" t="str">
        <f t="shared" si="1"/>
        <v>802.1X Details in Endpoint Search</v>
      </c>
      <c r="F210" s="6">
        <v>4.0</v>
      </c>
      <c r="G210" s="2" t="s">
        <v>470</v>
      </c>
      <c r="H210" s="13" t="s">
        <v>17</v>
      </c>
      <c r="I210" s="13" t="s">
        <v>18</v>
      </c>
      <c r="J210" s="13" t="s">
        <v>18</v>
      </c>
      <c r="K210" s="13" t="s">
        <v>18</v>
      </c>
      <c r="L210" s="13" t="s">
        <v>254</v>
      </c>
      <c r="M210" s="13" t="s">
        <v>74</v>
      </c>
      <c r="N210" s="13" t="s">
        <v>462</v>
      </c>
    </row>
    <row r="211">
      <c r="A211" s="2"/>
      <c r="B211" s="16" t="s">
        <v>471</v>
      </c>
      <c r="C211" s="4" t="s">
        <v>15</v>
      </c>
      <c r="D211" s="12">
        <v>0.0069560185185185185</v>
      </c>
      <c r="E211" s="2" t="str">
        <f t="shared" si="1"/>
        <v>Exporting and Importing Dashboards</v>
      </c>
      <c r="F211" s="6">
        <v>4.0</v>
      </c>
      <c r="G211" s="2" t="s">
        <v>472</v>
      </c>
      <c r="H211" s="13" t="s">
        <v>17</v>
      </c>
      <c r="I211" s="13" t="s">
        <v>18</v>
      </c>
      <c r="J211" s="13" t="s">
        <v>18</v>
      </c>
      <c r="K211" s="13" t="s">
        <v>18</v>
      </c>
      <c r="L211" s="13" t="s">
        <v>254</v>
      </c>
      <c r="M211" s="13" t="s">
        <v>74</v>
      </c>
      <c r="N211" s="13" t="s">
        <v>471</v>
      </c>
    </row>
    <row r="212">
      <c r="A212" s="2"/>
      <c r="B212" s="16" t="s">
        <v>473</v>
      </c>
      <c r="C212" s="4" t="s">
        <v>15</v>
      </c>
      <c r="D212" s="12">
        <v>0.0015393518518518519</v>
      </c>
      <c r="E212" s="2" t="str">
        <f t="shared" si="1"/>
        <v>Exporting and Importing Dashboards</v>
      </c>
      <c r="F212" s="6">
        <v>4.0</v>
      </c>
      <c r="G212" s="2" t="s">
        <v>474</v>
      </c>
      <c r="H212" s="13" t="s">
        <v>17</v>
      </c>
      <c r="I212" s="13" t="s">
        <v>18</v>
      </c>
      <c r="J212" s="13" t="s">
        <v>18</v>
      </c>
      <c r="K212" s="13" t="s">
        <v>18</v>
      </c>
      <c r="L212" s="13" t="s">
        <v>254</v>
      </c>
      <c r="M212" s="13" t="s">
        <v>74</v>
      </c>
      <c r="N212" s="13" t="s">
        <v>471</v>
      </c>
    </row>
    <row r="213">
      <c r="A213" s="2"/>
      <c r="B213" s="16" t="s">
        <v>475</v>
      </c>
      <c r="C213" s="4" t="s">
        <v>15</v>
      </c>
      <c r="D213" s="12">
        <v>5.671296296296297E-4</v>
      </c>
      <c r="E213" s="2" t="str">
        <f t="shared" si="1"/>
        <v>Exporting and Importing Dashboards</v>
      </c>
      <c r="F213" s="6">
        <v>5.0</v>
      </c>
      <c r="G213" s="2" t="s">
        <v>476</v>
      </c>
      <c r="H213" s="13" t="s">
        <v>17</v>
      </c>
      <c r="I213" s="13" t="s">
        <v>18</v>
      </c>
      <c r="J213" s="13" t="s">
        <v>18</v>
      </c>
      <c r="K213" s="13" t="s">
        <v>18</v>
      </c>
      <c r="L213" s="13" t="s">
        <v>254</v>
      </c>
      <c r="M213" s="13" t="s">
        <v>74</v>
      </c>
      <c r="N213" s="13" t="s">
        <v>471</v>
      </c>
    </row>
    <row r="214">
      <c r="A214" s="14"/>
      <c r="B214" s="16" t="s">
        <v>477</v>
      </c>
      <c r="C214" s="4" t="s">
        <v>100</v>
      </c>
      <c r="D214" s="5">
        <v>0.013888888888888888</v>
      </c>
      <c r="E214" s="14" t="str">
        <f t="shared" si="1"/>
        <v>Exporting and Importing Dashboards</v>
      </c>
      <c r="F214" s="6">
        <v>4.0</v>
      </c>
      <c r="G214" s="14"/>
      <c r="H214" s="15"/>
      <c r="I214" s="15">
        <v>2025.1</v>
      </c>
      <c r="J214" s="15" t="s">
        <v>101</v>
      </c>
      <c r="K214" s="15" t="s">
        <v>18</v>
      </c>
      <c r="L214" s="15" t="s">
        <v>254</v>
      </c>
      <c r="M214" s="15"/>
      <c r="N214" s="15" t="s">
        <v>471</v>
      </c>
    </row>
    <row r="215">
      <c r="A215" s="2"/>
      <c r="B215" s="16" t="s">
        <v>478</v>
      </c>
      <c r="C215" s="4" t="s">
        <v>15</v>
      </c>
      <c r="D215" s="12">
        <v>0.004074074074074074</v>
      </c>
      <c r="E215" s="2" t="str">
        <f t="shared" si="1"/>
        <v>Lab - Dashboards and Events</v>
      </c>
      <c r="F215" s="6">
        <v>3.0</v>
      </c>
      <c r="G215" s="2" t="s">
        <v>479</v>
      </c>
      <c r="H215" s="13" t="s">
        <v>17</v>
      </c>
      <c r="I215" s="13" t="s">
        <v>18</v>
      </c>
      <c r="J215" s="13" t="s">
        <v>18</v>
      </c>
      <c r="K215" s="13" t="s">
        <v>18</v>
      </c>
      <c r="L215" s="13" t="s">
        <v>254</v>
      </c>
      <c r="M215" s="13" t="s">
        <v>74</v>
      </c>
      <c r="N215" s="13" t="s">
        <v>480</v>
      </c>
    </row>
    <row r="216">
      <c r="A216" s="2"/>
      <c r="B216" s="16" t="s">
        <v>481</v>
      </c>
      <c r="C216" s="4" t="s">
        <v>15</v>
      </c>
      <c r="D216" s="12">
        <v>0.014212962962962964</v>
      </c>
      <c r="E216" s="2" t="str">
        <f t="shared" si="1"/>
        <v>Lab - Dashboards and Events</v>
      </c>
      <c r="F216" s="6">
        <v>3.0</v>
      </c>
      <c r="G216" s="2" t="s">
        <v>482</v>
      </c>
      <c r="H216" s="13" t="s">
        <v>17</v>
      </c>
      <c r="I216" s="13" t="s">
        <v>18</v>
      </c>
      <c r="J216" s="13" t="s">
        <v>18</v>
      </c>
      <c r="K216" s="13" t="s">
        <v>18</v>
      </c>
      <c r="L216" s="13" t="s">
        <v>254</v>
      </c>
      <c r="M216" s="13" t="s">
        <v>74</v>
      </c>
      <c r="N216" s="13" t="s">
        <v>480</v>
      </c>
    </row>
    <row r="217">
      <c r="A217" s="2"/>
      <c r="B217" s="16" t="s">
        <v>483</v>
      </c>
      <c r="C217" s="4" t="s">
        <v>15</v>
      </c>
      <c r="D217" s="12">
        <v>0.0015277777777777779</v>
      </c>
      <c r="E217" s="2" t="str">
        <f t="shared" si="1"/>
        <v>Lab - Dashboards and Events</v>
      </c>
      <c r="F217" s="6">
        <v>5.0</v>
      </c>
      <c r="G217" s="2" t="s">
        <v>484</v>
      </c>
      <c r="H217" s="13" t="s">
        <v>17</v>
      </c>
      <c r="I217" s="13" t="s">
        <v>18</v>
      </c>
      <c r="J217" s="13" t="s">
        <v>18</v>
      </c>
      <c r="K217" s="13" t="s">
        <v>18</v>
      </c>
      <c r="L217" s="13" t="s">
        <v>254</v>
      </c>
      <c r="M217" s="13" t="s">
        <v>74</v>
      </c>
      <c r="N217" s="13" t="s">
        <v>480</v>
      </c>
    </row>
    <row r="218">
      <c r="A218" s="2"/>
      <c r="B218" s="16" t="s">
        <v>485</v>
      </c>
      <c r="C218" s="4" t="s">
        <v>15</v>
      </c>
      <c r="D218" s="12">
        <v>0.0010648148148148149</v>
      </c>
      <c r="E218" s="2" t="str">
        <f t="shared" si="1"/>
        <v>Lab - Dashboards and Events</v>
      </c>
      <c r="F218" s="6">
        <v>5.0</v>
      </c>
      <c r="G218" s="2" t="s">
        <v>486</v>
      </c>
      <c r="H218" s="13" t="s">
        <v>17</v>
      </c>
      <c r="I218" s="13" t="s">
        <v>18</v>
      </c>
      <c r="J218" s="13" t="s">
        <v>18</v>
      </c>
      <c r="K218" s="13" t="s">
        <v>18</v>
      </c>
      <c r="L218" s="13" t="s">
        <v>254</v>
      </c>
      <c r="M218" s="13" t="s">
        <v>74</v>
      </c>
      <c r="N218" s="13" t="s">
        <v>480</v>
      </c>
    </row>
    <row r="219">
      <c r="A219" s="2"/>
      <c r="B219" s="16" t="s">
        <v>487</v>
      </c>
      <c r="C219" s="4" t="s">
        <v>15</v>
      </c>
      <c r="D219" s="12">
        <v>0.0013541666666666667</v>
      </c>
      <c r="E219" s="2" t="str">
        <f t="shared" si="1"/>
        <v>Lab - Dashboards and Events</v>
      </c>
      <c r="F219" s="6">
        <v>6.0</v>
      </c>
      <c r="G219" s="2" t="s">
        <v>488</v>
      </c>
      <c r="H219" s="13" t="s">
        <v>17</v>
      </c>
      <c r="I219" s="13" t="s">
        <v>18</v>
      </c>
      <c r="J219" s="13" t="s">
        <v>18</v>
      </c>
      <c r="K219" s="13" t="s">
        <v>18</v>
      </c>
      <c r="L219" s="13" t="s">
        <v>254</v>
      </c>
      <c r="M219" s="13" t="s">
        <v>74</v>
      </c>
      <c r="N219" s="13" t="s">
        <v>480</v>
      </c>
    </row>
    <row r="220">
      <c r="A220" s="14"/>
      <c r="B220" s="16" t="s">
        <v>489</v>
      </c>
      <c r="C220" s="4" t="s">
        <v>100</v>
      </c>
      <c r="D220" s="5">
        <v>0.013888888888888888</v>
      </c>
      <c r="E220" s="14" t="str">
        <f t="shared" si="1"/>
        <v>Lab - Dashboards and Events</v>
      </c>
      <c r="F220" s="6">
        <v>4.0</v>
      </c>
      <c r="G220" s="14"/>
      <c r="H220" s="15"/>
      <c r="I220" s="15">
        <v>2025.1</v>
      </c>
      <c r="J220" s="15" t="s">
        <v>101</v>
      </c>
      <c r="K220" s="15" t="s">
        <v>18</v>
      </c>
      <c r="L220" s="15" t="s">
        <v>254</v>
      </c>
      <c r="M220" s="15"/>
      <c r="N220" s="15" t="s">
        <v>480</v>
      </c>
    </row>
    <row r="221">
      <c r="A221" s="2"/>
      <c r="B221" s="16" t="s">
        <v>490</v>
      </c>
      <c r="C221" s="4" t="s">
        <v>15</v>
      </c>
      <c r="D221" s="12">
        <v>0.0026967592592592594</v>
      </c>
      <c r="E221" s="2" t="str">
        <f t="shared" si="1"/>
        <v>Lab - Topology</v>
      </c>
      <c r="F221" s="6">
        <v>5.0</v>
      </c>
      <c r="G221" s="2" t="s">
        <v>491</v>
      </c>
      <c r="H221" s="13" t="s">
        <v>17</v>
      </c>
      <c r="I221" s="13" t="s">
        <v>18</v>
      </c>
      <c r="J221" s="13" t="s">
        <v>18</v>
      </c>
      <c r="K221" s="13" t="s">
        <v>18</v>
      </c>
      <c r="L221" s="13"/>
      <c r="M221" s="13" t="s">
        <v>492</v>
      </c>
      <c r="N221" s="13" t="s">
        <v>493</v>
      </c>
    </row>
    <row r="222">
      <c r="A222" s="2"/>
      <c r="B222" s="16" t="s">
        <v>494</v>
      </c>
      <c r="C222" s="4" t="s">
        <v>15</v>
      </c>
      <c r="D222" s="12">
        <v>0.015439814814814814</v>
      </c>
      <c r="E222" s="2" t="str">
        <f t="shared" si="1"/>
        <v>Lab - Topology</v>
      </c>
      <c r="F222" s="6">
        <v>5.0</v>
      </c>
      <c r="G222" s="2" t="s">
        <v>495</v>
      </c>
      <c r="H222" s="13" t="s">
        <v>17</v>
      </c>
      <c r="I222" s="13" t="s">
        <v>18</v>
      </c>
      <c r="J222" s="13" t="s">
        <v>18</v>
      </c>
      <c r="K222" s="13" t="s">
        <v>18</v>
      </c>
      <c r="L222" s="13"/>
      <c r="M222" s="13" t="s">
        <v>492</v>
      </c>
      <c r="N222" s="13" t="s">
        <v>493</v>
      </c>
    </row>
    <row r="223">
      <c r="A223" s="2"/>
      <c r="B223" s="16" t="s">
        <v>496</v>
      </c>
      <c r="C223" s="4" t="s">
        <v>15</v>
      </c>
      <c r="D223" s="12">
        <v>0.010324074074074074</v>
      </c>
      <c r="E223" s="2" t="str">
        <f t="shared" si="1"/>
        <v>Lab - Topology</v>
      </c>
      <c r="F223" s="6">
        <v>7.0</v>
      </c>
      <c r="G223" s="2" t="s">
        <v>497</v>
      </c>
      <c r="H223" s="13" t="s">
        <v>17</v>
      </c>
      <c r="I223" s="13" t="s">
        <v>18</v>
      </c>
      <c r="J223" s="13" t="s">
        <v>18</v>
      </c>
      <c r="K223" s="13" t="s">
        <v>18</v>
      </c>
      <c r="L223" s="13"/>
      <c r="M223" s="13" t="s">
        <v>492</v>
      </c>
      <c r="N223" s="13" t="s">
        <v>493</v>
      </c>
    </row>
    <row r="224">
      <c r="A224" s="2"/>
      <c r="B224" s="16" t="s">
        <v>498</v>
      </c>
      <c r="C224" s="4" t="s">
        <v>15</v>
      </c>
      <c r="D224" s="12">
        <v>0.013761574074074074</v>
      </c>
      <c r="E224" s="2" t="str">
        <f t="shared" si="1"/>
        <v>Lab - Topology</v>
      </c>
      <c r="F224" s="6">
        <v>6.0</v>
      </c>
      <c r="G224" s="2" t="s">
        <v>499</v>
      </c>
      <c r="H224" s="13" t="s">
        <v>17</v>
      </c>
      <c r="I224" s="13" t="s">
        <v>18</v>
      </c>
      <c r="J224" s="13" t="s">
        <v>18</v>
      </c>
      <c r="K224" s="13" t="s">
        <v>18</v>
      </c>
      <c r="L224" s="13"/>
      <c r="M224" s="13" t="s">
        <v>492</v>
      </c>
      <c r="N224" s="13" t="s">
        <v>493</v>
      </c>
    </row>
    <row r="225">
      <c r="A225" s="2"/>
      <c r="B225" s="16" t="s">
        <v>500</v>
      </c>
      <c r="C225" s="4" t="s">
        <v>15</v>
      </c>
      <c r="D225" s="12">
        <v>0.007893518518518518</v>
      </c>
      <c r="E225" s="2" t="str">
        <f t="shared" si="1"/>
        <v>Chassis Upgrade and Reload</v>
      </c>
      <c r="F225" s="6">
        <v>4.0</v>
      </c>
      <c r="G225" s="2" t="s">
        <v>501</v>
      </c>
      <c r="H225" s="13" t="s">
        <v>17</v>
      </c>
      <c r="I225" s="13" t="s">
        <v>18</v>
      </c>
      <c r="J225" s="13" t="s">
        <v>18</v>
      </c>
      <c r="K225" s="13" t="s">
        <v>18</v>
      </c>
      <c r="L225" s="13" t="s">
        <v>254</v>
      </c>
      <c r="M225" s="13" t="s">
        <v>502</v>
      </c>
      <c r="N225" s="13" t="s">
        <v>503</v>
      </c>
    </row>
    <row r="226">
      <c r="A226" s="2"/>
      <c r="B226" s="16" t="s">
        <v>504</v>
      </c>
      <c r="C226" s="4" t="s">
        <v>15</v>
      </c>
      <c r="D226" s="12">
        <v>0.007789351851851852</v>
      </c>
      <c r="E226" s="2" t="str">
        <f t="shared" si="1"/>
        <v>Chassis Upgrade and Reload</v>
      </c>
      <c r="F226" s="6">
        <v>5.0</v>
      </c>
      <c r="G226" s="2" t="s">
        <v>505</v>
      </c>
      <c r="H226" s="13" t="s">
        <v>17</v>
      </c>
      <c r="I226" s="13" t="s">
        <v>18</v>
      </c>
      <c r="J226" s="13" t="s">
        <v>18</v>
      </c>
      <c r="K226" s="13" t="s">
        <v>18</v>
      </c>
      <c r="L226" s="13" t="s">
        <v>254</v>
      </c>
      <c r="M226" s="13" t="s">
        <v>502</v>
      </c>
      <c r="N226" s="13" t="s">
        <v>503</v>
      </c>
    </row>
    <row r="227">
      <c r="A227" s="2"/>
      <c r="B227" s="16" t="s">
        <v>506</v>
      </c>
      <c r="C227" s="4" t="s">
        <v>15</v>
      </c>
      <c r="D227" s="12">
        <v>0.003275462962962963</v>
      </c>
      <c r="E227" s="2" t="str">
        <f t="shared" si="1"/>
        <v>Chassis Upgrade and Reload</v>
      </c>
      <c r="F227" s="6">
        <v>4.0</v>
      </c>
      <c r="G227" s="2" t="s">
        <v>507</v>
      </c>
      <c r="H227" s="13" t="s">
        <v>17</v>
      </c>
      <c r="I227" s="13" t="s">
        <v>18</v>
      </c>
      <c r="J227" s="13" t="s">
        <v>18</v>
      </c>
      <c r="K227" s="13" t="s">
        <v>18</v>
      </c>
      <c r="L227" s="13" t="s">
        <v>254</v>
      </c>
      <c r="M227" s="13" t="s">
        <v>502</v>
      </c>
      <c r="N227" s="13" t="s">
        <v>503</v>
      </c>
    </row>
    <row r="228">
      <c r="A228" s="2"/>
      <c r="B228" s="16" t="s">
        <v>508</v>
      </c>
      <c r="C228" s="4" t="s">
        <v>15</v>
      </c>
      <c r="D228" s="12">
        <v>0.014953703703703703</v>
      </c>
      <c r="E228" s="2" t="str">
        <f t="shared" si="1"/>
        <v>Chassis Upgrade and Reload</v>
      </c>
      <c r="F228" s="6">
        <v>6.0</v>
      </c>
      <c r="G228" s="2" t="s">
        <v>509</v>
      </c>
      <c r="H228" s="13" t="s">
        <v>17</v>
      </c>
      <c r="I228" s="13" t="s">
        <v>18</v>
      </c>
      <c r="J228" s="13" t="s">
        <v>18</v>
      </c>
      <c r="K228" s="13" t="s">
        <v>18</v>
      </c>
      <c r="L228" s="13" t="s">
        <v>254</v>
      </c>
      <c r="M228" s="13" t="s">
        <v>502</v>
      </c>
      <c r="N228" s="13" t="s">
        <v>503</v>
      </c>
    </row>
    <row r="229">
      <c r="A229" s="2"/>
      <c r="B229" s="16" t="s">
        <v>510</v>
      </c>
      <c r="C229" s="4" t="s">
        <v>15</v>
      </c>
      <c r="D229" s="12">
        <v>0.01744212962962963</v>
      </c>
      <c r="E229" s="2" t="str">
        <f t="shared" si="1"/>
        <v>Chassis Upgrade and Reload</v>
      </c>
      <c r="F229" s="6">
        <v>5.0</v>
      </c>
      <c r="G229" s="2" t="s">
        <v>511</v>
      </c>
      <c r="H229" s="13" t="s">
        <v>17</v>
      </c>
      <c r="I229" s="13" t="s">
        <v>18</v>
      </c>
      <c r="J229" s="13" t="s">
        <v>18</v>
      </c>
      <c r="K229" s="13" t="s">
        <v>18</v>
      </c>
      <c r="L229" s="13" t="s">
        <v>254</v>
      </c>
      <c r="M229" s="13" t="s">
        <v>502</v>
      </c>
      <c r="N229" s="13" t="s">
        <v>503</v>
      </c>
    </row>
    <row r="230">
      <c r="A230" s="2"/>
      <c r="B230" s="16" t="s">
        <v>512</v>
      </c>
      <c r="C230" s="4" t="s">
        <v>15</v>
      </c>
      <c r="D230" s="12">
        <v>0.00542824074074074</v>
      </c>
      <c r="E230" s="2" t="str">
        <f t="shared" si="1"/>
        <v>Chassis Upgrade and Reload</v>
      </c>
      <c r="F230" s="6">
        <v>6.0</v>
      </c>
      <c r="G230" s="2" t="s">
        <v>513</v>
      </c>
      <c r="H230" s="13" t="s">
        <v>17</v>
      </c>
      <c r="I230" s="13" t="s">
        <v>18</v>
      </c>
      <c r="J230" s="13" t="s">
        <v>18</v>
      </c>
      <c r="K230" s="13" t="s">
        <v>18</v>
      </c>
      <c r="L230" s="13" t="s">
        <v>254</v>
      </c>
      <c r="M230" s="13" t="s">
        <v>502</v>
      </c>
      <c r="N230" s="13" t="s">
        <v>503</v>
      </c>
    </row>
    <row r="231">
      <c r="A231" s="2"/>
      <c r="B231" s="16" t="s">
        <v>514</v>
      </c>
      <c r="C231" s="4" t="s">
        <v>15</v>
      </c>
      <c r="D231" s="12">
        <v>0.011620370370370371</v>
      </c>
      <c r="E231" s="2" t="str">
        <f t="shared" si="1"/>
        <v>TapAgg</v>
      </c>
      <c r="F231" s="6">
        <v>6.0</v>
      </c>
      <c r="G231" s="2" t="s">
        <v>515</v>
      </c>
      <c r="H231" s="13" t="s">
        <v>17</v>
      </c>
      <c r="I231" s="13" t="s">
        <v>18</v>
      </c>
      <c r="J231" s="13" t="s">
        <v>18</v>
      </c>
      <c r="K231" s="13" t="s">
        <v>18</v>
      </c>
      <c r="L231" s="13" t="s">
        <v>254</v>
      </c>
      <c r="M231" s="13" t="s">
        <v>257</v>
      </c>
      <c r="N231" s="13" t="s">
        <v>516</v>
      </c>
    </row>
    <row r="232">
      <c r="A232" s="2"/>
      <c r="B232" s="16" t="s">
        <v>517</v>
      </c>
      <c r="C232" s="4" t="s">
        <v>15</v>
      </c>
      <c r="D232" s="12">
        <v>0.015277777777777777</v>
      </c>
      <c r="E232" s="2" t="str">
        <f t="shared" si="1"/>
        <v>TapAgg</v>
      </c>
      <c r="F232" s="6">
        <v>6.0</v>
      </c>
      <c r="G232" s="2" t="s">
        <v>518</v>
      </c>
      <c r="H232" s="13" t="s">
        <v>17</v>
      </c>
      <c r="I232" s="13" t="s">
        <v>18</v>
      </c>
      <c r="J232" s="13" t="s">
        <v>18</v>
      </c>
      <c r="K232" s="13" t="s">
        <v>18</v>
      </c>
      <c r="L232" s="13" t="s">
        <v>254</v>
      </c>
      <c r="M232" s="13" t="s">
        <v>257</v>
      </c>
      <c r="N232" s="13" t="s">
        <v>516</v>
      </c>
    </row>
    <row r="233">
      <c r="A233" s="2"/>
      <c r="B233" s="16" t="s">
        <v>519</v>
      </c>
      <c r="C233" s="4" t="s">
        <v>15</v>
      </c>
      <c r="D233" s="12">
        <v>0.01105324074074074</v>
      </c>
      <c r="E233" s="2" t="str">
        <f t="shared" si="1"/>
        <v>TapAgg</v>
      </c>
      <c r="F233" s="6">
        <v>6.0</v>
      </c>
      <c r="G233" s="2" t="s">
        <v>520</v>
      </c>
      <c r="H233" s="13" t="s">
        <v>17</v>
      </c>
      <c r="I233" s="13" t="s">
        <v>18</v>
      </c>
      <c r="J233" s="13" t="s">
        <v>18</v>
      </c>
      <c r="K233" s="13" t="s">
        <v>18</v>
      </c>
      <c r="L233" s="13" t="s">
        <v>254</v>
      </c>
      <c r="M233" s="13" t="s">
        <v>257</v>
      </c>
      <c r="N233" s="13" t="s">
        <v>516</v>
      </c>
    </row>
    <row r="234">
      <c r="A234" s="14"/>
      <c r="B234" s="16" t="s">
        <v>521</v>
      </c>
      <c r="C234" s="4" t="s">
        <v>100</v>
      </c>
      <c r="D234" s="5">
        <v>0.013888888888888888</v>
      </c>
      <c r="E234" s="14" t="str">
        <f t="shared" si="1"/>
        <v>TapAgg</v>
      </c>
      <c r="F234" s="6">
        <v>6.0</v>
      </c>
      <c r="G234" s="14"/>
      <c r="H234" s="15"/>
      <c r="I234" s="15">
        <v>2025.1</v>
      </c>
      <c r="J234" s="15" t="s">
        <v>101</v>
      </c>
      <c r="K234" s="15" t="s">
        <v>18</v>
      </c>
      <c r="L234" s="15" t="s">
        <v>19</v>
      </c>
      <c r="M234" s="15"/>
      <c r="N234" s="15" t="s">
        <v>516</v>
      </c>
    </row>
    <row r="235">
      <c r="A235" s="2"/>
      <c r="B235" s="16" t="s">
        <v>522</v>
      </c>
      <c r="C235" s="4" t="s">
        <v>15</v>
      </c>
      <c r="D235" s="12">
        <v>0.010868055555555556</v>
      </c>
      <c r="E235" s="2" t="str">
        <f t="shared" si="1"/>
        <v>Lab - AEM</v>
      </c>
      <c r="F235" s="6">
        <v>7.0</v>
      </c>
      <c r="G235" s="2" t="s">
        <v>523</v>
      </c>
      <c r="H235" s="13" t="s">
        <v>17</v>
      </c>
      <c r="I235" s="13" t="s">
        <v>18</v>
      </c>
      <c r="J235" s="13" t="s">
        <v>18</v>
      </c>
      <c r="K235" s="13" t="s">
        <v>18</v>
      </c>
      <c r="L235" s="13"/>
      <c r="M235" s="13" t="s">
        <v>502</v>
      </c>
      <c r="N235" s="13" t="s">
        <v>524</v>
      </c>
    </row>
    <row r="236">
      <c r="A236" s="2"/>
      <c r="B236" s="16" t="s">
        <v>525</v>
      </c>
      <c r="C236" s="4" t="s">
        <v>15</v>
      </c>
      <c r="D236" s="12">
        <v>0.01457175925925926</v>
      </c>
      <c r="E236" s="2" t="str">
        <f t="shared" si="1"/>
        <v>Lab - AEM</v>
      </c>
      <c r="F236" s="6">
        <v>5.0</v>
      </c>
      <c r="G236" s="2" t="s">
        <v>526</v>
      </c>
      <c r="H236" s="13" t="s">
        <v>17</v>
      </c>
      <c r="I236" s="13" t="s">
        <v>18</v>
      </c>
      <c r="J236" s="13" t="s">
        <v>18</v>
      </c>
      <c r="K236" s="13" t="s">
        <v>18</v>
      </c>
      <c r="L236" s="13"/>
      <c r="M236" s="13" t="s">
        <v>502</v>
      </c>
      <c r="N236" s="13" t="s">
        <v>524</v>
      </c>
    </row>
    <row r="237">
      <c r="A237" s="2"/>
      <c r="B237" s="16" t="s">
        <v>527</v>
      </c>
      <c r="C237" s="4" t="s">
        <v>15</v>
      </c>
      <c r="D237" s="12">
        <v>0.00755787037037037</v>
      </c>
      <c r="E237" s="2" t="str">
        <f t="shared" si="1"/>
        <v>Lab - AEM</v>
      </c>
      <c r="F237" s="6">
        <v>5.0</v>
      </c>
      <c r="G237" s="2" t="s">
        <v>528</v>
      </c>
      <c r="H237" s="13" t="s">
        <v>17</v>
      </c>
      <c r="I237" s="13" t="s">
        <v>18</v>
      </c>
      <c r="J237" s="13" t="s">
        <v>18</v>
      </c>
      <c r="K237" s="13" t="s">
        <v>18</v>
      </c>
      <c r="L237" s="13"/>
      <c r="M237" s="13" t="s">
        <v>502</v>
      </c>
      <c r="N237" s="13" t="s">
        <v>524</v>
      </c>
    </row>
    <row r="238">
      <c r="A238" s="2"/>
      <c r="B238" s="16" t="s">
        <v>529</v>
      </c>
      <c r="C238" s="4" t="s">
        <v>15</v>
      </c>
      <c r="D238" s="12">
        <v>0.005</v>
      </c>
      <c r="E238" s="2" t="str">
        <f t="shared" si="1"/>
        <v>Lab - AEM</v>
      </c>
      <c r="F238" s="6">
        <v>6.0</v>
      </c>
      <c r="G238" s="2" t="s">
        <v>530</v>
      </c>
      <c r="H238" s="13" t="s">
        <v>17</v>
      </c>
      <c r="I238" s="13" t="s">
        <v>18</v>
      </c>
      <c r="J238" s="13" t="s">
        <v>18</v>
      </c>
      <c r="K238" s="13" t="s">
        <v>18</v>
      </c>
      <c r="L238" s="13"/>
      <c r="M238" s="13" t="s">
        <v>502</v>
      </c>
      <c r="N238" s="13" t="s">
        <v>524</v>
      </c>
    </row>
    <row r="239">
      <c r="A239" s="2"/>
      <c r="B239" s="16" t="s">
        <v>531</v>
      </c>
      <c r="C239" s="4" t="s">
        <v>15</v>
      </c>
      <c r="D239" s="12">
        <v>0.011493055555555555</v>
      </c>
      <c r="E239" s="2" t="str">
        <f t="shared" si="1"/>
        <v>Lab - AEM</v>
      </c>
      <c r="F239" s="6">
        <v>6.0</v>
      </c>
      <c r="G239" s="2" t="s">
        <v>532</v>
      </c>
      <c r="H239" s="13" t="s">
        <v>17</v>
      </c>
      <c r="I239" s="13" t="s">
        <v>18</v>
      </c>
      <c r="J239" s="13" t="s">
        <v>18</v>
      </c>
      <c r="K239" s="13" t="s">
        <v>18</v>
      </c>
      <c r="L239" s="13"/>
      <c r="M239" s="13" t="s">
        <v>502</v>
      </c>
      <c r="N239" s="13" t="s">
        <v>524</v>
      </c>
    </row>
    <row r="240">
      <c r="A240" s="2"/>
      <c r="B240" s="16" t="s">
        <v>533</v>
      </c>
      <c r="C240" s="4" t="s">
        <v>15</v>
      </c>
      <c r="D240" s="12">
        <v>0.0038773148148148148</v>
      </c>
      <c r="E240" s="2" t="str">
        <f t="shared" si="1"/>
        <v>Lab - AEM</v>
      </c>
      <c r="F240" s="6">
        <v>6.0</v>
      </c>
      <c r="G240" s="2" t="s">
        <v>534</v>
      </c>
      <c r="H240" s="13" t="s">
        <v>17</v>
      </c>
      <c r="I240" s="13" t="s">
        <v>18</v>
      </c>
      <c r="J240" s="13" t="s">
        <v>18</v>
      </c>
      <c r="K240" s="13" t="s">
        <v>18</v>
      </c>
      <c r="L240" s="13"/>
      <c r="M240" s="13" t="s">
        <v>502</v>
      </c>
      <c r="N240" s="13" t="s">
        <v>524</v>
      </c>
    </row>
    <row r="241">
      <c r="A241" s="2"/>
      <c r="B241" s="16" t="s">
        <v>535</v>
      </c>
      <c r="C241" s="4" t="s">
        <v>15</v>
      </c>
      <c r="D241" s="12">
        <v>0.002951388888888889</v>
      </c>
      <c r="E241" s="2" t="str">
        <f t="shared" si="1"/>
        <v>Lab - AEM</v>
      </c>
      <c r="F241" s="6">
        <v>5.0</v>
      </c>
      <c r="G241" s="2" t="s">
        <v>536</v>
      </c>
      <c r="H241" s="13" t="s">
        <v>17</v>
      </c>
      <c r="I241" s="13" t="s">
        <v>18</v>
      </c>
      <c r="J241" s="13" t="s">
        <v>18</v>
      </c>
      <c r="K241" s="13" t="s">
        <v>18</v>
      </c>
      <c r="L241" s="13"/>
      <c r="M241" s="13" t="s">
        <v>502</v>
      </c>
      <c r="N241" s="13" t="s">
        <v>524</v>
      </c>
    </row>
    <row r="242">
      <c r="A242" s="2"/>
      <c r="B242" s="16" t="s">
        <v>537</v>
      </c>
      <c r="C242" s="4" t="s">
        <v>15</v>
      </c>
      <c r="D242" s="12">
        <v>0.012997685185185185</v>
      </c>
      <c r="E242" s="2" t="str">
        <f t="shared" si="1"/>
        <v>Lab - AEM</v>
      </c>
      <c r="F242" s="6">
        <v>6.0</v>
      </c>
      <c r="G242" s="2" t="s">
        <v>538</v>
      </c>
      <c r="H242" s="13" t="s">
        <v>17</v>
      </c>
      <c r="I242" s="13" t="s">
        <v>18</v>
      </c>
      <c r="J242" s="13" t="s">
        <v>18</v>
      </c>
      <c r="K242" s="13" t="s">
        <v>18</v>
      </c>
      <c r="L242" s="13"/>
      <c r="M242" s="13" t="s">
        <v>502</v>
      </c>
      <c r="N242" s="13" t="s">
        <v>524</v>
      </c>
    </row>
    <row r="243">
      <c r="A243" s="2"/>
      <c r="B243" s="16" t="s">
        <v>539</v>
      </c>
      <c r="C243" s="4" t="s">
        <v>15</v>
      </c>
      <c r="D243" s="12">
        <v>0.02556712962962963</v>
      </c>
      <c r="E243" s="2" t="str">
        <f t="shared" si="1"/>
        <v>Recovery Procedures</v>
      </c>
      <c r="F243" s="6">
        <v>6.0</v>
      </c>
      <c r="G243" s="2" t="s">
        <v>540</v>
      </c>
      <c r="H243" s="13" t="s">
        <v>17</v>
      </c>
      <c r="I243" s="13" t="s">
        <v>18</v>
      </c>
      <c r="J243" s="13" t="s">
        <v>18</v>
      </c>
      <c r="K243" s="13" t="s">
        <v>18</v>
      </c>
      <c r="L243" s="13" t="s">
        <v>254</v>
      </c>
      <c r="M243" s="13" t="s">
        <v>502</v>
      </c>
      <c r="N243" s="13" t="s">
        <v>541</v>
      </c>
    </row>
    <row r="244">
      <c r="A244" s="2"/>
      <c r="B244" s="16" t="s">
        <v>542</v>
      </c>
      <c r="C244" s="4" t="s">
        <v>15</v>
      </c>
      <c r="D244" s="12">
        <v>0.013298611111111112</v>
      </c>
      <c r="E244" s="2" t="str">
        <f t="shared" si="1"/>
        <v>Recovery Procedures</v>
      </c>
      <c r="F244" s="6">
        <v>5.0</v>
      </c>
      <c r="G244" s="2" t="s">
        <v>543</v>
      </c>
      <c r="H244" s="13" t="s">
        <v>17</v>
      </c>
      <c r="I244" s="13" t="s">
        <v>18</v>
      </c>
      <c r="J244" s="13" t="s">
        <v>18</v>
      </c>
      <c r="K244" s="13" t="s">
        <v>18</v>
      </c>
      <c r="L244" s="13" t="s">
        <v>254</v>
      </c>
      <c r="M244" s="13" t="s">
        <v>502</v>
      </c>
      <c r="N244" s="13" t="s">
        <v>541</v>
      </c>
    </row>
    <row r="245">
      <c r="A245" s="2"/>
      <c r="B245" s="16" t="s">
        <v>544</v>
      </c>
      <c r="C245" s="4" t="s">
        <v>15</v>
      </c>
      <c r="D245" s="12">
        <v>0.01375</v>
      </c>
      <c r="E245" s="2" t="str">
        <f t="shared" si="1"/>
        <v>Debugging Layer2 with CVP</v>
      </c>
      <c r="F245" s="6">
        <v>6.0</v>
      </c>
      <c r="G245" s="2" t="s">
        <v>545</v>
      </c>
      <c r="H245" s="13" t="s">
        <v>17</v>
      </c>
      <c r="I245" s="13" t="s">
        <v>18</v>
      </c>
      <c r="J245" s="13" t="s">
        <v>18</v>
      </c>
      <c r="K245" s="13" t="s">
        <v>18</v>
      </c>
      <c r="L245" s="13" t="s">
        <v>254</v>
      </c>
      <c r="M245" s="13" t="s">
        <v>502</v>
      </c>
      <c r="N245" s="13" t="s">
        <v>546</v>
      </c>
    </row>
    <row r="246">
      <c r="A246" s="2"/>
      <c r="B246" s="16" t="s">
        <v>547</v>
      </c>
      <c r="C246" s="4" t="s">
        <v>15</v>
      </c>
      <c r="D246" s="12">
        <v>0.021608796296296296</v>
      </c>
      <c r="E246" s="2" t="str">
        <f t="shared" si="1"/>
        <v>Debugging Layer 3 with CVP</v>
      </c>
      <c r="F246" s="6">
        <v>8.0</v>
      </c>
      <c r="G246" s="2" t="s">
        <v>548</v>
      </c>
      <c r="H246" s="13" t="s">
        <v>17</v>
      </c>
      <c r="I246" s="13" t="s">
        <v>18</v>
      </c>
      <c r="J246" s="13" t="s">
        <v>18</v>
      </c>
      <c r="K246" s="13" t="s">
        <v>18</v>
      </c>
      <c r="L246" s="13"/>
      <c r="M246" s="13" t="s">
        <v>492</v>
      </c>
      <c r="N246" s="13" t="s">
        <v>549</v>
      </c>
    </row>
    <row r="247">
      <c r="A247" s="2"/>
      <c r="B247" s="16" t="s">
        <v>550</v>
      </c>
      <c r="C247" s="4" t="s">
        <v>15</v>
      </c>
      <c r="D247" s="12">
        <v>0.014166666666666666</v>
      </c>
      <c r="E247" s="2" t="str">
        <f t="shared" si="1"/>
        <v>Debugging Layer 3 with CVP</v>
      </c>
      <c r="F247" s="6">
        <v>8.0</v>
      </c>
      <c r="G247" s="2" t="s">
        <v>551</v>
      </c>
      <c r="H247" s="13" t="s">
        <v>17</v>
      </c>
      <c r="I247" s="13" t="s">
        <v>18</v>
      </c>
      <c r="J247" s="13" t="s">
        <v>18</v>
      </c>
      <c r="K247" s="13" t="s">
        <v>18</v>
      </c>
      <c r="L247" s="13"/>
      <c r="M247" s="13" t="s">
        <v>492</v>
      </c>
      <c r="N247" s="13" t="s">
        <v>549</v>
      </c>
    </row>
    <row r="248">
      <c r="A248" s="2"/>
      <c r="B248" s="16" t="s">
        <v>552</v>
      </c>
      <c r="C248" s="4" t="s">
        <v>15</v>
      </c>
      <c r="D248" s="12">
        <v>0.026712962962962963</v>
      </c>
      <c r="E248" s="2" t="str">
        <f t="shared" si="1"/>
        <v>Debugging Layer 3 with CVP</v>
      </c>
      <c r="F248" s="6">
        <v>8.0</v>
      </c>
      <c r="G248" s="2" t="s">
        <v>553</v>
      </c>
      <c r="H248" s="13" t="s">
        <v>17</v>
      </c>
      <c r="I248" s="13" t="s">
        <v>18</v>
      </c>
      <c r="J248" s="13" t="s">
        <v>18</v>
      </c>
      <c r="K248" s="13" t="s">
        <v>18</v>
      </c>
      <c r="L248" s="13"/>
      <c r="M248" s="13" t="s">
        <v>492</v>
      </c>
      <c r="N248" s="13" t="s">
        <v>549</v>
      </c>
    </row>
    <row r="249">
      <c r="A249" s="2"/>
      <c r="B249" s="16" t="s">
        <v>554</v>
      </c>
      <c r="C249" s="4" t="s">
        <v>15</v>
      </c>
      <c r="D249" s="12">
        <v>0.010289351851851852</v>
      </c>
      <c r="E249" s="2" t="str">
        <f t="shared" si="1"/>
        <v>Debugging Layer 3 with CVP</v>
      </c>
      <c r="F249" s="6">
        <v>7.0</v>
      </c>
      <c r="G249" s="2" t="s">
        <v>555</v>
      </c>
      <c r="H249" s="13" t="s">
        <v>17</v>
      </c>
      <c r="I249" s="13">
        <v>2023.1</v>
      </c>
      <c r="J249" s="13" t="s">
        <v>18</v>
      </c>
      <c r="K249" s="13" t="s">
        <v>18</v>
      </c>
      <c r="L249" s="13" t="s">
        <v>254</v>
      </c>
      <c r="M249" s="13" t="s">
        <v>492</v>
      </c>
      <c r="N249" s="13" t="s">
        <v>549</v>
      </c>
    </row>
    <row r="250">
      <c r="A250" s="2"/>
      <c r="B250" s="16" t="s">
        <v>556</v>
      </c>
      <c r="C250" s="4" t="s">
        <v>15</v>
      </c>
      <c r="D250" s="12">
        <v>0.017766203703703704</v>
      </c>
      <c r="E250" s="2" t="str">
        <f t="shared" si="1"/>
        <v>Debugging Layer 3 with CVP</v>
      </c>
      <c r="F250" s="6">
        <v>8.0</v>
      </c>
      <c r="G250" s="2" t="s">
        <v>557</v>
      </c>
      <c r="H250" s="13" t="s">
        <v>17</v>
      </c>
      <c r="I250" s="13" t="s">
        <v>18</v>
      </c>
      <c r="J250" s="13" t="s">
        <v>18</v>
      </c>
      <c r="K250" s="13" t="s">
        <v>18</v>
      </c>
      <c r="L250" s="13"/>
      <c r="M250" s="13" t="s">
        <v>492</v>
      </c>
      <c r="N250" s="13" t="s">
        <v>549</v>
      </c>
    </row>
    <row r="251">
      <c r="A251" s="2"/>
      <c r="B251" s="16" t="s">
        <v>558</v>
      </c>
      <c r="C251" s="4" t="s">
        <v>15</v>
      </c>
      <c r="D251" s="12">
        <v>0.017060185185185185</v>
      </c>
      <c r="E251" s="2" t="str">
        <f t="shared" si="1"/>
        <v>Debugging Layer 3 with CVP</v>
      </c>
      <c r="F251" s="6">
        <v>7.0</v>
      </c>
      <c r="G251" s="2" t="s">
        <v>559</v>
      </c>
      <c r="H251" s="13" t="s">
        <v>17</v>
      </c>
      <c r="I251" s="13">
        <v>2023.1</v>
      </c>
      <c r="J251" s="13" t="s">
        <v>18</v>
      </c>
      <c r="K251" s="13" t="s">
        <v>18</v>
      </c>
      <c r="L251" s="13" t="s">
        <v>254</v>
      </c>
      <c r="M251" s="13" t="s">
        <v>492</v>
      </c>
      <c r="N251" s="13" t="s">
        <v>549</v>
      </c>
    </row>
    <row r="252">
      <c r="A252" s="2"/>
      <c r="B252" s="16" t="s">
        <v>560</v>
      </c>
      <c r="C252" s="4" t="s">
        <v>15</v>
      </c>
      <c r="D252" s="12">
        <v>0.018738425925925926</v>
      </c>
      <c r="E252" s="2" t="str">
        <f t="shared" si="1"/>
        <v>Debugging Layer 3 with CVP</v>
      </c>
      <c r="F252" s="6">
        <v>8.0</v>
      </c>
      <c r="G252" s="2" t="s">
        <v>561</v>
      </c>
      <c r="H252" s="13" t="s">
        <v>17</v>
      </c>
      <c r="I252" s="13" t="s">
        <v>18</v>
      </c>
      <c r="J252" s="13" t="s">
        <v>18</v>
      </c>
      <c r="K252" s="13" t="s">
        <v>18</v>
      </c>
      <c r="L252" s="13"/>
      <c r="M252" s="13" t="s">
        <v>492</v>
      </c>
      <c r="N252" s="13" t="s">
        <v>549</v>
      </c>
    </row>
    <row r="253">
      <c r="A253" s="2"/>
      <c r="B253" s="16" t="s">
        <v>562</v>
      </c>
      <c r="C253" s="4" t="s">
        <v>15</v>
      </c>
      <c r="D253" s="12">
        <v>0.013773148148148149</v>
      </c>
      <c r="E253" s="2" t="str">
        <f t="shared" si="1"/>
        <v>Troubleshoot Virtual MAC Flapping in VXLAN Routing with CLI</v>
      </c>
      <c r="F253" s="6">
        <v>9.0</v>
      </c>
      <c r="G253" s="2" t="s">
        <v>563</v>
      </c>
      <c r="H253" s="13" t="s">
        <v>17</v>
      </c>
      <c r="I253" s="13" t="s">
        <v>18</v>
      </c>
      <c r="J253" s="13" t="s">
        <v>18</v>
      </c>
      <c r="K253" s="13" t="s">
        <v>18</v>
      </c>
      <c r="L253" s="13"/>
      <c r="M253" s="13" t="s">
        <v>492</v>
      </c>
      <c r="N253" s="13" t="s">
        <v>564</v>
      </c>
    </row>
    <row r="254">
      <c r="A254" s="2"/>
      <c r="B254" s="16" t="s">
        <v>565</v>
      </c>
      <c r="C254" s="4" t="s">
        <v>15</v>
      </c>
      <c r="D254" s="12">
        <v>0.010543981481481482</v>
      </c>
      <c r="E254" s="2" t="str">
        <f t="shared" si="1"/>
        <v>Troubleshoot Virtual MAC Flapping in VXLAN Routing with CLI</v>
      </c>
      <c r="F254" s="6">
        <v>9.0</v>
      </c>
      <c r="G254" s="2" t="s">
        <v>566</v>
      </c>
      <c r="H254" s="13" t="s">
        <v>17</v>
      </c>
      <c r="I254" s="13" t="s">
        <v>18</v>
      </c>
      <c r="J254" s="13" t="s">
        <v>18</v>
      </c>
      <c r="K254" s="13" t="s">
        <v>18</v>
      </c>
      <c r="L254" s="13"/>
      <c r="M254" s="13" t="s">
        <v>492</v>
      </c>
      <c r="N254" s="13" t="s">
        <v>564</v>
      </c>
    </row>
    <row r="255">
      <c r="A255" s="2"/>
      <c r="B255" s="16" t="s">
        <v>567</v>
      </c>
      <c r="C255" s="4" t="s">
        <v>15</v>
      </c>
      <c r="D255" s="12">
        <v>0.007581018518518518</v>
      </c>
      <c r="E255" s="2" t="str">
        <f t="shared" si="1"/>
        <v>Troubleshoot Virtual MAC Flapping in VXLAN Routing with CLI</v>
      </c>
      <c r="F255" s="6">
        <v>9.0</v>
      </c>
      <c r="G255" s="2" t="s">
        <v>568</v>
      </c>
      <c r="H255" s="13" t="s">
        <v>17</v>
      </c>
      <c r="I255" s="13" t="s">
        <v>18</v>
      </c>
      <c r="J255" s="13" t="s">
        <v>18</v>
      </c>
      <c r="K255" s="13" t="s">
        <v>18</v>
      </c>
      <c r="L255" s="13"/>
      <c r="M255" s="13" t="s">
        <v>492</v>
      </c>
      <c r="N255" s="13" t="s">
        <v>564</v>
      </c>
    </row>
    <row r="256">
      <c r="A256" s="2"/>
      <c r="B256" s="16" t="s">
        <v>569</v>
      </c>
      <c r="C256" s="4" t="s">
        <v>15</v>
      </c>
      <c r="D256" s="12">
        <v>0.025347222222222222</v>
      </c>
      <c r="E256" s="2" t="str">
        <f t="shared" si="1"/>
        <v>Troubleshoot Virtual MAC Flapping in VXLAN Routing with CLI</v>
      </c>
      <c r="F256" s="6">
        <v>9.0</v>
      </c>
      <c r="G256" s="2" t="s">
        <v>570</v>
      </c>
      <c r="H256" s="13" t="s">
        <v>17</v>
      </c>
      <c r="I256" s="13" t="s">
        <v>18</v>
      </c>
      <c r="J256" s="13" t="s">
        <v>18</v>
      </c>
      <c r="K256" s="13" t="s">
        <v>18</v>
      </c>
      <c r="L256" s="13"/>
      <c r="M256" s="13" t="s">
        <v>492</v>
      </c>
      <c r="N256" s="13" t="s">
        <v>564</v>
      </c>
    </row>
    <row r="257">
      <c r="A257" s="2"/>
      <c r="B257" s="16" t="s">
        <v>571</v>
      </c>
      <c r="C257" s="4" t="s">
        <v>15</v>
      </c>
      <c r="D257" s="12">
        <v>0.015810185185185184</v>
      </c>
      <c r="E257" s="2" t="str">
        <f t="shared" si="1"/>
        <v>Troubleshoot Virtual MAC Flapping in VXLAN Routing with CLI</v>
      </c>
      <c r="F257" s="6">
        <v>9.0</v>
      </c>
      <c r="G257" s="2" t="s">
        <v>572</v>
      </c>
      <c r="H257" s="13" t="s">
        <v>17</v>
      </c>
      <c r="I257" s="13" t="s">
        <v>18</v>
      </c>
      <c r="J257" s="13" t="s">
        <v>18</v>
      </c>
      <c r="K257" s="13" t="s">
        <v>18</v>
      </c>
      <c r="L257" s="13"/>
      <c r="M257" s="13" t="s">
        <v>492</v>
      </c>
      <c r="N257" s="13" t="s">
        <v>564</v>
      </c>
    </row>
    <row r="258">
      <c r="A258" s="2"/>
      <c r="B258" s="16" t="s">
        <v>573</v>
      </c>
      <c r="C258" s="4" t="s">
        <v>15</v>
      </c>
      <c r="D258" s="12">
        <v>0.007418981481481481</v>
      </c>
      <c r="E258" s="2" t="str">
        <f t="shared" si="1"/>
        <v>Troubleshoot Virtual MAC Flapping in VXLAN Routing with CLI</v>
      </c>
      <c r="F258" s="6">
        <v>9.0</v>
      </c>
      <c r="G258" s="2" t="s">
        <v>574</v>
      </c>
      <c r="H258" s="13" t="s">
        <v>17</v>
      </c>
      <c r="I258" s="13" t="s">
        <v>18</v>
      </c>
      <c r="J258" s="13" t="s">
        <v>18</v>
      </c>
      <c r="K258" s="13" t="s">
        <v>18</v>
      </c>
      <c r="L258" s="13"/>
      <c r="M258" s="13" t="s">
        <v>492</v>
      </c>
      <c r="N258" s="13" t="s">
        <v>564</v>
      </c>
    </row>
    <row r="259">
      <c r="A259" s="2"/>
      <c r="B259" s="16" t="s">
        <v>575</v>
      </c>
      <c r="C259" s="4" t="s">
        <v>15</v>
      </c>
      <c r="D259" s="12">
        <v>0.011539351851851851</v>
      </c>
      <c r="E259" s="2" t="str">
        <f t="shared" si="1"/>
        <v>Troubleshoot Connectivity issue in EVPN Multihoming environment</v>
      </c>
      <c r="F259" s="6">
        <v>5.0</v>
      </c>
      <c r="G259" s="2" t="s">
        <v>576</v>
      </c>
      <c r="H259" s="13" t="s">
        <v>17</v>
      </c>
      <c r="I259" s="13">
        <v>2023.1</v>
      </c>
      <c r="J259" s="13" t="s">
        <v>18</v>
      </c>
      <c r="K259" s="13" t="s">
        <v>18</v>
      </c>
      <c r="L259" s="13" t="s">
        <v>254</v>
      </c>
      <c r="M259" s="13" t="s">
        <v>492</v>
      </c>
      <c r="N259" s="13" t="s">
        <v>577</v>
      </c>
    </row>
    <row r="260">
      <c r="A260" s="2"/>
      <c r="B260" s="16" t="s">
        <v>578</v>
      </c>
      <c r="C260" s="4" t="s">
        <v>15</v>
      </c>
      <c r="D260" s="12">
        <v>0.015775462962962963</v>
      </c>
      <c r="E260" s="2" t="str">
        <f t="shared" si="1"/>
        <v>Troubleshoot Connectivity issue in EVPN Multihoming environment</v>
      </c>
      <c r="F260" s="6">
        <v>4.0</v>
      </c>
      <c r="G260" s="2" t="s">
        <v>579</v>
      </c>
      <c r="H260" s="13" t="s">
        <v>17</v>
      </c>
      <c r="I260" s="13">
        <v>2023.1</v>
      </c>
      <c r="J260" s="13" t="s">
        <v>18</v>
      </c>
      <c r="K260" s="13" t="s">
        <v>18</v>
      </c>
      <c r="L260" s="13" t="s">
        <v>254</v>
      </c>
      <c r="M260" s="13" t="s">
        <v>492</v>
      </c>
      <c r="N260" s="13" t="s">
        <v>577</v>
      </c>
    </row>
    <row r="261">
      <c r="A261" s="2"/>
      <c r="B261" s="16" t="s">
        <v>580</v>
      </c>
      <c r="C261" s="4" t="s">
        <v>15</v>
      </c>
      <c r="D261" s="12">
        <v>0.0077314814814814815</v>
      </c>
      <c r="E261" s="2" t="str">
        <f t="shared" si="1"/>
        <v>Troubleshoot Connectivity issue in EVPN Multihoming environment</v>
      </c>
      <c r="F261" s="6">
        <v>4.0</v>
      </c>
      <c r="G261" s="2" t="s">
        <v>581</v>
      </c>
      <c r="H261" s="13" t="s">
        <v>17</v>
      </c>
      <c r="I261" s="13">
        <v>2023.1</v>
      </c>
      <c r="J261" s="13" t="s">
        <v>18</v>
      </c>
      <c r="K261" s="13" t="s">
        <v>18</v>
      </c>
      <c r="L261" s="13" t="s">
        <v>254</v>
      </c>
      <c r="M261" s="13" t="s">
        <v>492</v>
      </c>
      <c r="N261" s="13" t="s">
        <v>577</v>
      </c>
    </row>
    <row r="262">
      <c r="A262" s="2"/>
      <c r="B262" s="16" t="s">
        <v>582</v>
      </c>
      <c r="C262" s="4" t="s">
        <v>15</v>
      </c>
      <c r="D262" s="12">
        <v>0.015069444444444444</v>
      </c>
      <c r="E262" s="2" t="str">
        <f t="shared" si="1"/>
        <v>Troubleshoot Connectivity issue in EVPN Multihoming environment</v>
      </c>
      <c r="F262" s="6">
        <v>5.0</v>
      </c>
      <c r="G262" s="2" t="s">
        <v>583</v>
      </c>
      <c r="H262" s="13" t="s">
        <v>17</v>
      </c>
      <c r="I262" s="13">
        <v>2023.1</v>
      </c>
      <c r="J262" s="13" t="s">
        <v>18</v>
      </c>
      <c r="K262" s="13" t="s">
        <v>18</v>
      </c>
      <c r="L262" s="13" t="s">
        <v>254</v>
      </c>
      <c r="M262" s="13" t="s">
        <v>492</v>
      </c>
      <c r="N262" s="13" t="s">
        <v>577</v>
      </c>
    </row>
    <row r="263">
      <c r="A263" s="2"/>
      <c r="B263" s="16" t="s">
        <v>584</v>
      </c>
      <c r="C263" s="4" t="s">
        <v>15</v>
      </c>
      <c r="D263" s="12">
        <v>0.018657407407407407</v>
      </c>
      <c r="E263" s="2" t="str">
        <f t="shared" si="1"/>
        <v>Troubleshoot Connectivity issue in EVPN Multihoming environment</v>
      </c>
      <c r="F263" s="6">
        <v>6.0</v>
      </c>
      <c r="G263" s="2" t="s">
        <v>585</v>
      </c>
      <c r="H263" s="13" t="s">
        <v>17</v>
      </c>
      <c r="I263" s="13">
        <v>2023.1</v>
      </c>
      <c r="J263" s="13" t="s">
        <v>18</v>
      </c>
      <c r="K263" s="13" t="s">
        <v>18</v>
      </c>
      <c r="L263" s="13" t="s">
        <v>254</v>
      </c>
      <c r="M263" s="13" t="s">
        <v>492</v>
      </c>
      <c r="N263" s="13" t="s">
        <v>577</v>
      </c>
    </row>
    <row r="264">
      <c r="A264" s="2"/>
      <c r="B264" s="16" t="s">
        <v>586</v>
      </c>
      <c r="C264" s="4" t="s">
        <v>15</v>
      </c>
      <c r="D264" s="12">
        <v>0.02</v>
      </c>
      <c r="E264" s="2" t="str">
        <f t="shared" si="1"/>
        <v>Troubleshoot Connectivity issue in EVPN Multihoming environment</v>
      </c>
      <c r="F264" s="6">
        <v>6.0</v>
      </c>
      <c r="G264" s="2" t="s">
        <v>587</v>
      </c>
      <c r="H264" s="13" t="s">
        <v>17</v>
      </c>
      <c r="I264" s="13">
        <v>2023.1</v>
      </c>
      <c r="J264" s="13" t="s">
        <v>18</v>
      </c>
      <c r="K264" s="13" t="s">
        <v>18</v>
      </c>
      <c r="L264" s="13" t="s">
        <v>254</v>
      </c>
      <c r="M264" s="13" t="s">
        <v>492</v>
      </c>
      <c r="N264" s="13" t="s">
        <v>577</v>
      </c>
    </row>
    <row r="265">
      <c r="A265" s="2"/>
      <c r="B265" s="16" t="s">
        <v>588</v>
      </c>
      <c r="C265" s="4" t="s">
        <v>15</v>
      </c>
      <c r="D265" s="12">
        <v>0.01628472222222222</v>
      </c>
      <c r="E265" s="2" t="str">
        <f t="shared" si="1"/>
        <v>Troubleshoot Connectivity issue in EVPN Multihoming environment</v>
      </c>
      <c r="F265" s="6">
        <v>7.0</v>
      </c>
      <c r="G265" s="2" t="s">
        <v>589</v>
      </c>
      <c r="H265" s="13" t="s">
        <v>17</v>
      </c>
      <c r="I265" s="13">
        <v>2023.1</v>
      </c>
      <c r="J265" s="13" t="s">
        <v>18</v>
      </c>
      <c r="K265" s="13" t="s">
        <v>18</v>
      </c>
      <c r="L265" s="13" t="s">
        <v>254</v>
      </c>
      <c r="M265" s="13" t="s">
        <v>492</v>
      </c>
      <c r="N265" s="13" t="s">
        <v>577</v>
      </c>
    </row>
    <row r="266">
      <c r="A266" s="2"/>
      <c r="B266" s="16" t="s">
        <v>590</v>
      </c>
      <c r="C266" s="4" t="s">
        <v>15</v>
      </c>
      <c r="D266" s="12">
        <v>0.018159722222222223</v>
      </c>
      <c r="E266" s="2" t="str">
        <f t="shared" si="1"/>
        <v>Troubleshoot Connectivity issue in EVPN Multihoming environment</v>
      </c>
      <c r="F266" s="6">
        <v>5.0</v>
      </c>
      <c r="G266" s="2" t="s">
        <v>591</v>
      </c>
      <c r="H266" s="13" t="s">
        <v>17</v>
      </c>
      <c r="I266" s="13">
        <v>2023.1</v>
      </c>
      <c r="J266" s="13" t="s">
        <v>18</v>
      </c>
      <c r="K266" s="13" t="s">
        <v>18</v>
      </c>
      <c r="L266" s="13" t="s">
        <v>254</v>
      </c>
      <c r="M266" s="13" t="s">
        <v>492</v>
      </c>
      <c r="N266" s="13" t="s">
        <v>577</v>
      </c>
    </row>
    <row r="267">
      <c r="A267" s="2"/>
      <c r="B267" s="16" t="s">
        <v>592</v>
      </c>
      <c r="C267" s="4" t="s">
        <v>15</v>
      </c>
      <c r="D267" s="12">
        <v>0.011689814814814814</v>
      </c>
      <c r="E267" s="2" t="str">
        <f t="shared" si="1"/>
        <v>Troubleshoot Connectivity issue in EVPN Multihoming environment</v>
      </c>
      <c r="F267" s="6">
        <v>5.0</v>
      </c>
      <c r="G267" s="2" t="s">
        <v>593</v>
      </c>
      <c r="H267" s="13" t="s">
        <v>17</v>
      </c>
      <c r="I267" s="13">
        <v>2023.1</v>
      </c>
      <c r="J267" s="13" t="s">
        <v>18</v>
      </c>
      <c r="K267" s="13" t="s">
        <v>18</v>
      </c>
      <c r="L267" s="13" t="s">
        <v>254</v>
      </c>
      <c r="M267" s="13" t="s">
        <v>492</v>
      </c>
      <c r="N267" s="13" t="s">
        <v>577</v>
      </c>
    </row>
    <row r="268">
      <c r="A268" s="2"/>
      <c r="B268" s="16" t="s">
        <v>594</v>
      </c>
      <c r="C268" s="4" t="s">
        <v>15</v>
      </c>
      <c r="D268" s="12">
        <v>0.01511574074074074</v>
      </c>
      <c r="E268" s="2" t="str">
        <f t="shared" si="1"/>
        <v>Troubleshoot Connectivity issue in EVPN Multihoming environment</v>
      </c>
      <c r="F268" s="6">
        <v>6.0</v>
      </c>
      <c r="G268" s="2" t="s">
        <v>595</v>
      </c>
      <c r="H268" s="13" t="s">
        <v>17</v>
      </c>
      <c r="I268" s="13">
        <v>2023.1</v>
      </c>
      <c r="J268" s="13" t="s">
        <v>18</v>
      </c>
      <c r="K268" s="13" t="s">
        <v>18</v>
      </c>
      <c r="L268" s="13" t="s">
        <v>254</v>
      </c>
      <c r="M268" s="13" t="s">
        <v>492</v>
      </c>
      <c r="N268" s="13" t="s">
        <v>577</v>
      </c>
    </row>
    <row r="269">
      <c r="A269" s="2"/>
      <c r="B269" s="16" t="s">
        <v>596</v>
      </c>
      <c r="C269" s="4" t="s">
        <v>15</v>
      </c>
      <c r="D269" s="12">
        <v>0.0013194444444444445</v>
      </c>
      <c r="E269" s="2" t="str">
        <f t="shared" si="1"/>
        <v>Configuring Automated Notifications and Custom Events With CVP</v>
      </c>
      <c r="F269" s="6">
        <v>2.0</v>
      </c>
      <c r="G269" s="2" t="s">
        <v>597</v>
      </c>
      <c r="H269" s="13" t="s">
        <v>598</v>
      </c>
      <c r="I269" s="13" t="s">
        <v>18</v>
      </c>
      <c r="J269" s="13" t="s">
        <v>18</v>
      </c>
      <c r="K269" s="13" t="s">
        <v>18</v>
      </c>
      <c r="L269" s="13"/>
      <c r="M269" s="13" t="s">
        <v>492</v>
      </c>
      <c r="N269" s="13" t="s">
        <v>599</v>
      </c>
    </row>
    <row r="270">
      <c r="A270" s="2"/>
      <c r="B270" s="16" t="s">
        <v>600</v>
      </c>
      <c r="C270" s="4" t="s">
        <v>15</v>
      </c>
      <c r="D270" s="12">
        <v>0.0037847222222222223</v>
      </c>
      <c r="E270" s="2" t="str">
        <f t="shared" si="1"/>
        <v>Configuring Automated Notifications and Custom Events With CVP</v>
      </c>
      <c r="F270" s="6">
        <v>8.0</v>
      </c>
      <c r="G270" s="2" t="s">
        <v>601</v>
      </c>
      <c r="H270" s="13" t="s">
        <v>598</v>
      </c>
      <c r="I270" s="13" t="s">
        <v>18</v>
      </c>
      <c r="J270" s="13" t="s">
        <v>18</v>
      </c>
      <c r="K270" s="13" t="s">
        <v>18</v>
      </c>
      <c r="L270" s="13"/>
      <c r="M270" s="13" t="s">
        <v>492</v>
      </c>
      <c r="N270" s="13" t="s">
        <v>599</v>
      </c>
    </row>
    <row r="271">
      <c r="A271" s="2"/>
      <c r="B271" s="16" t="s">
        <v>602</v>
      </c>
      <c r="C271" s="4" t="s">
        <v>15</v>
      </c>
      <c r="D271" s="12">
        <v>0.0040625</v>
      </c>
      <c r="E271" s="2" t="str">
        <f t="shared" si="1"/>
        <v>Configuring Automated Notifications and Custom Events With CVP</v>
      </c>
      <c r="F271" s="6">
        <v>8.0</v>
      </c>
      <c r="G271" s="2" t="s">
        <v>603</v>
      </c>
      <c r="H271" s="13" t="s">
        <v>598</v>
      </c>
      <c r="I271" s="13" t="s">
        <v>18</v>
      </c>
      <c r="J271" s="13" t="s">
        <v>18</v>
      </c>
      <c r="K271" s="13" t="s">
        <v>18</v>
      </c>
      <c r="L271" s="13"/>
      <c r="M271" s="13" t="s">
        <v>492</v>
      </c>
      <c r="N271" s="13" t="s">
        <v>599</v>
      </c>
    </row>
    <row r="272" ht="18.0" customHeight="1">
      <c r="A272" s="2"/>
      <c r="B272" s="16" t="s">
        <v>604</v>
      </c>
      <c r="C272" s="4" t="s">
        <v>15</v>
      </c>
      <c r="D272" s="12">
        <v>0.004409722222222222</v>
      </c>
      <c r="E272" s="2" t="str">
        <f t="shared" si="1"/>
        <v>Configuring Automated Notifications and Custom Events With CVP</v>
      </c>
      <c r="F272" s="6">
        <v>9.0</v>
      </c>
      <c r="G272" s="2" t="s">
        <v>605</v>
      </c>
      <c r="H272" s="13" t="s">
        <v>598</v>
      </c>
      <c r="I272" s="13" t="s">
        <v>18</v>
      </c>
      <c r="J272" s="13" t="s">
        <v>18</v>
      </c>
      <c r="K272" s="13" t="s">
        <v>18</v>
      </c>
      <c r="L272" s="13"/>
      <c r="M272" s="13" t="s">
        <v>492</v>
      </c>
      <c r="N272" s="13" t="s">
        <v>599</v>
      </c>
    </row>
    <row r="273" ht="15.0" customHeight="1">
      <c r="A273" s="2"/>
      <c r="B273" s="16" t="s">
        <v>606</v>
      </c>
      <c r="C273" s="4" t="s">
        <v>15</v>
      </c>
      <c r="D273" s="12">
        <v>0.006805555555555555</v>
      </c>
      <c r="E273" s="2" t="str">
        <f t="shared" si="1"/>
        <v>Configuring Automated Notifications and Custom Events With CVP</v>
      </c>
      <c r="F273" s="6">
        <v>9.0</v>
      </c>
      <c r="G273" s="2" t="s">
        <v>607</v>
      </c>
      <c r="H273" s="13" t="s">
        <v>598</v>
      </c>
      <c r="I273" s="13" t="s">
        <v>18</v>
      </c>
      <c r="J273" s="13" t="s">
        <v>18</v>
      </c>
      <c r="K273" s="13" t="s">
        <v>18</v>
      </c>
      <c r="L273" s="13"/>
      <c r="M273" s="13" t="s">
        <v>492</v>
      </c>
      <c r="N273" s="13" t="s">
        <v>599</v>
      </c>
    </row>
    <row r="274" ht="15.0" customHeight="1">
      <c r="A274" s="2"/>
      <c r="B274" s="16" t="s">
        <v>608</v>
      </c>
      <c r="C274" s="4" t="s">
        <v>15</v>
      </c>
      <c r="D274" s="12">
        <v>0.004085648148148148</v>
      </c>
      <c r="E274" s="2" t="str">
        <f t="shared" si="1"/>
        <v>Demo - Multicast with eVPN OISM</v>
      </c>
      <c r="F274" s="6">
        <v>8.0</v>
      </c>
      <c r="G274" s="2" t="s">
        <v>609</v>
      </c>
      <c r="H274" s="13" t="s">
        <v>598</v>
      </c>
      <c r="I274" s="13" t="s">
        <v>18</v>
      </c>
      <c r="J274" s="13" t="s">
        <v>18</v>
      </c>
      <c r="K274" s="13" t="s">
        <v>18</v>
      </c>
      <c r="L274" s="13"/>
      <c r="M274" s="13" t="s">
        <v>492</v>
      </c>
      <c r="N274" s="13" t="s">
        <v>610</v>
      </c>
    </row>
    <row r="275" ht="15.0" customHeight="1">
      <c r="A275" s="2"/>
      <c r="B275" s="16" t="s">
        <v>611</v>
      </c>
      <c r="C275" s="4" t="s">
        <v>15</v>
      </c>
      <c r="D275" s="12">
        <v>0.0029861111111111113</v>
      </c>
      <c r="E275" s="2" t="str">
        <f t="shared" si="1"/>
        <v>Demo - Multicast with eVPN OISM</v>
      </c>
      <c r="F275" s="6">
        <v>9.0</v>
      </c>
      <c r="G275" s="2" t="s">
        <v>612</v>
      </c>
      <c r="H275" s="13" t="s">
        <v>598</v>
      </c>
      <c r="I275" s="13" t="s">
        <v>18</v>
      </c>
      <c r="J275" s="13" t="s">
        <v>18</v>
      </c>
      <c r="K275" s="13" t="s">
        <v>18</v>
      </c>
      <c r="L275" s="13"/>
      <c r="M275" s="13" t="s">
        <v>492</v>
      </c>
      <c r="N275" s="13" t="s">
        <v>610</v>
      </c>
    </row>
    <row r="276" ht="15.0" customHeight="1">
      <c r="A276" s="2"/>
      <c r="B276" s="16" t="s">
        <v>613</v>
      </c>
      <c r="C276" s="4" t="s">
        <v>15</v>
      </c>
      <c r="D276" s="12">
        <v>0.015590277777777778</v>
      </c>
      <c r="E276" s="2" t="str">
        <f t="shared" si="1"/>
        <v>Demo - Multicast with eVPN OISM</v>
      </c>
      <c r="F276" s="6">
        <v>9.0</v>
      </c>
      <c r="G276" s="2" t="s">
        <v>614</v>
      </c>
      <c r="H276" s="13" t="s">
        <v>598</v>
      </c>
      <c r="I276" s="13" t="s">
        <v>18</v>
      </c>
      <c r="J276" s="13" t="s">
        <v>18</v>
      </c>
      <c r="K276" s="13" t="s">
        <v>18</v>
      </c>
      <c r="L276" s="13"/>
      <c r="M276" s="13" t="s">
        <v>492</v>
      </c>
      <c r="N276" s="13" t="s">
        <v>610</v>
      </c>
    </row>
    <row r="277">
      <c r="A277" s="2"/>
      <c r="B277" s="16" t="s">
        <v>615</v>
      </c>
      <c r="C277" s="4" t="s">
        <v>15</v>
      </c>
      <c r="D277" s="12">
        <v>0.007592592592592593</v>
      </c>
      <c r="E277" s="2" t="str">
        <f t="shared" si="1"/>
        <v>Demo - Multicast with eVPN OISM</v>
      </c>
      <c r="F277" s="6">
        <v>9.0</v>
      </c>
      <c r="G277" s="2" t="s">
        <v>616</v>
      </c>
      <c r="H277" s="13" t="s">
        <v>598</v>
      </c>
      <c r="I277" s="13" t="s">
        <v>18</v>
      </c>
      <c r="J277" s="13" t="s">
        <v>18</v>
      </c>
      <c r="K277" s="13" t="s">
        <v>18</v>
      </c>
      <c r="L277" s="13"/>
      <c r="M277" s="13" t="s">
        <v>492</v>
      </c>
      <c r="N277" s="13" t="s">
        <v>610</v>
      </c>
    </row>
    <row r="278">
      <c r="A278" s="2"/>
      <c r="B278" s="16" t="s">
        <v>617</v>
      </c>
      <c r="C278" s="4" t="s">
        <v>15</v>
      </c>
      <c r="D278" s="12">
        <v>0.001238425925925926</v>
      </c>
      <c r="E278" s="2" t="str">
        <f t="shared" si="1"/>
        <v>eVPN Mulitcast with External PIM Domain</v>
      </c>
      <c r="F278" s="6">
        <v>2.0</v>
      </c>
      <c r="G278" s="2" t="s">
        <v>618</v>
      </c>
      <c r="H278" s="13" t="s">
        <v>598</v>
      </c>
      <c r="I278" s="13" t="s">
        <v>18</v>
      </c>
      <c r="J278" s="13" t="s">
        <v>18</v>
      </c>
      <c r="K278" s="13" t="s">
        <v>18</v>
      </c>
      <c r="L278" s="13"/>
      <c r="M278" s="13" t="s">
        <v>492</v>
      </c>
      <c r="N278" s="13" t="s">
        <v>619</v>
      </c>
    </row>
    <row r="279">
      <c r="A279" s="18"/>
      <c r="B279" s="19" t="s">
        <v>620</v>
      </c>
      <c r="C279" s="4" t="s">
        <v>15</v>
      </c>
      <c r="D279" s="20">
        <v>0.011307870370370371</v>
      </c>
      <c r="E279" s="18" t="str">
        <f t="shared" si="1"/>
        <v>Topic Overview and Agenda</v>
      </c>
      <c r="F279" s="21">
        <v>3.0</v>
      </c>
      <c r="G279" s="18" t="s">
        <v>621</v>
      </c>
      <c r="H279" s="22" t="s">
        <v>199</v>
      </c>
      <c r="I279" s="22">
        <v>2025.1</v>
      </c>
      <c r="J279" s="22" t="s">
        <v>101</v>
      </c>
      <c r="K279" s="22" t="s">
        <v>18</v>
      </c>
      <c r="L279" s="22"/>
      <c r="M279" s="22"/>
      <c r="N279" s="22" t="s">
        <v>622</v>
      </c>
    </row>
    <row r="280">
      <c r="A280" s="18"/>
      <c r="B280" s="19" t="s">
        <v>623</v>
      </c>
      <c r="C280" s="4" t="s">
        <v>15</v>
      </c>
      <c r="D280" s="20">
        <v>0.004571759259259259</v>
      </c>
      <c r="E280" s="18" t="str">
        <f t="shared" si="1"/>
        <v>Arista Cognitive Campus Network Overview</v>
      </c>
      <c r="F280" s="21">
        <v>4.0</v>
      </c>
      <c r="G280" s="18" t="s">
        <v>624</v>
      </c>
      <c r="H280" s="22" t="s">
        <v>199</v>
      </c>
      <c r="I280" s="22">
        <v>2025.1</v>
      </c>
      <c r="J280" s="22" t="s">
        <v>101</v>
      </c>
      <c r="K280" s="22" t="s">
        <v>18</v>
      </c>
      <c r="L280" s="22"/>
      <c r="M280" s="22"/>
      <c r="N280" s="22" t="s">
        <v>625</v>
      </c>
    </row>
    <row r="281">
      <c r="A281" s="18"/>
      <c r="B281" s="19" t="s">
        <v>626</v>
      </c>
      <c r="C281" s="4" t="s">
        <v>15</v>
      </c>
      <c r="D281" s="20">
        <v>0.007604166666666667</v>
      </c>
      <c r="E281" s="18" t="str">
        <f t="shared" si="1"/>
        <v>Campus Fabric Architecture</v>
      </c>
      <c r="F281" s="21">
        <v>4.0</v>
      </c>
      <c r="G281" s="18" t="s">
        <v>627</v>
      </c>
      <c r="H281" s="22" t="s">
        <v>199</v>
      </c>
      <c r="I281" s="22">
        <v>2025.1</v>
      </c>
      <c r="J281" s="22" t="s">
        <v>101</v>
      </c>
      <c r="K281" s="22" t="s">
        <v>18</v>
      </c>
      <c r="L281" s="22"/>
      <c r="M281" s="22"/>
      <c r="N281" s="22" t="s">
        <v>628</v>
      </c>
    </row>
    <row r="282">
      <c r="A282" s="18"/>
      <c r="B282" s="19" t="s">
        <v>629</v>
      </c>
      <c r="C282" s="4" t="s">
        <v>15</v>
      </c>
      <c r="D282" s="20">
        <v>0.0040625</v>
      </c>
      <c r="E282" s="18" t="str">
        <f t="shared" si="1"/>
        <v>Campus Fabric Architecture</v>
      </c>
      <c r="F282" s="21">
        <v>5.0</v>
      </c>
      <c r="G282" s="18" t="s">
        <v>630</v>
      </c>
      <c r="H282" s="22" t="s">
        <v>199</v>
      </c>
      <c r="I282" s="22">
        <v>2025.1</v>
      </c>
      <c r="J282" s="22" t="s">
        <v>101</v>
      </c>
      <c r="K282" s="22" t="s">
        <v>18</v>
      </c>
      <c r="L282" s="22"/>
      <c r="M282" s="22"/>
      <c r="N282" s="22" t="s">
        <v>628</v>
      </c>
    </row>
    <row r="283">
      <c r="A283" s="18"/>
      <c r="B283" s="19" t="s">
        <v>631</v>
      </c>
      <c r="C283" s="4" t="s">
        <v>15</v>
      </c>
      <c r="D283" s="20">
        <v>0.0038310185185185183</v>
      </c>
      <c r="E283" s="18" t="str">
        <f t="shared" si="1"/>
        <v>Campus Fabric Architecture</v>
      </c>
      <c r="F283" s="21">
        <v>5.0</v>
      </c>
      <c r="G283" s="18" t="s">
        <v>632</v>
      </c>
      <c r="H283" s="22" t="s">
        <v>199</v>
      </c>
      <c r="I283" s="22">
        <v>2025.1</v>
      </c>
      <c r="J283" s="22" t="s">
        <v>101</v>
      </c>
      <c r="K283" s="22" t="s">
        <v>18</v>
      </c>
      <c r="L283" s="22"/>
      <c r="M283" s="22"/>
      <c r="N283" s="22" t="s">
        <v>628</v>
      </c>
    </row>
    <row r="284">
      <c r="A284" s="18"/>
      <c r="B284" s="19" t="s">
        <v>633</v>
      </c>
      <c r="C284" s="4" t="s">
        <v>15</v>
      </c>
      <c r="D284" s="20">
        <v>0.004791666666666666</v>
      </c>
      <c r="E284" s="18" t="str">
        <f t="shared" si="1"/>
        <v>Campus Fabric Architecture</v>
      </c>
      <c r="F284" s="21">
        <v>7.0</v>
      </c>
      <c r="G284" s="18" t="s">
        <v>634</v>
      </c>
      <c r="H284" s="22" t="s">
        <v>199</v>
      </c>
      <c r="I284" s="22">
        <v>2025.1</v>
      </c>
      <c r="J284" s="22" t="s">
        <v>101</v>
      </c>
      <c r="K284" s="22" t="s">
        <v>18</v>
      </c>
      <c r="L284" s="22"/>
      <c r="M284" s="22"/>
      <c r="N284" s="22" t="s">
        <v>628</v>
      </c>
    </row>
    <row r="285">
      <c r="A285" s="18"/>
      <c r="B285" s="19" t="s">
        <v>635</v>
      </c>
      <c r="C285" s="4" t="s">
        <v>15</v>
      </c>
      <c r="D285" s="20">
        <v>0.003958333333333334</v>
      </c>
      <c r="E285" s="18" t="str">
        <f t="shared" si="1"/>
        <v>Campus Fabric Architecture</v>
      </c>
      <c r="F285" s="21">
        <v>6.0</v>
      </c>
      <c r="G285" s="18" t="s">
        <v>636</v>
      </c>
      <c r="H285" s="22" t="s">
        <v>199</v>
      </c>
      <c r="I285" s="22">
        <v>2025.1</v>
      </c>
      <c r="J285" s="22" t="s">
        <v>101</v>
      </c>
      <c r="K285" s="22" t="s">
        <v>18</v>
      </c>
      <c r="L285" s="22"/>
      <c r="M285" s="22"/>
      <c r="N285" s="22" t="s">
        <v>628</v>
      </c>
    </row>
    <row r="286">
      <c r="A286" s="18"/>
      <c r="B286" s="19" t="s">
        <v>637</v>
      </c>
      <c r="C286" s="4" t="s">
        <v>15</v>
      </c>
      <c r="D286" s="20">
        <v>0.004097222222222223</v>
      </c>
      <c r="E286" s="18" t="str">
        <f t="shared" si="1"/>
        <v>Campus Fabric Architecture</v>
      </c>
      <c r="F286" s="21">
        <v>7.0</v>
      </c>
      <c r="G286" s="18" t="s">
        <v>638</v>
      </c>
      <c r="H286" s="22" t="s">
        <v>199</v>
      </c>
      <c r="I286" s="22">
        <v>2025.1</v>
      </c>
      <c r="J286" s="22" t="s">
        <v>101</v>
      </c>
      <c r="K286" s="22" t="s">
        <v>18</v>
      </c>
      <c r="L286" s="22"/>
      <c r="M286" s="22"/>
      <c r="N286" s="22" t="s">
        <v>628</v>
      </c>
    </row>
    <row r="287">
      <c r="A287" s="18"/>
      <c r="B287" s="19" t="s">
        <v>639</v>
      </c>
      <c r="C287" s="4" t="s">
        <v>15</v>
      </c>
      <c r="D287" s="20">
        <v>0.004953703703703704</v>
      </c>
      <c r="E287" s="18" t="str">
        <f t="shared" si="1"/>
        <v>Campus Fabric Architecture</v>
      </c>
      <c r="F287" s="21">
        <v>8.0</v>
      </c>
      <c r="G287" s="18" t="s">
        <v>640</v>
      </c>
      <c r="H287" s="22" t="s">
        <v>199</v>
      </c>
      <c r="I287" s="22">
        <v>2025.1</v>
      </c>
      <c r="J287" s="22" t="s">
        <v>101</v>
      </c>
      <c r="K287" s="22" t="s">
        <v>18</v>
      </c>
      <c r="L287" s="22"/>
      <c r="M287" s="22"/>
      <c r="N287" s="22" t="s">
        <v>628</v>
      </c>
    </row>
    <row r="288">
      <c r="A288" s="18"/>
      <c r="B288" s="19" t="s">
        <v>641</v>
      </c>
      <c r="C288" s="4" t="s">
        <v>15</v>
      </c>
      <c r="D288" s="20">
        <v>0.004710648148148148</v>
      </c>
      <c r="E288" s="18" t="str">
        <f t="shared" si="1"/>
        <v>Campus Fabric Architecture</v>
      </c>
      <c r="F288" s="21">
        <v>8.0</v>
      </c>
      <c r="G288" s="18" t="s">
        <v>642</v>
      </c>
      <c r="H288" s="22" t="s">
        <v>199</v>
      </c>
      <c r="I288" s="22">
        <v>2025.1</v>
      </c>
      <c r="J288" s="22" t="s">
        <v>101</v>
      </c>
      <c r="K288" s="22" t="s">
        <v>18</v>
      </c>
      <c r="L288" s="22"/>
      <c r="M288" s="22"/>
      <c r="N288" s="22" t="s">
        <v>628</v>
      </c>
    </row>
    <row r="289">
      <c r="A289" s="18"/>
      <c r="B289" s="19" t="s">
        <v>643</v>
      </c>
      <c r="C289" s="4" t="s">
        <v>15</v>
      </c>
      <c r="D289" s="20">
        <v>0.005185185185185185</v>
      </c>
      <c r="E289" s="18" t="str">
        <f t="shared" si="1"/>
        <v>Design 7- L3LS with VXLAN-EVPN and Borderleafs</v>
      </c>
      <c r="F289" s="21">
        <v>4.0</v>
      </c>
      <c r="G289" s="18" t="s">
        <v>644</v>
      </c>
      <c r="H289" s="22" t="s">
        <v>199</v>
      </c>
      <c r="I289" s="22">
        <v>2025.1</v>
      </c>
      <c r="J289" s="22" t="s">
        <v>101</v>
      </c>
      <c r="K289" s="22" t="s">
        <v>18</v>
      </c>
      <c r="L289" s="22"/>
      <c r="M289" s="22"/>
      <c r="N289" s="22" t="s">
        <v>645</v>
      </c>
    </row>
    <row r="290">
      <c r="A290" s="18"/>
      <c r="B290" s="19" t="s">
        <v>646</v>
      </c>
      <c r="C290" s="4" t="s">
        <v>15</v>
      </c>
      <c r="D290" s="20">
        <v>0.005335648148148148</v>
      </c>
      <c r="E290" s="18" t="str">
        <f t="shared" si="1"/>
        <v>Design 7- L3LS with VXLAN-EVPN and Borderleafs</v>
      </c>
      <c r="F290" s="21">
        <v>6.0</v>
      </c>
      <c r="G290" s="18" t="s">
        <v>647</v>
      </c>
      <c r="H290" s="22" t="s">
        <v>199</v>
      </c>
      <c r="I290" s="22">
        <v>2025.1</v>
      </c>
      <c r="J290" s="22" t="s">
        <v>101</v>
      </c>
      <c r="K290" s="22" t="s">
        <v>18</v>
      </c>
      <c r="L290" s="22"/>
      <c r="M290" s="22"/>
      <c r="N290" s="22" t="s">
        <v>645</v>
      </c>
    </row>
    <row r="291">
      <c r="A291" s="18"/>
      <c r="B291" s="19" t="s">
        <v>648</v>
      </c>
      <c r="C291" s="4" t="s">
        <v>15</v>
      </c>
      <c r="D291" s="20">
        <v>0.0076851851851851855</v>
      </c>
      <c r="E291" s="18" t="str">
        <f t="shared" si="1"/>
        <v>Design 7- L3LS with VXLAN-EVPN and Borderleafs</v>
      </c>
      <c r="F291" s="21">
        <v>6.0</v>
      </c>
      <c r="G291" s="18" t="s">
        <v>649</v>
      </c>
      <c r="H291" s="22" t="s">
        <v>199</v>
      </c>
      <c r="I291" s="22">
        <v>2025.1</v>
      </c>
      <c r="J291" s="22" t="s">
        <v>101</v>
      </c>
      <c r="K291" s="22" t="s">
        <v>18</v>
      </c>
      <c r="L291" s="22"/>
      <c r="M291" s="22"/>
      <c r="N291" s="22" t="s">
        <v>645</v>
      </c>
    </row>
    <row r="292">
      <c r="A292" s="18"/>
      <c r="B292" s="19" t="s">
        <v>650</v>
      </c>
      <c r="C292" s="4" t="s">
        <v>15</v>
      </c>
      <c r="D292" s="20">
        <v>0.005648148148148148</v>
      </c>
      <c r="E292" s="18" t="str">
        <f t="shared" si="1"/>
        <v>Smart System Upgrades (SSU)</v>
      </c>
      <c r="F292" s="21">
        <v>6.0</v>
      </c>
      <c r="G292" s="18" t="s">
        <v>651</v>
      </c>
      <c r="H292" s="22" t="s">
        <v>199</v>
      </c>
      <c r="I292" s="22">
        <v>2025.1</v>
      </c>
      <c r="J292" s="22" t="s">
        <v>101</v>
      </c>
      <c r="K292" s="22" t="s">
        <v>18</v>
      </c>
      <c r="L292" s="22"/>
      <c r="M292" s="22"/>
      <c r="N292" s="22" t="s">
        <v>652</v>
      </c>
    </row>
    <row r="293">
      <c r="A293" s="18"/>
      <c r="B293" s="19" t="s">
        <v>653</v>
      </c>
      <c r="C293" s="4" t="s">
        <v>15</v>
      </c>
      <c r="D293" s="20">
        <v>0.0038888888888888888</v>
      </c>
      <c r="E293" s="18" t="str">
        <f t="shared" si="1"/>
        <v>Smart System Upgrades (SSU)</v>
      </c>
      <c r="F293" s="21">
        <v>6.0</v>
      </c>
      <c r="G293" s="18" t="s">
        <v>654</v>
      </c>
      <c r="H293" s="22" t="s">
        <v>199</v>
      </c>
      <c r="I293" s="22">
        <v>2025.1</v>
      </c>
      <c r="J293" s="22" t="s">
        <v>101</v>
      </c>
      <c r="K293" s="22" t="s">
        <v>18</v>
      </c>
      <c r="L293" s="22"/>
      <c r="M293" s="22"/>
      <c r="N293" s="22" t="s">
        <v>652</v>
      </c>
    </row>
    <row r="294">
      <c r="A294" s="18"/>
      <c r="B294" s="19" t="s">
        <v>655</v>
      </c>
      <c r="C294" s="4" t="s">
        <v>15</v>
      </c>
      <c r="D294" s="20">
        <v>0.007037037037037037</v>
      </c>
      <c r="E294" s="18" t="str">
        <f t="shared" si="1"/>
        <v>Smart System Upgrades (SSU)</v>
      </c>
      <c r="F294" s="21">
        <v>6.0</v>
      </c>
      <c r="G294" s="18"/>
      <c r="H294" s="22" t="s">
        <v>199</v>
      </c>
      <c r="I294" s="22">
        <v>2025.1</v>
      </c>
      <c r="J294" s="22" t="s">
        <v>101</v>
      </c>
      <c r="K294" s="22" t="s">
        <v>18</v>
      </c>
      <c r="L294" s="22"/>
      <c r="M294" s="22"/>
      <c r="N294" s="22" t="s">
        <v>652</v>
      </c>
    </row>
    <row r="295">
      <c r="A295" s="18"/>
      <c r="B295" s="19" t="s">
        <v>656</v>
      </c>
      <c r="C295" s="4" t="s">
        <v>15</v>
      </c>
      <c r="D295" s="20">
        <v>0.004733796296296297</v>
      </c>
      <c r="E295" s="18" t="str">
        <f t="shared" si="1"/>
        <v>SWAG Provisioning</v>
      </c>
      <c r="F295" s="21">
        <v>4.0</v>
      </c>
      <c r="G295" s="18" t="s">
        <v>657</v>
      </c>
      <c r="H295" s="22" t="s">
        <v>199</v>
      </c>
      <c r="I295" s="22">
        <v>2025.1</v>
      </c>
      <c r="J295" s="22" t="s">
        <v>101</v>
      </c>
      <c r="K295" s="22" t="s">
        <v>18</v>
      </c>
      <c r="L295" s="22"/>
      <c r="M295" s="22"/>
      <c r="N295" s="22" t="s">
        <v>207</v>
      </c>
    </row>
    <row r="296">
      <c r="A296" s="18"/>
      <c r="B296" s="19" t="s">
        <v>658</v>
      </c>
      <c r="C296" s="4" t="s">
        <v>15</v>
      </c>
      <c r="D296" s="20">
        <v>0.004016203703703704</v>
      </c>
      <c r="E296" s="18" t="str">
        <f t="shared" si="1"/>
        <v>SWAG Provisioning</v>
      </c>
      <c r="F296" s="21">
        <v>4.0</v>
      </c>
      <c r="G296" s="18" t="s">
        <v>659</v>
      </c>
      <c r="H296" s="22" t="s">
        <v>199</v>
      </c>
      <c r="I296" s="22">
        <v>2025.1</v>
      </c>
      <c r="J296" s="22" t="s">
        <v>101</v>
      </c>
      <c r="K296" s="22" t="s">
        <v>18</v>
      </c>
      <c r="L296" s="22"/>
      <c r="M296" s="22"/>
      <c r="N296" s="22" t="s">
        <v>207</v>
      </c>
    </row>
    <row r="297">
      <c r="A297" s="18"/>
      <c r="B297" s="19" t="s">
        <v>660</v>
      </c>
      <c r="C297" s="4" t="s">
        <v>100</v>
      </c>
      <c r="D297" s="20">
        <v>0.013888888888888888</v>
      </c>
      <c r="E297" s="18" t="str">
        <f t="shared" si="1"/>
        <v>Configuring SVIs</v>
      </c>
      <c r="F297" s="21">
        <v>4.0</v>
      </c>
      <c r="G297" s="18"/>
      <c r="H297" s="22"/>
      <c r="I297" s="22">
        <v>2025.1</v>
      </c>
      <c r="J297" s="22" t="s">
        <v>101</v>
      </c>
      <c r="K297" s="22" t="s">
        <v>18</v>
      </c>
      <c r="L297" s="22"/>
      <c r="M297" s="22"/>
      <c r="N297" s="22" t="s">
        <v>661</v>
      </c>
    </row>
    <row r="298">
      <c r="A298" s="18"/>
      <c r="B298" s="19" t="s">
        <v>662</v>
      </c>
      <c r="C298" s="4" t="s">
        <v>100</v>
      </c>
      <c r="D298" s="20">
        <v>0.013888888888888888</v>
      </c>
      <c r="E298" s="18" t="str">
        <f t="shared" si="1"/>
        <v>Lab - Configuring VLANs</v>
      </c>
      <c r="F298" s="21">
        <v>5.0</v>
      </c>
      <c r="G298" s="18"/>
      <c r="H298" s="22"/>
      <c r="I298" s="22">
        <v>2025.1</v>
      </c>
      <c r="J298" s="22" t="s">
        <v>101</v>
      </c>
      <c r="K298" s="22" t="s">
        <v>18</v>
      </c>
      <c r="L298" s="22"/>
      <c r="M298" s="22"/>
      <c r="N298" s="22" t="s">
        <v>216</v>
      </c>
    </row>
    <row r="299">
      <c r="A299" s="18"/>
      <c r="B299" s="19" t="s">
        <v>663</v>
      </c>
      <c r="C299" s="4" t="s">
        <v>15</v>
      </c>
      <c r="D299" s="20">
        <v>0.01255787037037037</v>
      </c>
      <c r="E299" s="18" t="str">
        <f t="shared" si="1"/>
        <v>Lab - Configuring MSTP </v>
      </c>
      <c r="F299" s="21">
        <v>6.0</v>
      </c>
      <c r="G299" s="18" t="s">
        <v>664</v>
      </c>
      <c r="H299" s="22" t="s">
        <v>199</v>
      </c>
      <c r="I299" s="22">
        <v>2025.1</v>
      </c>
      <c r="J299" s="22" t="s">
        <v>101</v>
      </c>
      <c r="K299" s="22" t="s">
        <v>18</v>
      </c>
      <c r="L299" s="22"/>
      <c r="M299" s="22"/>
      <c r="N299" s="22" t="s">
        <v>233</v>
      </c>
    </row>
    <row r="300">
      <c r="A300" s="18"/>
      <c r="B300" s="19" t="s">
        <v>665</v>
      </c>
      <c r="C300" s="4" t="s">
        <v>100</v>
      </c>
      <c r="D300" s="20">
        <v>0.013888888888888888</v>
      </c>
      <c r="E300" s="18" t="str">
        <f t="shared" si="1"/>
        <v>Troubleshooting MLAG</v>
      </c>
      <c r="F300" s="21">
        <v>5.0</v>
      </c>
      <c r="G300" s="18"/>
      <c r="H300" s="22"/>
      <c r="I300" s="22">
        <v>2025.1</v>
      </c>
      <c r="J300" s="22" t="s">
        <v>101</v>
      </c>
      <c r="K300" s="22" t="s">
        <v>18</v>
      </c>
      <c r="L300" s="22"/>
      <c r="M300" s="22"/>
      <c r="N300" s="22" t="s">
        <v>666</v>
      </c>
    </row>
    <row r="301">
      <c r="A301" s="18"/>
      <c r="B301" s="19" t="s">
        <v>667</v>
      </c>
      <c r="C301" s="4" t="s">
        <v>15</v>
      </c>
      <c r="D301" s="20">
        <v>0.020370370370370372</v>
      </c>
      <c r="E301" s="18" t="str">
        <f t="shared" si="1"/>
        <v>Lab - Configuring VARP</v>
      </c>
      <c r="F301" s="21">
        <v>5.0</v>
      </c>
      <c r="G301" s="18" t="s">
        <v>668</v>
      </c>
      <c r="H301" s="22" t="s">
        <v>199</v>
      </c>
      <c r="I301" s="22">
        <v>2025.1</v>
      </c>
      <c r="J301" s="22" t="s">
        <v>101</v>
      </c>
      <c r="K301" s="22" t="s">
        <v>18</v>
      </c>
      <c r="L301" s="22"/>
      <c r="M301" s="22"/>
      <c r="N301" s="22" t="s">
        <v>669</v>
      </c>
    </row>
    <row r="302">
      <c r="A302" s="18"/>
      <c r="B302" s="19" t="s">
        <v>670</v>
      </c>
      <c r="C302" s="4" t="s">
        <v>15</v>
      </c>
      <c r="D302" s="20">
        <v>0.01570601851851852</v>
      </c>
      <c r="E302" s="18" t="str">
        <f t="shared" si="1"/>
        <v>Lab - Configuring VARP</v>
      </c>
      <c r="F302" s="21">
        <v>6.0</v>
      </c>
      <c r="G302" s="18" t="s">
        <v>671</v>
      </c>
      <c r="H302" s="22" t="s">
        <v>199</v>
      </c>
      <c r="I302" s="22">
        <v>2025.1</v>
      </c>
      <c r="J302" s="22" t="s">
        <v>101</v>
      </c>
      <c r="K302" s="22" t="s">
        <v>18</v>
      </c>
      <c r="L302" s="22"/>
      <c r="M302" s="22"/>
      <c r="N302" s="22" t="s">
        <v>669</v>
      </c>
    </row>
    <row r="303">
      <c r="A303" s="18"/>
      <c r="B303" s="19" t="s">
        <v>672</v>
      </c>
      <c r="C303" s="4" t="s">
        <v>15</v>
      </c>
      <c r="D303" s="20">
        <v>0.006724537037037037</v>
      </c>
      <c r="E303" s="18" t="str">
        <f t="shared" si="1"/>
        <v>Configuring L2LS Campus with CVP Configlets</v>
      </c>
      <c r="F303" s="21">
        <v>5.0</v>
      </c>
      <c r="G303" s="18" t="s">
        <v>673</v>
      </c>
      <c r="H303" s="22" t="s">
        <v>199</v>
      </c>
      <c r="I303" s="22">
        <v>2025.1</v>
      </c>
      <c r="J303" s="22" t="s">
        <v>101</v>
      </c>
      <c r="K303" s="22" t="s">
        <v>18</v>
      </c>
      <c r="L303" s="22"/>
      <c r="M303" s="22"/>
      <c r="N303" s="22" t="s">
        <v>674</v>
      </c>
    </row>
    <row r="304">
      <c r="A304" s="18"/>
      <c r="B304" s="19" t="s">
        <v>675</v>
      </c>
      <c r="C304" s="4" t="s">
        <v>15</v>
      </c>
      <c r="D304" s="20">
        <v>0.011979166666666667</v>
      </c>
      <c r="E304" s="18" t="str">
        <f t="shared" si="1"/>
        <v>Configuring L2LS Campus with CVP Configlets</v>
      </c>
      <c r="F304" s="21">
        <v>6.0</v>
      </c>
      <c r="G304" s="18" t="s">
        <v>676</v>
      </c>
      <c r="H304" s="22" t="s">
        <v>199</v>
      </c>
      <c r="I304" s="22">
        <v>2025.1</v>
      </c>
      <c r="J304" s="22" t="s">
        <v>101</v>
      </c>
      <c r="K304" s="22" t="s">
        <v>18</v>
      </c>
      <c r="L304" s="22"/>
      <c r="M304" s="22"/>
      <c r="N304" s="22" t="s">
        <v>674</v>
      </c>
    </row>
    <row r="305">
      <c r="A305" s="18"/>
      <c r="B305" s="23" t="s">
        <v>677</v>
      </c>
      <c r="C305" s="4" t="s">
        <v>15</v>
      </c>
      <c r="D305" s="24">
        <v>0.006122685185185185</v>
      </c>
      <c r="E305" s="18" t="str">
        <f t="shared" si="1"/>
        <v>Configuring L2LS Campus with CVP Configlets</v>
      </c>
      <c r="F305" s="21">
        <v>4.0</v>
      </c>
      <c r="G305" s="18" t="s">
        <v>678</v>
      </c>
      <c r="H305" s="22" t="s">
        <v>199</v>
      </c>
      <c r="I305" s="22">
        <v>2025.1</v>
      </c>
      <c r="J305" s="22" t="s">
        <v>101</v>
      </c>
      <c r="K305" s="22" t="s">
        <v>18</v>
      </c>
      <c r="L305" s="22"/>
      <c r="M305" s="22"/>
      <c r="N305" s="22" t="s">
        <v>674</v>
      </c>
    </row>
    <row r="306">
      <c r="A306" s="18"/>
      <c r="B306" s="19" t="s">
        <v>679</v>
      </c>
      <c r="C306" s="4" t="s">
        <v>15</v>
      </c>
      <c r="D306" s="20">
        <v>0.011041666666666667</v>
      </c>
      <c r="E306" s="18" t="str">
        <f t="shared" si="1"/>
        <v>Configuring L2LS Campus with CVP Configlets</v>
      </c>
      <c r="F306" s="21">
        <v>4.0</v>
      </c>
      <c r="G306" s="18" t="s">
        <v>680</v>
      </c>
      <c r="H306" s="22" t="s">
        <v>199</v>
      </c>
      <c r="I306" s="22">
        <v>2025.1</v>
      </c>
      <c r="J306" s="22" t="s">
        <v>101</v>
      </c>
      <c r="K306" s="22" t="s">
        <v>18</v>
      </c>
      <c r="L306" s="22"/>
      <c r="M306" s="22"/>
      <c r="N306" s="22" t="s">
        <v>674</v>
      </c>
    </row>
    <row r="307">
      <c r="A307" s="18"/>
      <c r="B307" s="19" t="s">
        <v>681</v>
      </c>
      <c r="C307" s="4" t="s">
        <v>15</v>
      </c>
      <c r="D307" s="20">
        <v>0.010081018518518519</v>
      </c>
      <c r="E307" s="18" t="str">
        <f t="shared" si="1"/>
        <v>Submit Workspace and Execute Change Control</v>
      </c>
      <c r="F307" s="21">
        <v>6.0</v>
      </c>
      <c r="G307" s="18" t="s">
        <v>682</v>
      </c>
      <c r="H307" s="22" t="s">
        <v>17</v>
      </c>
      <c r="I307" s="22" t="s">
        <v>18</v>
      </c>
      <c r="J307" s="22" t="s">
        <v>18</v>
      </c>
      <c r="K307" s="22" t="s">
        <v>18</v>
      </c>
      <c r="L307" s="22" t="s">
        <v>254</v>
      </c>
      <c r="M307" s="22" t="s">
        <v>257</v>
      </c>
      <c r="N307" s="22" t="s">
        <v>263</v>
      </c>
    </row>
    <row r="308">
      <c r="A308" s="18"/>
      <c r="B308" s="19" t="s">
        <v>683</v>
      </c>
      <c r="C308" s="4" t="s">
        <v>15</v>
      </c>
      <c r="D308" s="20">
        <v>0.012199074074074074</v>
      </c>
      <c r="E308" s="18" t="str">
        <f t="shared" si="1"/>
        <v>Submit Workspace and Execute Change Control</v>
      </c>
      <c r="F308" s="21">
        <v>7.0</v>
      </c>
      <c r="G308" s="18" t="s">
        <v>684</v>
      </c>
      <c r="H308" s="22" t="s">
        <v>17</v>
      </c>
      <c r="I308" s="22" t="s">
        <v>18</v>
      </c>
      <c r="J308" s="22" t="s">
        <v>18</v>
      </c>
      <c r="K308" s="22" t="s">
        <v>18</v>
      </c>
      <c r="L308" s="22" t="s">
        <v>254</v>
      </c>
      <c r="M308" s="22" t="s">
        <v>257</v>
      </c>
      <c r="N308" s="22" t="s">
        <v>263</v>
      </c>
    </row>
    <row r="309">
      <c r="A309" s="18"/>
      <c r="B309" s="19" t="s">
        <v>685</v>
      </c>
      <c r="C309" s="4" t="s">
        <v>15</v>
      </c>
      <c r="D309" s="20">
        <v>0.0038773148148148148</v>
      </c>
      <c r="E309" s="18" t="str">
        <f t="shared" si="1"/>
        <v>Submit Workspace and Execute Change Control</v>
      </c>
      <c r="F309" s="21">
        <v>7.0</v>
      </c>
      <c r="G309" s="18" t="s">
        <v>262</v>
      </c>
      <c r="H309" s="22" t="s">
        <v>17</v>
      </c>
      <c r="I309" s="22" t="s">
        <v>18</v>
      </c>
      <c r="J309" s="22" t="s">
        <v>18</v>
      </c>
      <c r="K309" s="22" t="s">
        <v>18</v>
      </c>
      <c r="L309" s="22" t="s">
        <v>254</v>
      </c>
      <c r="M309" s="22" t="s">
        <v>257</v>
      </c>
      <c r="N309" s="22" t="s">
        <v>263</v>
      </c>
    </row>
    <row r="310">
      <c r="A310" s="18"/>
      <c r="B310" s="19" t="s">
        <v>686</v>
      </c>
      <c r="C310" s="4" t="s">
        <v>15</v>
      </c>
      <c r="D310" s="20">
        <v>0.010266203703703704</v>
      </c>
      <c r="E310" s="18" t="str">
        <f t="shared" si="1"/>
        <v>Why use a BGP Underlay in L3LS Design?</v>
      </c>
      <c r="F310" s="21">
        <v>6.0</v>
      </c>
      <c r="G310" s="18" t="s">
        <v>687</v>
      </c>
      <c r="H310" s="22" t="s">
        <v>17</v>
      </c>
      <c r="I310" s="22" t="s">
        <v>18</v>
      </c>
      <c r="J310" s="22" t="s">
        <v>18</v>
      </c>
      <c r="K310" s="22" t="s">
        <v>18</v>
      </c>
      <c r="L310" s="22" t="s">
        <v>254</v>
      </c>
      <c r="M310" s="22" t="s">
        <v>257</v>
      </c>
      <c r="N310" s="22" t="s">
        <v>280</v>
      </c>
    </row>
    <row r="311">
      <c r="A311" s="18"/>
      <c r="B311" s="19" t="s">
        <v>688</v>
      </c>
      <c r="C311" s="4" t="s">
        <v>15</v>
      </c>
      <c r="D311" s="20">
        <v>0.009976851851851851</v>
      </c>
      <c r="E311" s="18" t="str">
        <f t="shared" si="1"/>
        <v>BGP Route Advertisement</v>
      </c>
      <c r="F311" s="21">
        <v>7.0</v>
      </c>
      <c r="G311" s="18" t="s">
        <v>689</v>
      </c>
      <c r="H311" s="22" t="s">
        <v>689</v>
      </c>
      <c r="I311" s="22" t="s">
        <v>689</v>
      </c>
      <c r="J311" s="22" t="s">
        <v>689</v>
      </c>
      <c r="K311" s="22" t="s">
        <v>689</v>
      </c>
      <c r="L311" s="22" t="s">
        <v>689</v>
      </c>
      <c r="M311" s="22" t="s">
        <v>689</v>
      </c>
      <c r="N311" s="22" t="s">
        <v>294</v>
      </c>
    </row>
    <row r="312">
      <c r="A312" s="18"/>
      <c r="B312" s="19" t="s">
        <v>690</v>
      </c>
      <c r="C312" s="4" t="s">
        <v>15</v>
      </c>
      <c r="D312" s="20">
        <v>0.014513888888888889</v>
      </c>
      <c r="E312" s="18" t="str">
        <f t="shared" si="1"/>
        <v>BGP Route Advertisement</v>
      </c>
      <c r="F312" s="21">
        <v>7.0</v>
      </c>
      <c r="G312" s="18" t="s">
        <v>691</v>
      </c>
      <c r="H312" s="22" t="s">
        <v>17</v>
      </c>
      <c r="I312" s="22" t="s">
        <v>18</v>
      </c>
      <c r="J312" s="22" t="s">
        <v>18</v>
      </c>
      <c r="K312" s="22" t="s">
        <v>18</v>
      </c>
      <c r="L312" s="22" t="s">
        <v>254</v>
      </c>
      <c r="M312" s="22" t="s">
        <v>257</v>
      </c>
      <c r="N312" s="22" t="s">
        <v>294</v>
      </c>
    </row>
    <row r="313">
      <c r="A313" s="18"/>
      <c r="B313" s="19" t="s">
        <v>692</v>
      </c>
      <c r="C313" s="4" t="s">
        <v>100</v>
      </c>
      <c r="D313" s="20">
        <v>0.013888888888888888</v>
      </c>
      <c r="E313" s="18" t="str">
        <f t="shared" si="1"/>
        <v>BGP Route Advertisement</v>
      </c>
      <c r="F313" s="21">
        <v>7.0</v>
      </c>
      <c r="G313" s="18"/>
      <c r="H313" s="22"/>
      <c r="I313" s="22" t="s">
        <v>18</v>
      </c>
      <c r="J313" s="22" t="s">
        <v>18</v>
      </c>
      <c r="K313" s="22" t="s">
        <v>18</v>
      </c>
      <c r="L313" s="22"/>
      <c r="M313" s="22"/>
      <c r="N313" s="22" t="s">
        <v>294</v>
      </c>
    </row>
    <row r="314">
      <c r="A314" s="18"/>
      <c r="B314" s="19" t="s">
        <v>693</v>
      </c>
      <c r="C314" s="4" t="s">
        <v>15</v>
      </c>
      <c r="D314" s="20">
        <v>0.013229166666666667</v>
      </c>
      <c r="E314" s="18" t="str">
        <f t="shared" si="1"/>
        <v>Lab - L3LS Campus Underlay with eBGP</v>
      </c>
      <c r="F314" s="21">
        <v>8.0</v>
      </c>
      <c r="G314" s="18" t="s">
        <v>694</v>
      </c>
      <c r="H314" s="22" t="s">
        <v>199</v>
      </c>
      <c r="I314" s="22" t="s">
        <v>18</v>
      </c>
      <c r="J314" s="22" t="s">
        <v>18</v>
      </c>
      <c r="K314" s="22" t="s">
        <v>18</v>
      </c>
      <c r="L314" s="22" t="s">
        <v>19</v>
      </c>
      <c r="M314" s="22"/>
      <c r="N314" s="22" t="s">
        <v>304</v>
      </c>
    </row>
    <row r="315">
      <c r="A315" s="18"/>
      <c r="B315" s="19" t="s">
        <v>695</v>
      </c>
      <c r="C315" s="4" t="s">
        <v>15</v>
      </c>
      <c r="D315" s="20">
        <v>0.013738425925925926</v>
      </c>
      <c r="E315" s="18" t="str">
        <f t="shared" si="1"/>
        <v>VxLAN Multicast Control Plane</v>
      </c>
      <c r="F315" s="21">
        <v>9.0</v>
      </c>
      <c r="G315" s="18" t="s">
        <v>696</v>
      </c>
      <c r="H315" s="22" t="s">
        <v>199</v>
      </c>
      <c r="I315" s="22" t="s">
        <v>18</v>
      </c>
      <c r="J315" s="22" t="s">
        <v>18</v>
      </c>
      <c r="K315" s="22" t="s">
        <v>18</v>
      </c>
      <c r="L315" s="22" t="s">
        <v>19</v>
      </c>
      <c r="M315" s="22"/>
      <c r="N315" s="22" t="s">
        <v>329</v>
      </c>
    </row>
    <row r="316">
      <c r="A316" s="18"/>
      <c r="B316" s="19" t="s">
        <v>697</v>
      </c>
      <c r="C316" s="4" t="s">
        <v>100</v>
      </c>
      <c r="D316" s="25">
        <v>0.013888888888888888</v>
      </c>
      <c r="E316" s="18" t="str">
        <f t="shared" si="1"/>
        <v>VxLAN Multicast Control Plane</v>
      </c>
      <c r="F316" s="21">
        <v>8.0</v>
      </c>
      <c r="G316" s="18"/>
      <c r="H316" s="22"/>
      <c r="I316" s="22">
        <v>2025.1</v>
      </c>
      <c r="J316" s="22" t="s">
        <v>101</v>
      </c>
      <c r="K316" s="22" t="s">
        <v>18</v>
      </c>
      <c r="L316" s="22"/>
      <c r="M316" s="22"/>
      <c r="N316" s="22" t="s">
        <v>329</v>
      </c>
    </row>
    <row r="317">
      <c r="A317" s="18"/>
      <c r="B317" s="19" t="s">
        <v>698</v>
      </c>
      <c r="C317" s="4" t="s">
        <v>15</v>
      </c>
      <c r="D317" s="20">
        <v>0.015543981481481482</v>
      </c>
      <c r="E317" s="18" t="str">
        <f t="shared" si="1"/>
        <v>Lab - L2EVPN</v>
      </c>
      <c r="F317" s="21">
        <v>8.0</v>
      </c>
      <c r="G317" s="18" t="s">
        <v>699</v>
      </c>
      <c r="H317" s="22" t="s">
        <v>199</v>
      </c>
      <c r="I317" s="22" t="s">
        <v>18</v>
      </c>
      <c r="J317" s="22" t="s">
        <v>18</v>
      </c>
      <c r="K317" s="22" t="s">
        <v>18</v>
      </c>
      <c r="L317" s="22" t="s">
        <v>19</v>
      </c>
      <c r="M317" s="22"/>
      <c r="N317" s="22" t="s">
        <v>346</v>
      </c>
    </row>
    <row r="318">
      <c r="A318" s="18"/>
      <c r="B318" s="19" t="s">
        <v>700</v>
      </c>
      <c r="C318" s="4" t="s">
        <v>15</v>
      </c>
      <c r="D318" s="20">
        <v>0.014664351851851852</v>
      </c>
      <c r="E318" s="18" t="str">
        <f t="shared" si="1"/>
        <v>Lab - L2EVPN</v>
      </c>
      <c r="F318" s="21">
        <v>8.0</v>
      </c>
      <c r="G318" s="18" t="s">
        <v>701</v>
      </c>
      <c r="H318" s="22" t="s">
        <v>199</v>
      </c>
      <c r="I318" s="22" t="s">
        <v>18</v>
      </c>
      <c r="J318" s="22" t="s">
        <v>18</v>
      </c>
      <c r="K318" s="22" t="s">
        <v>18</v>
      </c>
      <c r="L318" s="22" t="s">
        <v>19</v>
      </c>
      <c r="M318" s="22"/>
      <c r="N318" s="22" t="s">
        <v>346</v>
      </c>
    </row>
    <row r="319">
      <c r="A319" s="18"/>
      <c r="B319" s="19" t="s">
        <v>702</v>
      </c>
      <c r="C319" s="4" t="s">
        <v>15</v>
      </c>
      <c r="D319" s="20">
        <v>0.013958333333333333</v>
      </c>
      <c r="E319" s="18" t="str">
        <f t="shared" si="1"/>
        <v>Lab - L2EVPN</v>
      </c>
      <c r="F319" s="21">
        <v>9.0</v>
      </c>
      <c r="G319" s="18" t="s">
        <v>703</v>
      </c>
      <c r="H319" s="22" t="s">
        <v>199</v>
      </c>
      <c r="I319" s="22" t="s">
        <v>18</v>
      </c>
      <c r="J319" s="22" t="s">
        <v>18</v>
      </c>
      <c r="K319" s="22" t="s">
        <v>18</v>
      </c>
      <c r="L319" s="22" t="s">
        <v>19</v>
      </c>
      <c r="M319" s="22"/>
      <c r="N319" s="22" t="s">
        <v>346</v>
      </c>
    </row>
    <row r="320">
      <c r="A320" s="18"/>
      <c r="B320" s="19" t="s">
        <v>704</v>
      </c>
      <c r="C320" s="4" t="s">
        <v>15</v>
      </c>
      <c r="D320" s="20">
        <v>0.014212962962962964</v>
      </c>
      <c r="E320" s="18" t="str">
        <f t="shared" si="1"/>
        <v>Symmetric IRB vs Asymmetric IRB</v>
      </c>
      <c r="F320" s="21">
        <v>7.0</v>
      </c>
      <c r="G320" s="18" t="s">
        <v>705</v>
      </c>
      <c r="H320" s="22" t="s">
        <v>199</v>
      </c>
      <c r="I320" s="22">
        <v>2025.1</v>
      </c>
      <c r="J320" s="22" t="s">
        <v>101</v>
      </c>
      <c r="K320" s="22" t="s">
        <v>18</v>
      </c>
      <c r="L320" s="22" t="s">
        <v>254</v>
      </c>
      <c r="M320" s="22"/>
      <c r="N320" s="22" t="s">
        <v>706</v>
      </c>
    </row>
    <row r="321">
      <c r="A321" s="18"/>
      <c r="B321" s="19" t="s">
        <v>707</v>
      </c>
      <c r="C321" s="4" t="s">
        <v>15</v>
      </c>
      <c r="D321" s="20">
        <v>0.01885416666666667</v>
      </c>
      <c r="E321" s="18" t="str">
        <f t="shared" si="1"/>
        <v>Symmetric IRB vs Asymmetric IRB</v>
      </c>
      <c r="F321" s="21">
        <v>8.0</v>
      </c>
      <c r="G321" s="18" t="s">
        <v>708</v>
      </c>
      <c r="H321" s="22" t="s">
        <v>199</v>
      </c>
      <c r="I321" s="22">
        <v>2025.1</v>
      </c>
      <c r="J321" s="22" t="s">
        <v>101</v>
      </c>
      <c r="K321" s="22" t="s">
        <v>18</v>
      </c>
      <c r="L321" s="22" t="s">
        <v>254</v>
      </c>
      <c r="M321" s="22"/>
      <c r="N321" s="22" t="s">
        <v>706</v>
      </c>
    </row>
    <row r="322">
      <c r="A322" s="18"/>
      <c r="B322" s="19" t="s">
        <v>709</v>
      </c>
      <c r="C322" s="4" t="s">
        <v>100</v>
      </c>
      <c r="D322" s="20">
        <v>0.013888888888888888</v>
      </c>
      <c r="E322" s="18" t="str">
        <f t="shared" si="1"/>
        <v>Symmetric IRB vs Asymmetric IRB</v>
      </c>
      <c r="F322" s="21">
        <v>8.0</v>
      </c>
      <c r="G322" s="18"/>
      <c r="H322" s="22"/>
      <c r="I322" s="22">
        <v>2025.1</v>
      </c>
      <c r="J322" s="22" t="s">
        <v>101</v>
      </c>
      <c r="K322" s="22" t="s">
        <v>18</v>
      </c>
      <c r="L322" s="22" t="s">
        <v>254</v>
      </c>
      <c r="M322" s="22"/>
      <c r="N322" s="22" t="s">
        <v>706</v>
      </c>
    </row>
    <row r="323">
      <c r="A323" s="18"/>
      <c r="B323" s="19" t="s">
        <v>710</v>
      </c>
      <c r="C323" s="4" t="s">
        <v>15</v>
      </c>
      <c r="D323" s="20">
        <v>0.00400462962962963</v>
      </c>
      <c r="E323" s="18" t="str">
        <f t="shared" si="1"/>
        <v>Lab - Deploying L3LS Campus with VXLAN and eVPN Using Studios</v>
      </c>
      <c r="F323" s="21">
        <v>3.0</v>
      </c>
      <c r="G323" s="18" t="s">
        <v>711</v>
      </c>
      <c r="H323" s="22" t="s">
        <v>17</v>
      </c>
      <c r="I323" s="22" t="s">
        <v>18</v>
      </c>
      <c r="J323" s="22" t="s">
        <v>18</v>
      </c>
      <c r="K323" s="22" t="s">
        <v>18</v>
      </c>
      <c r="L323" s="22" t="s">
        <v>254</v>
      </c>
      <c r="M323" s="22" t="s">
        <v>257</v>
      </c>
      <c r="N323" s="22" t="s">
        <v>375</v>
      </c>
    </row>
    <row r="324">
      <c r="A324" s="18"/>
      <c r="B324" s="19" t="s">
        <v>712</v>
      </c>
      <c r="C324" s="4" t="s">
        <v>15</v>
      </c>
      <c r="D324" s="20">
        <v>0.008310185185185184</v>
      </c>
      <c r="E324" s="18" t="str">
        <f t="shared" si="1"/>
        <v>Lab - Deploying L3LS Campus with VXLAN and eVPN Using Studios</v>
      </c>
      <c r="F324" s="21">
        <v>4.0</v>
      </c>
      <c r="G324" s="18" t="s">
        <v>377</v>
      </c>
      <c r="H324" s="22"/>
      <c r="I324" s="22" t="s">
        <v>18</v>
      </c>
      <c r="J324" s="22" t="s">
        <v>18</v>
      </c>
      <c r="K324" s="22" t="s">
        <v>18</v>
      </c>
      <c r="L324" s="22" t="s">
        <v>19</v>
      </c>
      <c r="M324" s="22"/>
      <c r="N324" s="22" t="s">
        <v>375</v>
      </c>
    </row>
    <row r="325">
      <c r="A325" s="18"/>
      <c r="B325" s="19" t="s">
        <v>713</v>
      </c>
      <c r="C325" s="4" t="s">
        <v>15</v>
      </c>
      <c r="D325" s="20">
        <v>0.0025</v>
      </c>
      <c r="E325" s="18" t="str">
        <f t="shared" si="1"/>
        <v>CloudVision Deployment Options</v>
      </c>
      <c r="F325" s="21">
        <v>3.0</v>
      </c>
      <c r="G325" s="18" t="s">
        <v>714</v>
      </c>
      <c r="H325" s="22" t="s">
        <v>17</v>
      </c>
      <c r="I325" s="22" t="s">
        <v>18</v>
      </c>
      <c r="J325" s="22" t="s">
        <v>18</v>
      </c>
      <c r="K325" s="22" t="s">
        <v>18</v>
      </c>
      <c r="L325" s="22" t="s">
        <v>254</v>
      </c>
      <c r="M325" s="22" t="s">
        <v>74</v>
      </c>
      <c r="N325" s="22" t="s">
        <v>380</v>
      </c>
    </row>
    <row r="326">
      <c r="A326" s="18"/>
      <c r="B326" s="19" t="s">
        <v>715</v>
      </c>
      <c r="C326" s="4" t="s">
        <v>15</v>
      </c>
      <c r="D326" s="20">
        <v>0.016458333333333332</v>
      </c>
      <c r="E326" s="18" t="str">
        <f t="shared" si="1"/>
        <v>CloudVision Deployment Options</v>
      </c>
      <c r="F326" s="21">
        <v>5.0</v>
      </c>
      <c r="G326" s="18" t="s">
        <v>716</v>
      </c>
      <c r="H326" s="22" t="s">
        <v>199</v>
      </c>
      <c r="I326" s="22">
        <v>2025.1</v>
      </c>
      <c r="J326" s="22" t="s">
        <v>101</v>
      </c>
      <c r="K326" s="22" t="s">
        <v>18</v>
      </c>
      <c r="L326" s="22" t="s">
        <v>19</v>
      </c>
      <c r="M326" s="22"/>
      <c r="N326" s="22" t="s">
        <v>380</v>
      </c>
    </row>
    <row r="327">
      <c r="A327" s="18"/>
      <c r="B327" s="19" t="s">
        <v>717</v>
      </c>
      <c r="C327" s="4" t="s">
        <v>100</v>
      </c>
      <c r="D327" s="20">
        <v>0.013888888888888888</v>
      </c>
      <c r="E327" s="18" t="str">
        <f t="shared" si="1"/>
        <v>Upgrading CVP</v>
      </c>
      <c r="F327" s="21">
        <v>5.0</v>
      </c>
      <c r="G327" s="18"/>
      <c r="H327" s="22"/>
      <c r="I327" s="22">
        <v>2025.1</v>
      </c>
      <c r="J327" s="22" t="s">
        <v>101</v>
      </c>
      <c r="K327" s="22" t="s">
        <v>18</v>
      </c>
      <c r="L327" s="22"/>
      <c r="M327" s="22"/>
      <c r="N327" s="22" t="s">
        <v>399</v>
      </c>
    </row>
    <row r="328">
      <c r="A328" s="18"/>
      <c r="B328" s="19" t="s">
        <v>718</v>
      </c>
      <c r="C328" s="4" t="s">
        <v>15</v>
      </c>
      <c r="D328" s="20">
        <v>0.0021296296296296298</v>
      </c>
      <c r="E328" s="18" t="str">
        <f t="shared" si="1"/>
        <v>Upgrading CVP</v>
      </c>
      <c r="F328" s="21">
        <v>3.0</v>
      </c>
      <c r="G328" s="18"/>
      <c r="H328" s="22" t="s">
        <v>17</v>
      </c>
      <c r="I328" s="22" t="s">
        <v>18</v>
      </c>
      <c r="J328" s="22" t="s">
        <v>18</v>
      </c>
      <c r="K328" s="22" t="s">
        <v>18</v>
      </c>
      <c r="L328" s="22" t="s">
        <v>254</v>
      </c>
      <c r="M328" s="22" t="s">
        <v>74</v>
      </c>
      <c r="N328" s="22" t="s">
        <v>399</v>
      </c>
    </row>
    <row r="329">
      <c r="A329" s="18"/>
      <c r="B329" s="19" t="s">
        <v>719</v>
      </c>
      <c r="C329" s="4" t="s">
        <v>15</v>
      </c>
      <c r="D329" s="20">
        <v>0.008715277777777778</v>
      </c>
      <c r="E329" s="18" t="str">
        <f t="shared" si="1"/>
        <v>Redesigned Change Control UI</v>
      </c>
      <c r="F329" s="21">
        <v>6.0</v>
      </c>
      <c r="G329" s="18" t="s">
        <v>427</v>
      </c>
      <c r="H329" s="22" t="s">
        <v>17</v>
      </c>
      <c r="I329" s="22" t="s">
        <v>18</v>
      </c>
      <c r="J329" s="22" t="s">
        <v>18</v>
      </c>
      <c r="K329" s="22" t="s">
        <v>18</v>
      </c>
      <c r="L329" s="22" t="s">
        <v>254</v>
      </c>
      <c r="M329" s="22" t="s">
        <v>74</v>
      </c>
      <c r="N329" s="22" t="s">
        <v>423</v>
      </c>
    </row>
    <row r="330">
      <c r="A330" s="18"/>
      <c r="B330" s="19" t="s">
        <v>720</v>
      </c>
      <c r="C330" s="4" t="s">
        <v>15</v>
      </c>
      <c r="D330" s="20">
        <v>0.005208333333333333</v>
      </c>
      <c r="E330" s="18" t="str">
        <f t="shared" si="1"/>
        <v>Replacing a Device using ZTR</v>
      </c>
      <c r="F330" s="21">
        <v>6.0</v>
      </c>
      <c r="G330" s="18" t="s">
        <v>721</v>
      </c>
      <c r="H330" s="22" t="s">
        <v>689</v>
      </c>
      <c r="I330" s="22" t="s">
        <v>689</v>
      </c>
      <c r="J330" s="22" t="s">
        <v>689</v>
      </c>
      <c r="K330" s="22" t="s">
        <v>689</v>
      </c>
      <c r="L330" s="22" t="s">
        <v>689</v>
      </c>
      <c r="M330" s="22" t="s">
        <v>689</v>
      </c>
      <c r="N330" s="22" t="s">
        <v>722</v>
      </c>
    </row>
    <row r="331">
      <c r="A331" s="18"/>
      <c r="B331" s="19" t="s">
        <v>723</v>
      </c>
      <c r="C331" s="4" t="s">
        <v>15</v>
      </c>
      <c r="D331" s="20">
        <v>0.0018287037037037037</v>
      </c>
      <c r="E331" s="18" t="str">
        <f t="shared" si="1"/>
        <v>Deploy Campus Fabric with Day 0 workflow</v>
      </c>
      <c r="F331" s="21">
        <v>5.0</v>
      </c>
      <c r="G331" s="18" t="s">
        <v>724</v>
      </c>
      <c r="H331" s="22" t="s">
        <v>17</v>
      </c>
      <c r="I331" s="22" t="s">
        <v>18</v>
      </c>
      <c r="J331" s="22" t="s">
        <v>18</v>
      </c>
      <c r="K331" s="22" t="s">
        <v>18</v>
      </c>
      <c r="L331" s="22" t="s">
        <v>254</v>
      </c>
      <c r="M331" s="22" t="s">
        <v>74</v>
      </c>
      <c r="N331" s="22" t="s">
        <v>439</v>
      </c>
    </row>
    <row r="332">
      <c r="A332" s="18"/>
      <c r="B332" s="19" t="s">
        <v>725</v>
      </c>
      <c r="C332" s="4" t="s">
        <v>15</v>
      </c>
      <c r="D332" s="20">
        <v>0.003576388888888889</v>
      </c>
      <c r="E332" s="18" t="str">
        <f t="shared" si="1"/>
        <v>Deploy Campus Fabric with Day 0 workflow</v>
      </c>
      <c r="F332" s="21">
        <v>5.0</v>
      </c>
      <c r="G332" s="18" t="s">
        <v>726</v>
      </c>
      <c r="H332" s="22" t="s">
        <v>17</v>
      </c>
      <c r="I332" s="22" t="s">
        <v>18</v>
      </c>
      <c r="J332" s="22" t="s">
        <v>18</v>
      </c>
      <c r="K332" s="22" t="s">
        <v>18</v>
      </c>
      <c r="L332" s="22" t="s">
        <v>254</v>
      </c>
      <c r="M332" s="22" t="s">
        <v>74</v>
      </c>
      <c r="N332" s="22" t="s">
        <v>439</v>
      </c>
    </row>
    <row r="333">
      <c r="A333" s="18"/>
      <c r="B333" s="19" t="s">
        <v>727</v>
      </c>
      <c r="C333" s="4" t="s">
        <v>100</v>
      </c>
      <c r="D333" s="20">
        <v>0.013888888888888888</v>
      </c>
      <c r="E333" s="18" t="str">
        <f t="shared" si="1"/>
        <v>Deploy Campus Fabric with Day 0 workflow</v>
      </c>
      <c r="F333" s="21">
        <v>5.0</v>
      </c>
      <c r="G333" s="18"/>
      <c r="H333" s="22"/>
      <c r="I333" s="22">
        <v>2025.1</v>
      </c>
      <c r="J333" s="22" t="s">
        <v>101</v>
      </c>
      <c r="K333" s="22" t="s">
        <v>18</v>
      </c>
      <c r="L333" s="22" t="s">
        <v>254</v>
      </c>
      <c r="M333" s="22"/>
      <c r="N333" s="22" t="s">
        <v>439</v>
      </c>
    </row>
    <row r="334">
      <c r="A334" s="18"/>
      <c r="B334" s="19" t="s">
        <v>728</v>
      </c>
      <c r="C334" s="4" t="s">
        <v>15</v>
      </c>
      <c r="D334" s="20">
        <v>0.00869212962962963</v>
      </c>
      <c r="E334" s="18" t="str">
        <f t="shared" si="1"/>
        <v>Lab - Static Configuration Studio</v>
      </c>
      <c r="F334" s="21">
        <v>6.0</v>
      </c>
      <c r="G334" s="18" t="s">
        <v>729</v>
      </c>
      <c r="H334" s="22" t="s">
        <v>730</v>
      </c>
      <c r="I334" s="22">
        <v>2025.1</v>
      </c>
      <c r="J334" s="22" t="s">
        <v>101</v>
      </c>
      <c r="K334" s="22" t="s">
        <v>18</v>
      </c>
      <c r="L334" s="22" t="s">
        <v>254</v>
      </c>
      <c r="M334" s="22"/>
      <c r="N334" s="22" t="s">
        <v>731</v>
      </c>
    </row>
    <row r="335">
      <c r="A335" s="18"/>
      <c r="B335" s="19" t="s">
        <v>732</v>
      </c>
      <c r="C335" s="4" t="s">
        <v>15</v>
      </c>
      <c r="D335" s="20">
        <v>0.0076851851851851855</v>
      </c>
      <c r="E335" s="18" t="str">
        <f t="shared" si="1"/>
        <v>Lab - Static Configuration Studio</v>
      </c>
      <c r="F335" s="21">
        <v>4.0</v>
      </c>
      <c r="G335" s="18" t="s">
        <v>733</v>
      </c>
      <c r="H335" s="22" t="s">
        <v>730</v>
      </c>
      <c r="I335" s="22">
        <v>2025.1</v>
      </c>
      <c r="J335" s="22" t="s">
        <v>101</v>
      </c>
      <c r="K335" s="22" t="s">
        <v>18</v>
      </c>
      <c r="L335" s="22" t="s">
        <v>254</v>
      </c>
      <c r="M335" s="22"/>
      <c r="N335" s="22" t="s">
        <v>731</v>
      </c>
    </row>
    <row r="336">
      <c r="A336" s="18"/>
      <c r="B336" s="19" t="s">
        <v>734</v>
      </c>
      <c r="C336" s="4" t="s">
        <v>15</v>
      </c>
      <c r="D336" s="20">
        <v>0.005497685185185185</v>
      </c>
      <c r="E336" s="18" t="str">
        <f t="shared" si="1"/>
        <v>Lab - Static Configuration Studio</v>
      </c>
      <c r="F336" s="21">
        <v>4.0</v>
      </c>
      <c r="G336" s="18" t="s">
        <v>735</v>
      </c>
      <c r="H336" s="22" t="s">
        <v>730</v>
      </c>
      <c r="I336" s="22">
        <v>2025.1</v>
      </c>
      <c r="J336" s="22" t="s">
        <v>101</v>
      </c>
      <c r="K336" s="22" t="s">
        <v>18</v>
      </c>
      <c r="L336" s="22" t="s">
        <v>254</v>
      </c>
      <c r="M336" s="22"/>
      <c r="N336" s="22" t="s">
        <v>731</v>
      </c>
    </row>
    <row r="337">
      <c r="A337" s="18"/>
      <c r="B337" s="19" t="s">
        <v>736</v>
      </c>
      <c r="C337" s="4" t="s">
        <v>100</v>
      </c>
      <c r="D337" s="20">
        <v>0.013888888888888888</v>
      </c>
      <c r="E337" s="18" t="str">
        <f t="shared" si="1"/>
        <v>Lab - Static Configuration Studio</v>
      </c>
      <c r="F337" s="21">
        <v>6.0</v>
      </c>
      <c r="G337" s="18"/>
      <c r="H337" s="22"/>
      <c r="I337" s="22">
        <v>2025.1</v>
      </c>
      <c r="J337" s="22" t="s">
        <v>101</v>
      </c>
      <c r="K337" s="22" t="s">
        <v>18</v>
      </c>
      <c r="L337" s="22"/>
      <c r="M337" s="22"/>
      <c r="N337" s="22" t="s">
        <v>731</v>
      </c>
    </row>
    <row r="338">
      <c r="A338" s="18"/>
      <c r="B338" s="19" t="s">
        <v>737</v>
      </c>
      <c r="C338" s="4" t="s">
        <v>15</v>
      </c>
      <c r="D338" s="20">
        <v>0.0029976851851851853</v>
      </c>
      <c r="E338" s="18" t="str">
        <f t="shared" si="1"/>
        <v>Lab - Deploying L2 Campus with Studios</v>
      </c>
      <c r="F338" s="21">
        <v>3.0</v>
      </c>
      <c r="G338" s="18" t="s">
        <v>738</v>
      </c>
      <c r="H338" s="22" t="s">
        <v>199</v>
      </c>
      <c r="I338" s="22">
        <v>2025.1</v>
      </c>
      <c r="J338" s="22" t="s">
        <v>101</v>
      </c>
      <c r="K338" s="22" t="s">
        <v>18</v>
      </c>
      <c r="L338" s="22" t="s">
        <v>254</v>
      </c>
      <c r="M338" s="22" t="s">
        <v>74</v>
      </c>
      <c r="N338" s="22" t="s">
        <v>739</v>
      </c>
    </row>
    <row r="339">
      <c r="A339" s="18"/>
      <c r="B339" s="19" t="s">
        <v>740</v>
      </c>
      <c r="C339" s="4" t="s">
        <v>15</v>
      </c>
      <c r="D339" s="20">
        <v>0.0024074074074074076</v>
      </c>
      <c r="E339" s="18" t="str">
        <f t="shared" si="1"/>
        <v>Lab - Deploying L2 Campus with Studios</v>
      </c>
      <c r="F339" s="21">
        <v>4.0</v>
      </c>
      <c r="G339" s="18" t="s">
        <v>741</v>
      </c>
      <c r="H339" s="22" t="s">
        <v>199</v>
      </c>
      <c r="I339" s="22">
        <v>2025.1</v>
      </c>
      <c r="J339" s="22" t="s">
        <v>101</v>
      </c>
      <c r="K339" s="22" t="s">
        <v>18</v>
      </c>
      <c r="L339" s="22" t="s">
        <v>254</v>
      </c>
      <c r="M339" s="22" t="s">
        <v>74</v>
      </c>
      <c r="N339" s="22" t="s">
        <v>739</v>
      </c>
    </row>
    <row r="340">
      <c r="A340" s="18"/>
      <c r="B340" s="23" t="s">
        <v>742</v>
      </c>
      <c r="C340" s="4" t="s">
        <v>15</v>
      </c>
      <c r="D340" s="24">
        <v>0.002673611111111111</v>
      </c>
      <c r="E340" s="18" t="str">
        <f t="shared" si="1"/>
        <v>Lab - Deploying L2 Campus with Studios</v>
      </c>
      <c r="F340" s="21">
        <v>5.0</v>
      </c>
      <c r="G340" s="18" t="s">
        <v>743</v>
      </c>
      <c r="H340" s="22" t="s">
        <v>199</v>
      </c>
      <c r="I340" s="22">
        <v>2025.1</v>
      </c>
      <c r="J340" s="22" t="s">
        <v>101</v>
      </c>
      <c r="K340" s="22" t="s">
        <v>18</v>
      </c>
      <c r="L340" s="22" t="s">
        <v>254</v>
      </c>
      <c r="M340" s="22" t="s">
        <v>74</v>
      </c>
      <c r="N340" s="22" t="s">
        <v>739</v>
      </c>
    </row>
    <row r="341">
      <c r="A341" s="18"/>
      <c r="B341" s="19" t="s">
        <v>744</v>
      </c>
      <c r="C341" s="4" t="s">
        <v>15</v>
      </c>
      <c r="D341" s="20">
        <v>0.002395833333333333</v>
      </c>
      <c r="E341" s="18" t="str">
        <f t="shared" si="1"/>
        <v>Lab - Deploying L2 Campus with Studios</v>
      </c>
      <c r="F341" s="21">
        <v>4.0</v>
      </c>
      <c r="G341" s="18" t="s">
        <v>745</v>
      </c>
      <c r="H341" s="22" t="s">
        <v>199</v>
      </c>
      <c r="I341" s="22">
        <v>2025.1</v>
      </c>
      <c r="J341" s="22" t="s">
        <v>101</v>
      </c>
      <c r="K341" s="22" t="s">
        <v>18</v>
      </c>
      <c r="L341" s="22" t="s">
        <v>254</v>
      </c>
      <c r="M341" s="22" t="s">
        <v>74</v>
      </c>
      <c r="N341" s="22" t="s">
        <v>739</v>
      </c>
    </row>
    <row r="342">
      <c r="A342" s="18"/>
      <c r="B342" s="19" t="s">
        <v>746</v>
      </c>
      <c r="C342" s="4" t="s">
        <v>100</v>
      </c>
      <c r="D342" s="20">
        <v>0.013888888888888888</v>
      </c>
      <c r="E342" s="18" t="str">
        <f t="shared" si="1"/>
        <v>Lab - Deploying L2 Campus with Studios</v>
      </c>
      <c r="F342" s="21">
        <v>5.0</v>
      </c>
      <c r="G342" s="18"/>
      <c r="H342" s="22"/>
      <c r="I342" s="22">
        <v>2025.1</v>
      </c>
      <c r="J342" s="22" t="s">
        <v>101</v>
      </c>
      <c r="K342" s="22" t="s">
        <v>18</v>
      </c>
      <c r="L342" s="22" t="s">
        <v>254</v>
      </c>
      <c r="M342" s="22"/>
      <c r="N342" s="22" t="s">
        <v>739</v>
      </c>
    </row>
    <row r="343">
      <c r="A343" s="18"/>
      <c r="B343" s="19" t="s">
        <v>747</v>
      </c>
      <c r="C343" s="4" t="s">
        <v>15</v>
      </c>
      <c r="D343" s="20">
        <v>0.008680555555555556</v>
      </c>
      <c r="E343" s="18" t="str">
        <f t="shared" si="1"/>
        <v>Lab - Day 2 Operations with L2 Campus Studios</v>
      </c>
      <c r="F343" s="21">
        <v>6.0</v>
      </c>
      <c r="G343" s="18" t="s">
        <v>748</v>
      </c>
      <c r="H343" s="22" t="s">
        <v>730</v>
      </c>
      <c r="I343" s="22">
        <v>2025.1</v>
      </c>
      <c r="J343" s="22" t="s">
        <v>101</v>
      </c>
      <c r="K343" s="22" t="s">
        <v>18</v>
      </c>
      <c r="L343" s="22" t="s">
        <v>254</v>
      </c>
      <c r="M343" s="22"/>
      <c r="N343" s="22" t="s">
        <v>749</v>
      </c>
    </row>
    <row r="344">
      <c r="A344" s="18"/>
      <c r="B344" s="19" t="s">
        <v>750</v>
      </c>
      <c r="C344" s="4" t="s">
        <v>15</v>
      </c>
      <c r="D344" s="20">
        <v>0.005300925925925926</v>
      </c>
      <c r="E344" s="18" t="str">
        <f t="shared" si="1"/>
        <v>Lab - Day 2 Operations with L2 Campus Studios</v>
      </c>
      <c r="F344" s="21">
        <v>5.0</v>
      </c>
      <c r="G344" s="18" t="s">
        <v>751</v>
      </c>
      <c r="H344" s="22" t="s">
        <v>730</v>
      </c>
      <c r="I344" s="22">
        <v>2025.1</v>
      </c>
      <c r="J344" s="22" t="s">
        <v>101</v>
      </c>
      <c r="K344" s="22" t="s">
        <v>18</v>
      </c>
      <c r="L344" s="22" t="s">
        <v>254</v>
      </c>
      <c r="M344" s="22"/>
      <c r="N344" s="22" t="s">
        <v>749</v>
      </c>
    </row>
    <row r="345">
      <c r="A345" s="18"/>
      <c r="B345" s="19" t="s">
        <v>752</v>
      </c>
      <c r="C345" s="4" t="s">
        <v>15</v>
      </c>
      <c r="D345" s="20">
        <v>0.006574074074074074</v>
      </c>
      <c r="E345" s="18" t="str">
        <f t="shared" si="1"/>
        <v>Lab - Day 2 Operations with L2 Campus Studios</v>
      </c>
      <c r="F345" s="21">
        <v>6.0</v>
      </c>
      <c r="G345" s="18" t="s">
        <v>753</v>
      </c>
      <c r="H345" s="22" t="s">
        <v>730</v>
      </c>
      <c r="I345" s="22">
        <v>2025.1</v>
      </c>
      <c r="J345" s="22" t="s">
        <v>101</v>
      </c>
      <c r="K345" s="22" t="s">
        <v>18</v>
      </c>
      <c r="L345" s="22" t="s">
        <v>254</v>
      </c>
      <c r="M345" s="22"/>
      <c r="N345" s="22" t="s">
        <v>749</v>
      </c>
    </row>
    <row r="346">
      <c r="A346" s="18"/>
      <c r="B346" s="19" t="s">
        <v>754</v>
      </c>
      <c r="C346" s="4" t="s">
        <v>15</v>
      </c>
      <c r="D346" s="20">
        <v>0.004837962962962963</v>
      </c>
      <c r="E346" s="18" t="str">
        <f t="shared" si="1"/>
        <v>Lab - Day 2 Operations with L2 Campus Studios</v>
      </c>
      <c r="F346" s="21">
        <v>7.0</v>
      </c>
      <c r="G346" s="18" t="s">
        <v>755</v>
      </c>
      <c r="H346" s="22" t="s">
        <v>730</v>
      </c>
      <c r="I346" s="22">
        <v>2025.1</v>
      </c>
      <c r="J346" s="22" t="s">
        <v>101</v>
      </c>
      <c r="K346" s="22" t="s">
        <v>18</v>
      </c>
      <c r="L346" s="22" t="s">
        <v>254</v>
      </c>
      <c r="M346" s="22"/>
      <c r="N346" s="22" t="s">
        <v>749</v>
      </c>
    </row>
    <row r="347">
      <c r="A347" s="18"/>
      <c r="B347" s="19" t="s">
        <v>756</v>
      </c>
      <c r="C347" s="4" t="s">
        <v>15</v>
      </c>
      <c r="D347" s="20">
        <v>0.006851851851851852</v>
      </c>
      <c r="E347" s="18" t="str">
        <f t="shared" si="1"/>
        <v>Lab - Day 2 Operations with L2 Campus Studios</v>
      </c>
      <c r="F347" s="21">
        <v>5.0</v>
      </c>
      <c r="G347" s="18" t="s">
        <v>757</v>
      </c>
      <c r="H347" s="22" t="s">
        <v>730</v>
      </c>
      <c r="I347" s="22">
        <v>2025.1</v>
      </c>
      <c r="J347" s="22" t="s">
        <v>101</v>
      </c>
      <c r="K347" s="22" t="s">
        <v>18</v>
      </c>
      <c r="L347" s="22" t="s">
        <v>254</v>
      </c>
      <c r="M347" s="22"/>
      <c r="N347" s="22" t="s">
        <v>749</v>
      </c>
    </row>
    <row r="348">
      <c r="A348" s="18"/>
      <c r="B348" s="19" t="s">
        <v>758</v>
      </c>
      <c r="C348" s="4" t="s">
        <v>15</v>
      </c>
      <c r="D348" s="20">
        <v>0.017511574074074075</v>
      </c>
      <c r="E348" s="18" t="str">
        <f t="shared" si="1"/>
        <v>Connecting New Hosts to L3LS Campus</v>
      </c>
      <c r="F348" s="21">
        <v>4.0</v>
      </c>
      <c r="G348" s="18" t="s">
        <v>759</v>
      </c>
      <c r="H348" s="22"/>
      <c r="I348" s="22">
        <v>2025.1</v>
      </c>
      <c r="J348" s="22" t="s">
        <v>101</v>
      </c>
      <c r="K348" s="22" t="s">
        <v>18</v>
      </c>
      <c r="L348" s="22"/>
      <c r="M348" s="22"/>
      <c r="N348" s="22" t="s">
        <v>453</v>
      </c>
    </row>
    <row r="349">
      <c r="A349" s="18"/>
      <c r="B349" s="19" t="s">
        <v>760</v>
      </c>
      <c r="C349" s="4" t="s">
        <v>100</v>
      </c>
      <c r="D349" s="25">
        <v>0.013888888888888888</v>
      </c>
      <c r="E349" s="18" t="str">
        <f t="shared" si="1"/>
        <v>Connecting New Hosts to L3LS Campus</v>
      </c>
      <c r="F349" s="21">
        <v>4.0</v>
      </c>
      <c r="G349" s="18"/>
      <c r="H349" s="22"/>
      <c r="I349" s="22">
        <v>2025.1</v>
      </c>
      <c r="J349" s="22" t="s">
        <v>101</v>
      </c>
      <c r="K349" s="22" t="s">
        <v>18</v>
      </c>
      <c r="L349" s="22" t="s">
        <v>254</v>
      </c>
      <c r="M349" s="22"/>
      <c r="N349" s="22" t="s">
        <v>453</v>
      </c>
    </row>
    <row r="350">
      <c r="A350" s="18"/>
      <c r="B350" s="19" t="s">
        <v>462</v>
      </c>
      <c r="C350" s="4" t="s">
        <v>15</v>
      </c>
      <c r="D350" s="20">
        <v>0.005127314814814815</v>
      </c>
      <c r="E350" s="18" t="str">
        <f t="shared" si="1"/>
        <v>Lab - Monitoring Campus with Network Hierarchy</v>
      </c>
      <c r="F350" s="21">
        <v>3.0</v>
      </c>
      <c r="G350" s="18" t="s">
        <v>761</v>
      </c>
      <c r="H350" s="22" t="s">
        <v>17</v>
      </c>
      <c r="I350" s="22" t="s">
        <v>18</v>
      </c>
      <c r="J350" s="22" t="s">
        <v>18</v>
      </c>
      <c r="K350" s="22" t="s">
        <v>18</v>
      </c>
      <c r="L350" s="22" t="s">
        <v>254</v>
      </c>
      <c r="M350" s="22" t="s">
        <v>74</v>
      </c>
      <c r="N350" s="22" t="s">
        <v>462</v>
      </c>
    </row>
    <row r="351">
      <c r="A351" s="18"/>
      <c r="B351" s="19" t="s">
        <v>762</v>
      </c>
      <c r="C351" s="4" t="s">
        <v>15</v>
      </c>
      <c r="D351" s="20">
        <v>7.407407407407407E-4</v>
      </c>
      <c r="E351" s="18" t="str">
        <f t="shared" si="1"/>
        <v>Lab - Monitoring Campus with Network Hierarchy</v>
      </c>
      <c r="F351" s="21">
        <v>4.0</v>
      </c>
      <c r="G351" s="18" t="s">
        <v>763</v>
      </c>
      <c r="H351" s="22" t="s">
        <v>17</v>
      </c>
      <c r="I351" s="22" t="s">
        <v>18</v>
      </c>
      <c r="J351" s="22" t="s">
        <v>18</v>
      </c>
      <c r="K351" s="22" t="s">
        <v>18</v>
      </c>
      <c r="L351" s="22" t="s">
        <v>254</v>
      </c>
      <c r="M351" s="22" t="s">
        <v>74</v>
      </c>
      <c r="N351" s="22" t="s">
        <v>462</v>
      </c>
    </row>
    <row r="352">
      <c r="A352" s="18"/>
      <c r="B352" s="19" t="s">
        <v>764</v>
      </c>
      <c r="C352" s="4" t="s">
        <v>15</v>
      </c>
      <c r="D352" s="20">
        <v>5.555555555555556E-4</v>
      </c>
      <c r="E352" s="18" t="str">
        <f t="shared" si="1"/>
        <v>Syslog Filters Dashboard</v>
      </c>
      <c r="F352" s="21">
        <v>4.0</v>
      </c>
      <c r="G352" s="18" t="s">
        <v>765</v>
      </c>
      <c r="H352" s="22" t="s">
        <v>17</v>
      </c>
      <c r="I352" s="22" t="s">
        <v>18</v>
      </c>
      <c r="J352" s="22" t="s">
        <v>18</v>
      </c>
      <c r="K352" s="22" t="s">
        <v>18</v>
      </c>
      <c r="L352" s="22" t="s">
        <v>254</v>
      </c>
      <c r="M352" s="22" t="s">
        <v>74</v>
      </c>
      <c r="N352" s="22" t="s">
        <v>471</v>
      </c>
    </row>
    <row r="353">
      <c r="A353" s="18"/>
      <c r="B353" s="19" t="s">
        <v>766</v>
      </c>
      <c r="C353" s="4" t="s">
        <v>15</v>
      </c>
      <c r="D353" s="20">
        <v>0.005462962962962963</v>
      </c>
      <c r="E353" s="18" t="str">
        <f t="shared" si="1"/>
        <v>Event Groups</v>
      </c>
      <c r="F353" s="21">
        <v>4.0</v>
      </c>
      <c r="G353" s="18" t="s">
        <v>767</v>
      </c>
      <c r="H353" s="22" t="s">
        <v>17</v>
      </c>
      <c r="I353" s="22" t="s">
        <v>18</v>
      </c>
      <c r="J353" s="22" t="s">
        <v>18</v>
      </c>
      <c r="K353" s="22" t="s">
        <v>18</v>
      </c>
      <c r="L353" s="22"/>
      <c r="M353" s="22" t="s">
        <v>492</v>
      </c>
      <c r="N353" s="22" t="s">
        <v>493</v>
      </c>
    </row>
    <row r="354">
      <c r="A354" s="18"/>
      <c r="B354" s="19" t="s">
        <v>768</v>
      </c>
      <c r="C354" s="4" t="s">
        <v>15</v>
      </c>
      <c r="D354" s="20">
        <v>0.00883101851851852</v>
      </c>
      <c r="E354" s="18" t="str">
        <f t="shared" si="1"/>
        <v>Event Groups</v>
      </c>
      <c r="F354" s="21">
        <v>6.0</v>
      </c>
      <c r="G354" s="18" t="s">
        <v>769</v>
      </c>
      <c r="H354" s="22" t="s">
        <v>17</v>
      </c>
      <c r="I354" s="22" t="s">
        <v>18</v>
      </c>
      <c r="J354" s="22" t="s">
        <v>18</v>
      </c>
      <c r="K354" s="22" t="s">
        <v>18</v>
      </c>
      <c r="L354" s="22" t="s">
        <v>254</v>
      </c>
      <c r="M354" s="22" t="s">
        <v>492</v>
      </c>
      <c r="N354" s="22" t="s">
        <v>493</v>
      </c>
    </row>
    <row r="355">
      <c r="A355" s="26"/>
      <c r="B355" s="17" t="s">
        <v>770</v>
      </c>
      <c r="C355" s="4" t="s">
        <v>15</v>
      </c>
      <c r="D355" s="27">
        <v>0.010428240740740741</v>
      </c>
      <c r="E355" s="26" t="str">
        <f t="shared" si="1"/>
        <v>MLAG Upgrade and Reload with CVP</v>
      </c>
      <c r="F355" s="28">
        <v>2.0</v>
      </c>
      <c r="G355" s="26" t="s">
        <v>771</v>
      </c>
      <c r="H355" s="29" t="s">
        <v>598</v>
      </c>
      <c r="I355" s="29"/>
      <c r="J355" s="29"/>
      <c r="K355" s="29"/>
      <c r="L355" s="29" t="s">
        <v>19</v>
      </c>
      <c r="M355" s="29" t="s">
        <v>772</v>
      </c>
      <c r="N355" s="29" t="s">
        <v>773</v>
      </c>
    </row>
    <row r="356">
      <c r="A356" s="26"/>
      <c r="B356" s="17" t="s">
        <v>774</v>
      </c>
      <c r="C356" s="4" t="s">
        <v>15</v>
      </c>
      <c r="D356" s="27">
        <v>0.008599537037037037</v>
      </c>
      <c r="E356" s="26" t="str">
        <f t="shared" si="1"/>
        <v>Introduction to Network Automation</v>
      </c>
      <c r="F356" s="28">
        <v>3.0</v>
      </c>
      <c r="G356" s="26" t="s">
        <v>775</v>
      </c>
      <c r="H356" s="29" t="s">
        <v>598</v>
      </c>
      <c r="I356" s="29"/>
      <c r="J356" s="29"/>
      <c r="K356" s="29"/>
      <c r="L356" s="29" t="s">
        <v>19</v>
      </c>
      <c r="M356" s="29" t="s">
        <v>772</v>
      </c>
      <c r="N356" s="29" t="s">
        <v>776</v>
      </c>
    </row>
    <row r="357">
      <c r="A357" s="26"/>
      <c r="B357" s="17" t="s">
        <v>777</v>
      </c>
      <c r="C357" s="4" t="s">
        <v>100</v>
      </c>
      <c r="D357" s="27">
        <v>0.013888888888888888</v>
      </c>
      <c r="E357" s="26" t="str">
        <f t="shared" si="1"/>
        <v>Introduction to Network Automation</v>
      </c>
      <c r="F357" s="28">
        <v>2.0</v>
      </c>
      <c r="G357" s="26"/>
      <c r="H357" s="29" t="s">
        <v>598</v>
      </c>
      <c r="I357" s="29"/>
      <c r="J357" s="29"/>
      <c r="K357" s="29"/>
      <c r="L357" s="29" t="s">
        <v>19</v>
      </c>
      <c r="M357" s="29" t="s">
        <v>772</v>
      </c>
      <c r="N357" s="29" t="s">
        <v>776</v>
      </c>
    </row>
    <row r="358">
      <c r="A358" s="26"/>
      <c r="B358" s="17" t="s">
        <v>778</v>
      </c>
      <c r="C358" s="4" t="s">
        <v>15</v>
      </c>
      <c r="D358" s="27">
        <v>0.007465277777777778</v>
      </c>
      <c r="E358" s="26" t="str">
        <f t="shared" si="1"/>
        <v>Lab - Explore Lab Environment</v>
      </c>
      <c r="F358" s="28">
        <v>3.0</v>
      </c>
      <c r="G358" s="26" t="s">
        <v>779</v>
      </c>
      <c r="H358" s="29" t="s">
        <v>598</v>
      </c>
      <c r="I358" s="29"/>
      <c r="J358" s="29"/>
      <c r="K358" s="29"/>
      <c r="L358" s="29" t="s">
        <v>19</v>
      </c>
      <c r="M358" s="29" t="s">
        <v>772</v>
      </c>
      <c r="N358" s="29" t="s">
        <v>780</v>
      </c>
    </row>
    <row r="359">
      <c r="A359" s="26"/>
      <c r="B359" s="17" t="s">
        <v>781</v>
      </c>
      <c r="C359" s="4" t="s">
        <v>15</v>
      </c>
      <c r="D359" s="27">
        <v>0.005324074074074074</v>
      </c>
      <c r="E359" s="26" t="str">
        <f t="shared" si="1"/>
        <v>Lab - Explore Lab Environment</v>
      </c>
      <c r="F359" s="28">
        <v>3.0</v>
      </c>
      <c r="G359" s="26" t="s">
        <v>782</v>
      </c>
      <c r="H359" s="29" t="s">
        <v>598</v>
      </c>
      <c r="I359" s="29"/>
      <c r="J359" s="29"/>
      <c r="K359" s="29"/>
      <c r="L359" s="29" t="s">
        <v>19</v>
      </c>
      <c r="M359" s="29" t="s">
        <v>772</v>
      </c>
      <c r="N359" s="29" t="s">
        <v>780</v>
      </c>
    </row>
    <row r="360">
      <c r="A360" s="26"/>
      <c r="B360" s="17" t="s">
        <v>783</v>
      </c>
      <c r="C360" s="4" t="s">
        <v>15</v>
      </c>
      <c r="D360" s="27">
        <v>0.005509259259259259</v>
      </c>
      <c r="E360" s="26" t="str">
        <f t="shared" si="1"/>
        <v>Programmability IDEs Overview</v>
      </c>
      <c r="F360" s="28">
        <v>2.0</v>
      </c>
      <c r="G360" s="26"/>
      <c r="H360" s="29" t="s">
        <v>598</v>
      </c>
      <c r="I360" s="29"/>
      <c r="J360" s="29"/>
      <c r="K360" s="29"/>
      <c r="L360" s="29" t="s">
        <v>19</v>
      </c>
      <c r="M360" s="29"/>
      <c r="N360" s="29" t="s">
        <v>784</v>
      </c>
    </row>
    <row r="361">
      <c r="A361" s="26"/>
      <c r="B361" s="17" t="s">
        <v>785</v>
      </c>
      <c r="C361" s="4" t="s">
        <v>15</v>
      </c>
      <c r="D361" s="27">
        <v>0.008506944444444444</v>
      </c>
      <c r="E361" s="26" t="str">
        <f t="shared" si="1"/>
        <v>Programmability IDEs Overview</v>
      </c>
      <c r="F361" s="28">
        <v>2.0</v>
      </c>
      <c r="G361" s="26" t="s">
        <v>786</v>
      </c>
      <c r="H361" s="29" t="s">
        <v>598</v>
      </c>
      <c r="I361" s="29"/>
      <c r="J361" s="29"/>
      <c r="K361" s="29"/>
      <c r="L361" s="29" t="s">
        <v>19</v>
      </c>
      <c r="M361" s="29"/>
      <c r="N361" s="29" t="s">
        <v>784</v>
      </c>
    </row>
    <row r="362">
      <c r="A362" s="26"/>
      <c r="B362" s="17" t="s">
        <v>787</v>
      </c>
      <c r="C362" s="4" t="s">
        <v>15</v>
      </c>
      <c r="D362" s="27">
        <v>0.005393518518518519</v>
      </c>
      <c r="E362" s="26" t="str">
        <f t="shared" si="1"/>
        <v>Programmability IDEs Overview</v>
      </c>
      <c r="F362" s="28">
        <v>3.0</v>
      </c>
      <c r="G362" s="26" t="s">
        <v>788</v>
      </c>
      <c r="H362" s="29" t="s">
        <v>598</v>
      </c>
      <c r="I362" s="29"/>
      <c r="J362" s="29"/>
      <c r="K362" s="29"/>
      <c r="L362" s="29" t="s">
        <v>19</v>
      </c>
      <c r="M362" s="29"/>
      <c r="N362" s="29" t="s">
        <v>784</v>
      </c>
    </row>
    <row r="363">
      <c r="A363" s="26"/>
      <c r="B363" s="17" t="s">
        <v>789</v>
      </c>
      <c r="C363" s="4" t="s">
        <v>15</v>
      </c>
      <c r="D363" s="27">
        <v>0.010162037037037037</v>
      </c>
      <c r="E363" s="26" t="str">
        <f t="shared" si="1"/>
        <v>Programmability IDEs Overview</v>
      </c>
      <c r="F363" s="28">
        <v>2.0</v>
      </c>
      <c r="G363" s="26" t="s">
        <v>790</v>
      </c>
      <c r="H363" s="29" t="s">
        <v>598</v>
      </c>
      <c r="I363" s="29"/>
      <c r="J363" s="29"/>
      <c r="K363" s="29"/>
      <c r="L363" s="29" t="s">
        <v>19</v>
      </c>
      <c r="M363" s="29"/>
      <c r="N363" s="29" t="s">
        <v>784</v>
      </c>
    </row>
    <row r="364">
      <c r="A364" s="26"/>
      <c r="B364" s="17" t="s">
        <v>791</v>
      </c>
      <c r="C364" s="4" t="s">
        <v>15</v>
      </c>
      <c r="D364" s="27">
        <v>0.00681712962962963</v>
      </c>
      <c r="E364" s="26" t="str">
        <f t="shared" si="1"/>
        <v>Programmability IDEs Overview</v>
      </c>
      <c r="F364" s="28">
        <v>4.0</v>
      </c>
      <c r="G364" s="26" t="s">
        <v>792</v>
      </c>
      <c r="H364" s="29" t="s">
        <v>598</v>
      </c>
      <c r="I364" s="29"/>
      <c r="J364" s="29"/>
      <c r="K364" s="29"/>
      <c r="L364" s="29" t="s">
        <v>19</v>
      </c>
      <c r="M364" s="29"/>
      <c r="N364" s="29" t="s">
        <v>784</v>
      </c>
    </row>
    <row r="365">
      <c r="A365" s="26"/>
      <c r="B365" s="17" t="s">
        <v>793</v>
      </c>
      <c r="C365" s="4" t="s">
        <v>15</v>
      </c>
      <c r="D365" s="27">
        <v>0.001979166666666667</v>
      </c>
      <c r="E365" s="26" t="str">
        <f t="shared" si="1"/>
        <v>Programmability IDEs Overview</v>
      </c>
      <c r="F365" s="28">
        <v>2.0</v>
      </c>
      <c r="G365" s="26" t="s">
        <v>794</v>
      </c>
      <c r="H365" s="29" t="s">
        <v>598</v>
      </c>
      <c r="I365" s="29"/>
      <c r="J365" s="29"/>
      <c r="K365" s="29"/>
      <c r="L365" s="29" t="s">
        <v>19</v>
      </c>
      <c r="M365" s="29"/>
      <c r="N365" s="29" t="s">
        <v>784</v>
      </c>
    </row>
    <row r="366">
      <c r="A366" s="26"/>
      <c r="B366" s="17" t="s">
        <v>795</v>
      </c>
      <c r="C366" s="4" t="s">
        <v>100</v>
      </c>
      <c r="D366" s="27">
        <v>0.013888888888888888</v>
      </c>
      <c r="E366" s="26" t="str">
        <f t="shared" si="1"/>
        <v>Programmability IDEs Overview</v>
      </c>
      <c r="F366" s="28">
        <v>2.0</v>
      </c>
      <c r="G366" s="26" t="s">
        <v>786</v>
      </c>
      <c r="H366" s="29" t="s">
        <v>598</v>
      </c>
      <c r="I366" s="29"/>
      <c r="J366" s="29"/>
      <c r="K366" s="29"/>
      <c r="L366" s="29" t="s">
        <v>19</v>
      </c>
      <c r="M366" s="29"/>
      <c r="N366" s="29" t="s">
        <v>784</v>
      </c>
    </row>
    <row r="367">
      <c r="A367" s="26"/>
      <c r="B367" s="17" t="s">
        <v>796</v>
      </c>
      <c r="C367" s="4" t="s">
        <v>15</v>
      </c>
      <c r="D367" s="27">
        <v>0.006666666666666667</v>
      </c>
      <c r="E367" s="26" t="str">
        <f t="shared" si="1"/>
        <v>Lab - Explore IDE</v>
      </c>
      <c r="F367" s="28">
        <v>4.0</v>
      </c>
      <c r="G367" s="26" t="s">
        <v>797</v>
      </c>
      <c r="H367" s="29" t="s">
        <v>598</v>
      </c>
      <c r="I367" s="29"/>
      <c r="J367" s="29"/>
      <c r="K367" s="29"/>
      <c r="L367" s="29" t="s">
        <v>19</v>
      </c>
      <c r="M367" s="29" t="s">
        <v>772</v>
      </c>
      <c r="N367" s="29" t="s">
        <v>798</v>
      </c>
    </row>
    <row r="368">
      <c r="A368" s="26"/>
      <c r="B368" s="17" t="s">
        <v>799</v>
      </c>
      <c r="C368" s="4" t="s">
        <v>15</v>
      </c>
      <c r="D368" s="27">
        <v>0.00738425925925926</v>
      </c>
      <c r="E368" s="26" t="str">
        <f t="shared" si="1"/>
        <v>Lab - Explore IDE</v>
      </c>
      <c r="F368" s="28">
        <v>4.0</v>
      </c>
      <c r="G368" s="26" t="s">
        <v>800</v>
      </c>
      <c r="H368" s="29" t="s">
        <v>598</v>
      </c>
      <c r="I368" s="29"/>
      <c r="J368" s="29"/>
      <c r="K368" s="29"/>
      <c r="L368" s="29" t="s">
        <v>19</v>
      </c>
      <c r="M368" s="29" t="s">
        <v>772</v>
      </c>
      <c r="N368" s="29" t="s">
        <v>798</v>
      </c>
    </row>
    <row r="369">
      <c r="A369" s="26"/>
      <c r="B369" s="17" t="s">
        <v>801</v>
      </c>
      <c r="C369" s="4" t="s">
        <v>15</v>
      </c>
      <c r="D369" s="27">
        <v>0.004085648148148148</v>
      </c>
      <c r="E369" s="26" t="str">
        <f t="shared" si="1"/>
        <v>Lab - Explore IDE</v>
      </c>
      <c r="F369" s="28">
        <v>4.0</v>
      </c>
      <c r="G369" s="26" t="s">
        <v>802</v>
      </c>
      <c r="H369" s="29" t="s">
        <v>598</v>
      </c>
      <c r="I369" s="29"/>
      <c r="J369" s="29"/>
      <c r="K369" s="29"/>
      <c r="L369" s="29" t="s">
        <v>19</v>
      </c>
      <c r="M369" s="29" t="s">
        <v>772</v>
      </c>
      <c r="N369" s="29" t="s">
        <v>798</v>
      </c>
    </row>
    <row r="370">
      <c r="A370" s="26"/>
      <c r="B370" s="17" t="s">
        <v>803</v>
      </c>
      <c r="C370" s="4" t="s">
        <v>100</v>
      </c>
      <c r="D370" s="27">
        <v>0.013888888888888888</v>
      </c>
      <c r="E370" s="26" t="str">
        <f t="shared" si="1"/>
        <v>Lab - Explore IDE</v>
      </c>
      <c r="F370" s="28">
        <v>4.0</v>
      </c>
      <c r="G370" s="26"/>
      <c r="H370" s="29" t="s">
        <v>598</v>
      </c>
      <c r="I370" s="29"/>
      <c r="J370" s="29"/>
      <c r="K370" s="29"/>
      <c r="L370" s="29" t="s">
        <v>19</v>
      </c>
      <c r="M370" s="29" t="s">
        <v>772</v>
      </c>
      <c r="N370" s="29" t="s">
        <v>798</v>
      </c>
    </row>
    <row r="371">
      <c r="A371" s="26"/>
      <c r="B371" s="17" t="s">
        <v>804</v>
      </c>
      <c r="C371" s="4" t="s">
        <v>100</v>
      </c>
      <c r="D371" s="27">
        <v>0.013888888888888888</v>
      </c>
      <c r="E371" s="26" t="str">
        <f t="shared" si="1"/>
        <v>Lab - Explore IDE</v>
      </c>
      <c r="F371" s="28">
        <v>4.0</v>
      </c>
      <c r="G371" s="26"/>
      <c r="H371" s="29" t="s">
        <v>598</v>
      </c>
      <c r="I371" s="29"/>
      <c r="J371" s="29"/>
      <c r="K371" s="29"/>
      <c r="L371" s="29" t="s">
        <v>19</v>
      </c>
      <c r="M371" s="29" t="s">
        <v>772</v>
      </c>
      <c r="N371" s="29" t="s">
        <v>798</v>
      </c>
    </row>
    <row r="372">
      <c r="A372" s="26"/>
      <c r="B372" s="17" t="s">
        <v>805</v>
      </c>
      <c r="C372" s="4" t="s">
        <v>15</v>
      </c>
      <c r="D372" s="27">
        <v>0.0125</v>
      </c>
      <c r="E372" s="26" t="str">
        <f t="shared" si="1"/>
        <v>Lab - Collaborate Using GitHub</v>
      </c>
      <c r="F372" s="28">
        <v>3.0</v>
      </c>
      <c r="G372" s="26" t="s">
        <v>806</v>
      </c>
      <c r="H372" s="29" t="s">
        <v>598</v>
      </c>
      <c r="I372" s="29"/>
      <c r="J372" s="29"/>
      <c r="K372" s="29"/>
      <c r="L372" s="29" t="s">
        <v>19</v>
      </c>
      <c r="M372" s="29" t="s">
        <v>772</v>
      </c>
      <c r="N372" s="29" t="s">
        <v>807</v>
      </c>
    </row>
    <row r="373">
      <c r="A373" s="26"/>
      <c r="B373" s="17" t="s">
        <v>808</v>
      </c>
      <c r="C373" s="4" t="s">
        <v>15</v>
      </c>
      <c r="D373" s="27">
        <v>0.010578703703703703</v>
      </c>
      <c r="E373" s="26" t="str">
        <f t="shared" si="1"/>
        <v>Lab - Collaborate Using GitHub</v>
      </c>
      <c r="F373" s="28">
        <v>3.0</v>
      </c>
      <c r="G373" s="26" t="s">
        <v>809</v>
      </c>
      <c r="H373" s="29" t="s">
        <v>598</v>
      </c>
      <c r="I373" s="29"/>
      <c r="J373" s="29"/>
      <c r="K373" s="29"/>
      <c r="L373" s="29" t="s">
        <v>19</v>
      </c>
      <c r="M373" s="29" t="s">
        <v>772</v>
      </c>
      <c r="N373" s="29" t="s">
        <v>807</v>
      </c>
    </row>
    <row r="374">
      <c r="A374" s="26"/>
      <c r="B374" s="17" t="s">
        <v>810</v>
      </c>
      <c r="C374" s="4" t="s">
        <v>15</v>
      </c>
      <c r="D374" s="27">
        <v>0.009432870370370371</v>
      </c>
      <c r="E374" s="26" t="str">
        <f t="shared" si="1"/>
        <v>Lab - Collaborate Using GitHub</v>
      </c>
      <c r="F374" s="28">
        <v>5.0</v>
      </c>
      <c r="G374" s="26" t="s">
        <v>811</v>
      </c>
      <c r="H374" s="29" t="s">
        <v>598</v>
      </c>
      <c r="I374" s="29"/>
      <c r="J374" s="29"/>
      <c r="K374" s="29"/>
      <c r="L374" s="29" t="s">
        <v>19</v>
      </c>
      <c r="M374" s="29" t="s">
        <v>772</v>
      </c>
      <c r="N374" s="29" t="s">
        <v>807</v>
      </c>
    </row>
    <row r="375">
      <c r="A375" s="26"/>
      <c r="B375" s="17" t="s">
        <v>812</v>
      </c>
      <c r="C375" s="4" t="s">
        <v>15</v>
      </c>
      <c r="D375" s="27">
        <v>0.010972222222222222</v>
      </c>
      <c r="E375" s="26" t="str">
        <f t="shared" si="1"/>
        <v>Lab - Collaborate Using GitHub</v>
      </c>
      <c r="F375" s="28">
        <v>4.0</v>
      </c>
      <c r="G375" s="26" t="s">
        <v>813</v>
      </c>
      <c r="H375" s="29" t="s">
        <v>598</v>
      </c>
      <c r="I375" s="29"/>
      <c r="J375" s="29"/>
      <c r="K375" s="29"/>
      <c r="L375" s="29" t="s">
        <v>19</v>
      </c>
      <c r="M375" s="29" t="s">
        <v>772</v>
      </c>
      <c r="N375" s="29" t="s">
        <v>807</v>
      </c>
    </row>
    <row r="376">
      <c r="A376" s="26"/>
      <c r="B376" s="17" t="s">
        <v>814</v>
      </c>
      <c r="C376" s="4" t="s">
        <v>15</v>
      </c>
      <c r="D376" s="27">
        <v>0.003310185185185185</v>
      </c>
      <c r="E376" s="26" t="str">
        <f t="shared" si="1"/>
        <v>Lab - Collaborate Using GitHub</v>
      </c>
      <c r="F376" s="28">
        <v>5.0</v>
      </c>
      <c r="G376" s="26" t="s">
        <v>815</v>
      </c>
      <c r="H376" s="29" t="s">
        <v>598</v>
      </c>
      <c r="I376" s="29"/>
      <c r="J376" s="29"/>
      <c r="K376" s="29"/>
      <c r="L376" s="29" t="s">
        <v>19</v>
      </c>
      <c r="M376" s="29" t="s">
        <v>772</v>
      </c>
      <c r="N376" s="29" t="s">
        <v>807</v>
      </c>
    </row>
    <row r="377">
      <c r="A377" s="26"/>
      <c r="B377" s="17" t="s">
        <v>816</v>
      </c>
      <c r="C377" s="4" t="s">
        <v>15</v>
      </c>
      <c r="D377" s="27">
        <v>0.007604166666666667</v>
      </c>
      <c r="E377" s="26" t="str">
        <f t="shared" si="1"/>
        <v>Lab - Collaborate Using GitHub</v>
      </c>
      <c r="F377" s="28">
        <v>5.0</v>
      </c>
      <c r="G377" s="26" t="s">
        <v>817</v>
      </c>
      <c r="H377" s="29" t="s">
        <v>598</v>
      </c>
      <c r="I377" s="29"/>
      <c r="J377" s="29"/>
      <c r="K377" s="29"/>
      <c r="L377" s="29" t="s">
        <v>19</v>
      </c>
      <c r="M377" s="29" t="s">
        <v>772</v>
      </c>
      <c r="N377" s="29" t="s">
        <v>807</v>
      </c>
    </row>
    <row r="378">
      <c r="A378" s="26"/>
      <c r="B378" s="17" t="s">
        <v>818</v>
      </c>
      <c r="C378" s="4" t="s">
        <v>100</v>
      </c>
      <c r="D378" s="25">
        <v>0.013888888888888888</v>
      </c>
      <c r="E378" s="26" t="str">
        <f t="shared" si="1"/>
        <v>Lab - Collaborate Using GitHub</v>
      </c>
      <c r="F378" s="28">
        <v>4.0</v>
      </c>
      <c r="G378" s="26"/>
      <c r="H378" s="29" t="s">
        <v>598</v>
      </c>
      <c r="I378" s="29"/>
      <c r="J378" s="29"/>
      <c r="K378" s="29"/>
      <c r="L378" s="29" t="s">
        <v>19</v>
      </c>
      <c r="M378" s="29" t="s">
        <v>772</v>
      </c>
      <c r="N378" s="29" t="s">
        <v>807</v>
      </c>
    </row>
    <row r="379">
      <c r="A379" s="26"/>
      <c r="B379" s="17" t="s">
        <v>819</v>
      </c>
      <c r="C379" s="4" t="s">
        <v>100</v>
      </c>
      <c r="D379" s="25">
        <v>0.013888888888888888</v>
      </c>
      <c r="E379" s="26" t="str">
        <f t="shared" si="1"/>
        <v>Lab - Collaborate Using GitHub</v>
      </c>
      <c r="F379" s="28">
        <v>5.0</v>
      </c>
      <c r="G379" s="26"/>
      <c r="H379" s="29" t="s">
        <v>598</v>
      </c>
      <c r="I379" s="29"/>
      <c r="J379" s="29"/>
      <c r="K379" s="29"/>
      <c r="L379" s="29" t="s">
        <v>19</v>
      </c>
      <c r="M379" s="29" t="s">
        <v>772</v>
      </c>
      <c r="N379" s="29" t="s">
        <v>807</v>
      </c>
    </row>
    <row r="380">
      <c r="A380" s="26"/>
      <c r="B380" s="17" t="s">
        <v>820</v>
      </c>
      <c r="C380" s="4" t="s">
        <v>15</v>
      </c>
      <c r="D380" s="27">
        <v>0.009016203703703703</v>
      </c>
      <c r="E380" s="26" t="str">
        <f t="shared" si="1"/>
        <v>Lab - Understanding Structured Data</v>
      </c>
      <c r="F380" s="28">
        <v>3.0</v>
      </c>
      <c r="G380" s="26" t="s">
        <v>821</v>
      </c>
      <c r="H380" s="29" t="s">
        <v>598</v>
      </c>
      <c r="I380" s="29"/>
      <c r="J380" s="29"/>
      <c r="K380" s="29"/>
      <c r="L380" s="29" t="s">
        <v>19</v>
      </c>
      <c r="M380" s="29" t="s">
        <v>772</v>
      </c>
      <c r="N380" s="29" t="s">
        <v>822</v>
      </c>
    </row>
    <row r="381">
      <c r="A381" s="26"/>
      <c r="B381" s="17" t="s">
        <v>823</v>
      </c>
      <c r="C381" s="4" t="s">
        <v>15</v>
      </c>
      <c r="D381" s="27">
        <v>0.005729166666666666</v>
      </c>
      <c r="E381" s="26" t="str">
        <f t="shared" si="1"/>
        <v>Lab - Understanding Structured Data</v>
      </c>
      <c r="F381" s="28">
        <v>4.0</v>
      </c>
      <c r="G381" s="26" t="s">
        <v>824</v>
      </c>
      <c r="H381" s="29" t="s">
        <v>598</v>
      </c>
      <c r="I381" s="29"/>
      <c r="J381" s="29"/>
      <c r="K381" s="29"/>
      <c r="L381" s="29" t="s">
        <v>19</v>
      </c>
      <c r="M381" s="29" t="s">
        <v>772</v>
      </c>
      <c r="N381" s="29" t="s">
        <v>822</v>
      </c>
    </row>
    <row r="382">
      <c r="A382" s="26"/>
      <c r="B382" s="17" t="s">
        <v>825</v>
      </c>
      <c r="C382" s="4" t="s">
        <v>15</v>
      </c>
      <c r="D382" s="27">
        <v>0.004189814814814815</v>
      </c>
      <c r="E382" s="26" t="str">
        <f t="shared" si="1"/>
        <v>Lab - Understanding Structured Data</v>
      </c>
      <c r="F382" s="28">
        <v>5.0</v>
      </c>
      <c r="G382" s="26" t="s">
        <v>826</v>
      </c>
      <c r="H382" s="29" t="s">
        <v>598</v>
      </c>
      <c r="I382" s="29"/>
      <c r="J382" s="29"/>
      <c r="K382" s="29"/>
      <c r="L382" s="29" t="s">
        <v>19</v>
      </c>
      <c r="M382" s="29" t="s">
        <v>772</v>
      </c>
      <c r="N382" s="29" t="s">
        <v>822</v>
      </c>
    </row>
    <row r="383">
      <c r="A383" s="26"/>
      <c r="B383" s="17" t="s">
        <v>827</v>
      </c>
      <c r="C383" s="4" t="s">
        <v>15</v>
      </c>
      <c r="D383" s="27">
        <v>0.004583333333333333</v>
      </c>
      <c r="E383" s="26" t="str">
        <f t="shared" si="1"/>
        <v>HTTP Authentication</v>
      </c>
      <c r="F383" s="28">
        <v>4.0</v>
      </c>
      <c r="G383" s="26" t="s">
        <v>828</v>
      </c>
      <c r="H383" s="29" t="s">
        <v>598</v>
      </c>
      <c r="I383" s="29"/>
      <c r="J383" s="29"/>
      <c r="K383" s="29"/>
      <c r="L383" s="29" t="s">
        <v>19</v>
      </c>
      <c r="M383" s="29" t="s">
        <v>772</v>
      </c>
      <c r="N383" s="29" t="s">
        <v>829</v>
      </c>
    </row>
    <row r="384">
      <c r="A384" s="26"/>
      <c r="B384" s="17" t="s">
        <v>830</v>
      </c>
      <c r="C384" s="4" t="s">
        <v>15</v>
      </c>
      <c r="D384" s="27">
        <v>0.00681712962962963</v>
      </c>
      <c r="E384" s="26" t="str">
        <f t="shared" si="1"/>
        <v>HTTP Authentication</v>
      </c>
      <c r="F384" s="28">
        <v>5.0</v>
      </c>
      <c r="G384" s="26" t="s">
        <v>831</v>
      </c>
      <c r="H384" s="29" t="s">
        <v>598</v>
      </c>
      <c r="I384" s="29"/>
      <c r="J384" s="29"/>
      <c r="K384" s="29"/>
      <c r="L384" s="29" t="s">
        <v>19</v>
      </c>
      <c r="M384" s="29" t="s">
        <v>772</v>
      </c>
      <c r="N384" s="29" t="s">
        <v>829</v>
      </c>
    </row>
    <row r="385">
      <c r="A385" s="26"/>
      <c r="B385" s="17" t="s">
        <v>832</v>
      </c>
      <c r="C385" s="4" t="s">
        <v>15</v>
      </c>
      <c r="D385" s="27">
        <v>0.0038657407407407408</v>
      </c>
      <c r="E385" s="26" t="str">
        <f t="shared" si="1"/>
        <v>HTTP Authentication</v>
      </c>
      <c r="F385" s="28">
        <v>5.0</v>
      </c>
      <c r="G385" s="26" t="s">
        <v>833</v>
      </c>
      <c r="H385" s="29" t="s">
        <v>598</v>
      </c>
      <c r="I385" s="29"/>
      <c r="J385" s="29"/>
      <c r="K385" s="29"/>
      <c r="L385" s="29" t="s">
        <v>19</v>
      </c>
      <c r="M385" s="29" t="s">
        <v>772</v>
      </c>
      <c r="N385" s="29" t="s">
        <v>829</v>
      </c>
    </row>
    <row r="386">
      <c r="A386" s="26"/>
      <c r="B386" s="17" t="s">
        <v>834</v>
      </c>
      <c r="C386" s="4" t="s">
        <v>15</v>
      </c>
      <c r="D386" s="27">
        <v>0.003923611111111111</v>
      </c>
      <c r="E386" s="26" t="str">
        <f t="shared" si="1"/>
        <v>HTTP Authentication</v>
      </c>
      <c r="F386" s="28">
        <v>4.0</v>
      </c>
      <c r="G386" s="26" t="s">
        <v>835</v>
      </c>
      <c r="H386" s="29" t="s">
        <v>598</v>
      </c>
      <c r="I386" s="29"/>
      <c r="J386" s="29"/>
      <c r="K386" s="29"/>
      <c r="L386" s="29" t="s">
        <v>19</v>
      </c>
      <c r="M386" s="29" t="s">
        <v>772</v>
      </c>
      <c r="N386" s="29" t="s">
        <v>829</v>
      </c>
    </row>
    <row r="387">
      <c r="A387" s="26"/>
      <c r="B387" s="17" t="s">
        <v>836</v>
      </c>
      <c r="C387" s="4" t="s">
        <v>15</v>
      </c>
      <c r="D387" s="27">
        <v>0.0031944444444444446</v>
      </c>
      <c r="E387" s="26" t="str">
        <f t="shared" si="1"/>
        <v>Client TLS Certificates for API Authentication</v>
      </c>
      <c r="F387" s="28">
        <v>4.0</v>
      </c>
      <c r="G387" s="26" t="s">
        <v>837</v>
      </c>
      <c r="H387" s="29" t="s">
        <v>598</v>
      </c>
      <c r="I387" s="29"/>
      <c r="J387" s="29"/>
      <c r="K387" s="29"/>
      <c r="L387" s="29" t="s">
        <v>19</v>
      </c>
      <c r="M387" s="29"/>
      <c r="N387" s="29" t="s">
        <v>838</v>
      </c>
    </row>
    <row r="388">
      <c r="A388" s="26"/>
      <c r="B388" s="17" t="s">
        <v>839</v>
      </c>
      <c r="C388" s="4" t="s">
        <v>15</v>
      </c>
      <c r="D388" s="27">
        <v>0.005648148148148148</v>
      </c>
      <c r="E388" s="26" t="str">
        <f t="shared" si="1"/>
        <v>Client TLS Certificates for API Authentication</v>
      </c>
      <c r="F388" s="28">
        <f t="shared" ref="F388:F390" si="2">3</f>
        <v>3</v>
      </c>
      <c r="G388" s="26" t="s">
        <v>840</v>
      </c>
      <c r="H388" s="29" t="s">
        <v>598</v>
      </c>
      <c r="I388" s="29"/>
      <c r="J388" s="29"/>
      <c r="K388" s="29"/>
      <c r="L388" s="29" t="s">
        <v>19</v>
      </c>
      <c r="M388" s="29"/>
      <c r="N388" s="29" t="s">
        <v>838</v>
      </c>
    </row>
    <row r="389">
      <c r="A389" s="26"/>
      <c r="B389" s="17" t="s">
        <v>841</v>
      </c>
      <c r="C389" s="4" t="s">
        <v>15</v>
      </c>
      <c r="D389" s="27">
        <v>0.005138888888888889</v>
      </c>
      <c r="E389" s="26" t="str">
        <f t="shared" si="1"/>
        <v>Client TLS Certificates for API Authentication</v>
      </c>
      <c r="F389" s="28">
        <f t="shared" si="2"/>
        <v>3</v>
      </c>
      <c r="G389" s="26" t="s">
        <v>842</v>
      </c>
      <c r="H389" s="29" t="s">
        <v>598</v>
      </c>
      <c r="I389" s="29"/>
      <c r="J389" s="29"/>
      <c r="K389" s="29"/>
      <c r="L389" s="29" t="s">
        <v>19</v>
      </c>
      <c r="M389" s="29"/>
      <c r="N389" s="29" t="s">
        <v>838</v>
      </c>
    </row>
    <row r="390">
      <c r="A390" s="26"/>
      <c r="B390" s="17" t="s">
        <v>843</v>
      </c>
      <c r="C390" s="4" t="s">
        <v>15</v>
      </c>
      <c r="D390" s="27">
        <v>0.004884259259259259</v>
      </c>
      <c r="E390" s="26" t="str">
        <f t="shared" si="1"/>
        <v>Client TLS Certificates for API Authentication</v>
      </c>
      <c r="F390" s="28">
        <f t="shared" si="2"/>
        <v>3</v>
      </c>
      <c r="G390" s="26" t="s">
        <v>844</v>
      </c>
      <c r="H390" s="29" t="s">
        <v>598</v>
      </c>
      <c r="I390" s="29"/>
      <c r="J390" s="29"/>
      <c r="K390" s="29"/>
      <c r="L390" s="29" t="s">
        <v>19</v>
      </c>
      <c r="M390" s="29"/>
      <c r="N390" s="29" t="s">
        <v>838</v>
      </c>
    </row>
    <row r="391">
      <c r="A391" s="26"/>
      <c r="B391" s="17" t="s">
        <v>845</v>
      </c>
      <c r="C391" s="4" t="s">
        <v>100</v>
      </c>
      <c r="D391" s="25">
        <v>0.013888888888888888</v>
      </c>
      <c r="E391" s="26" t="str">
        <f t="shared" si="1"/>
        <v>Client TLS Certificates for API Authentication</v>
      </c>
      <c r="F391" s="28">
        <v>4.0</v>
      </c>
      <c r="G391" s="26"/>
      <c r="H391" s="29" t="s">
        <v>598</v>
      </c>
      <c r="I391" s="29"/>
      <c r="J391" s="29"/>
      <c r="K391" s="29"/>
      <c r="L391" s="29" t="s">
        <v>19</v>
      </c>
      <c r="M391" s="29"/>
      <c r="N391" s="29" t="s">
        <v>838</v>
      </c>
    </row>
    <row r="392">
      <c r="A392" s="26"/>
      <c r="B392" s="30" t="s">
        <v>846</v>
      </c>
      <c r="C392" s="4" t="s">
        <v>15</v>
      </c>
      <c r="D392" s="31">
        <v>0.0043287037037037035</v>
      </c>
      <c r="E392" s="26" t="str">
        <f t="shared" si="1"/>
        <v>Lab - Using REST API Clients</v>
      </c>
      <c r="F392" s="28">
        <v>4.0</v>
      </c>
      <c r="G392" s="26" t="s">
        <v>847</v>
      </c>
      <c r="H392" s="29" t="s">
        <v>598</v>
      </c>
      <c r="I392" s="29"/>
      <c r="J392" s="29"/>
      <c r="K392" s="29"/>
      <c r="L392" s="29" t="s">
        <v>19</v>
      </c>
      <c r="M392" s="29" t="s">
        <v>772</v>
      </c>
      <c r="N392" s="29" t="s">
        <v>848</v>
      </c>
    </row>
    <row r="393">
      <c r="A393" s="26"/>
      <c r="B393" s="30" t="s">
        <v>849</v>
      </c>
      <c r="C393" s="4" t="s">
        <v>15</v>
      </c>
      <c r="D393" s="31">
        <v>0.0020833333333333333</v>
      </c>
      <c r="E393" s="26" t="str">
        <f t="shared" si="1"/>
        <v>Lab - Using REST API Clients</v>
      </c>
      <c r="F393" s="28">
        <v>4.0</v>
      </c>
      <c r="G393" s="26" t="s">
        <v>850</v>
      </c>
      <c r="H393" s="29" t="s">
        <v>598</v>
      </c>
      <c r="I393" s="29"/>
      <c r="J393" s="29"/>
      <c r="K393" s="29"/>
      <c r="L393" s="29" t="s">
        <v>19</v>
      </c>
      <c r="M393" s="29" t="s">
        <v>772</v>
      </c>
      <c r="N393" s="29" t="s">
        <v>848</v>
      </c>
    </row>
    <row r="394">
      <c r="A394" s="26"/>
      <c r="B394" s="17" t="s">
        <v>851</v>
      </c>
      <c r="C394" s="4" t="s">
        <v>15</v>
      </c>
      <c r="D394" s="27">
        <v>0.009548611111111112</v>
      </c>
      <c r="E394" s="26" t="str">
        <f t="shared" si="1"/>
        <v>Ansible Use Cases</v>
      </c>
      <c r="F394" s="28">
        <v>5.0</v>
      </c>
      <c r="G394" s="26" t="s">
        <v>852</v>
      </c>
      <c r="H394" s="29" t="s">
        <v>598</v>
      </c>
      <c r="I394" s="29"/>
      <c r="J394" s="29"/>
      <c r="K394" s="29"/>
      <c r="L394" s="29" t="s">
        <v>19</v>
      </c>
      <c r="M394" s="29" t="s">
        <v>772</v>
      </c>
      <c r="N394" s="29" t="s">
        <v>853</v>
      </c>
    </row>
    <row r="395">
      <c r="A395" s="26"/>
      <c r="B395" s="17" t="s">
        <v>854</v>
      </c>
      <c r="C395" s="4" t="s">
        <v>15</v>
      </c>
      <c r="D395" s="27">
        <v>0.0028125</v>
      </c>
      <c r="E395" s="26" t="str">
        <f t="shared" si="1"/>
        <v>Ansible Use Cases</v>
      </c>
      <c r="F395" s="28">
        <v>6.0</v>
      </c>
      <c r="G395" s="26" t="s">
        <v>855</v>
      </c>
      <c r="H395" s="29" t="s">
        <v>598</v>
      </c>
      <c r="I395" s="29"/>
      <c r="J395" s="29"/>
      <c r="K395" s="29"/>
      <c r="L395" s="29" t="s">
        <v>19</v>
      </c>
      <c r="M395" s="29" t="s">
        <v>772</v>
      </c>
      <c r="N395" s="29" t="s">
        <v>853</v>
      </c>
    </row>
    <row r="396">
      <c r="A396" s="26"/>
      <c r="B396" s="17" t="s">
        <v>856</v>
      </c>
      <c r="C396" s="4" t="s">
        <v>15</v>
      </c>
      <c r="D396" s="27">
        <v>0.01005787037037037</v>
      </c>
      <c r="E396" s="26" t="str">
        <f t="shared" si="1"/>
        <v>Ansible Use Cases</v>
      </c>
      <c r="F396" s="28">
        <v>7.0</v>
      </c>
      <c r="G396" s="26" t="s">
        <v>857</v>
      </c>
      <c r="H396" s="29" t="s">
        <v>598</v>
      </c>
      <c r="I396" s="29"/>
      <c r="J396" s="29"/>
      <c r="K396" s="29"/>
      <c r="L396" s="29" t="s">
        <v>19</v>
      </c>
      <c r="M396" s="29" t="s">
        <v>772</v>
      </c>
      <c r="N396" s="29" t="s">
        <v>853</v>
      </c>
    </row>
    <row r="397">
      <c r="A397" s="26"/>
      <c r="B397" s="30" t="s">
        <v>858</v>
      </c>
      <c r="C397" s="4" t="s">
        <v>15</v>
      </c>
      <c r="D397" s="31">
        <v>0.001412037037037037</v>
      </c>
      <c r="E397" s="26" t="str">
        <f t="shared" si="1"/>
        <v>Ansible Use Cases</v>
      </c>
      <c r="F397" s="28">
        <v>5.0</v>
      </c>
      <c r="G397" s="26" t="s">
        <v>859</v>
      </c>
      <c r="H397" s="29" t="s">
        <v>598</v>
      </c>
      <c r="I397" s="29"/>
      <c r="J397" s="29"/>
      <c r="K397" s="29"/>
      <c r="L397" s="29" t="s">
        <v>19</v>
      </c>
      <c r="M397" s="29" t="s">
        <v>772</v>
      </c>
      <c r="N397" s="29" t="s">
        <v>853</v>
      </c>
    </row>
    <row r="398">
      <c r="A398" s="26"/>
      <c r="B398" s="17" t="s">
        <v>860</v>
      </c>
      <c r="C398" s="4" t="s">
        <v>15</v>
      </c>
      <c r="D398" s="27">
        <v>0.0031944444444444446</v>
      </c>
      <c r="E398" s="26" t="str">
        <f t="shared" si="1"/>
        <v>Ansible Use Cases</v>
      </c>
      <c r="F398" s="28">
        <v>5.0</v>
      </c>
      <c r="G398" s="26" t="s">
        <v>861</v>
      </c>
      <c r="H398" s="29" t="s">
        <v>598</v>
      </c>
      <c r="I398" s="29"/>
      <c r="J398" s="29"/>
      <c r="K398" s="29"/>
      <c r="L398" s="29" t="s">
        <v>19</v>
      </c>
      <c r="M398" s="29" t="s">
        <v>772</v>
      </c>
      <c r="N398" s="29" t="s">
        <v>853</v>
      </c>
    </row>
    <row r="399">
      <c r="A399" s="26"/>
      <c r="B399" s="17" t="s">
        <v>862</v>
      </c>
      <c r="C399" s="4" t="s">
        <v>100</v>
      </c>
      <c r="D399" s="25">
        <v>0.013888888888888888</v>
      </c>
      <c r="E399" s="26" t="str">
        <f t="shared" si="1"/>
        <v>Ansible Use Cases</v>
      </c>
      <c r="F399" s="28">
        <v>5.0</v>
      </c>
      <c r="G399" s="26"/>
      <c r="H399" s="29" t="s">
        <v>598</v>
      </c>
      <c r="I399" s="29"/>
      <c r="J399" s="29"/>
      <c r="K399" s="29"/>
      <c r="L399" s="29" t="s">
        <v>19</v>
      </c>
      <c r="M399" s="29" t="s">
        <v>772</v>
      </c>
      <c r="N399" s="29" t="s">
        <v>853</v>
      </c>
    </row>
    <row r="400">
      <c r="A400" s="26"/>
      <c r="B400" s="17" t="s">
        <v>863</v>
      </c>
      <c r="C400" s="4" t="s">
        <v>15</v>
      </c>
      <c r="D400" s="27">
        <v>0.011990740740740741</v>
      </c>
      <c r="E400" s="26" t="str">
        <f t="shared" si="1"/>
        <v>Lab - Ansible Fundamentals</v>
      </c>
      <c r="F400" s="28">
        <v>3.0</v>
      </c>
      <c r="G400" s="26" t="s">
        <v>864</v>
      </c>
      <c r="H400" s="29" t="s">
        <v>598</v>
      </c>
      <c r="I400" s="29"/>
      <c r="J400" s="29"/>
      <c r="K400" s="29"/>
      <c r="L400" s="29" t="s">
        <v>19</v>
      </c>
      <c r="M400" s="29" t="s">
        <v>772</v>
      </c>
      <c r="N400" s="29" t="s">
        <v>865</v>
      </c>
    </row>
    <row r="401">
      <c r="A401" s="26"/>
      <c r="B401" s="17" t="s">
        <v>866</v>
      </c>
      <c r="C401" s="4" t="s">
        <v>15</v>
      </c>
      <c r="D401" s="27">
        <v>0.007418981481481481</v>
      </c>
      <c r="E401" s="26" t="str">
        <f t="shared" si="1"/>
        <v>CloudVision Deployment</v>
      </c>
      <c r="F401" s="28">
        <v>4.0</v>
      </c>
      <c r="G401" s="26" t="s">
        <v>867</v>
      </c>
      <c r="H401" s="29" t="s">
        <v>598</v>
      </c>
      <c r="I401" s="29"/>
      <c r="J401" s="29"/>
      <c r="K401" s="29"/>
      <c r="L401" s="29" t="s">
        <v>19</v>
      </c>
      <c r="M401" s="29" t="s">
        <v>772</v>
      </c>
      <c r="N401" s="29" t="s">
        <v>868</v>
      </c>
    </row>
    <row r="402">
      <c r="A402" s="26"/>
      <c r="B402" s="17" t="s">
        <v>869</v>
      </c>
      <c r="C402" s="4" t="s">
        <v>15</v>
      </c>
      <c r="D402" s="27">
        <v>0.0018055555555555555</v>
      </c>
      <c r="E402" s="26" t="str">
        <f t="shared" si="1"/>
        <v>CloudVision Deployment</v>
      </c>
      <c r="F402" s="28">
        <v>4.0</v>
      </c>
      <c r="G402" s="26" t="s">
        <v>870</v>
      </c>
      <c r="H402" s="29" t="s">
        <v>598</v>
      </c>
      <c r="I402" s="29"/>
      <c r="J402" s="29"/>
      <c r="K402" s="29"/>
      <c r="L402" s="29" t="s">
        <v>19</v>
      </c>
      <c r="M402" s="29" t="s">
        <v>772</v>
      </c>
      <c r="N402" s="29" t="s">
        <v>868</v>
      </c>
    </row>
    <row r="403">
      <c r="A403" s="26"/>
      <c r="B403" s="17" t="s">
        <v>871</v>
      </c>
      <c r="C403" s="4" t="s">
        <v>15</v>
      </c>
      <c r="D403" s="27">
        <v>0.0060879629629629626</v>
      </c>
      <c r="E403" s="26" t="str">
        <f t="shared" si="1"/>
        <v>CloudVision Deployment</v>
      </c>
      <c r="F403" s="28">
        <v>4.0</v>
      </c>
      <c r="G403" s="26" t="s">
        <v>872</v>
      </c>
      <c r="H403" s="29" t="s">
        <v>598</v>
      </c>
      <c r="I403" s="29"/>
      <c r="J403" s="29"/>
      <c r="K403" s="29"/>
      <c r="L403" s="29" t="s">
        <v>19</v>
      </c>
      <c r="M403" s="29" t="s">
        <v>772</v>
      </c>
      <c r="N403" s="29" t="s">
        <v>868</v>
      </c>
    </row>
    <row r="404">
      <c r="A404" s="26"/>
      <c r="B404" s="17" t="s">
        <v>873</v>
      </c>
      <c r="C404" s="4" t="s">
        <v>15</v>
      </c>
      <c r="D404" s="27">
        <v>0.016516203703703703</v>
      </c>
      <c r="E404" s="26" t="str">
        <f t="shared" si="1"/>
        <v>CloudVision Backups</v>
      </c>
      <c r="F404" s="28">
        <v>5.0</v>
      </c>
      <c r="G404" s="26" t="s">
        <v>716</v>
      </c>
      <c r="H404" s="29" t="s">
        <v>598</v>
      </c>
      <c r="I404" s="29"/>
      <c r="J404" s="29"/>
      <c r="K404" s="29"/>
      <c r="L404" s="29" t="s">
        <v>19</v>
      </c>
      <c r="M404" s="29"/>
      <c r="N404" s="29" t="s">
        <v>874</v>
      </c>
    </row>
    <row r="405">
      <c r="A405" s="26"/>
      <c r="B405" s="17" t="s">
        <v>875</v>
      </c>
      <c r="C405" s="4" t="s">
        <v>15</v>
      </c>
      <c r="D405" s="27">
        <v>0.012534722222222221</v>
      </c>
      <c r="E405" s="26" t="str">
        <f t="shared" si="1"/>
        <v>CloudVision Backups</v>
      </c>
      <c r="F405" s="28">
        <v>4.0</v>
      </c>
      <c r="G405" s="26" t="s">
        <v>384</v>
      </c>
      <c r="H405" s="29" t="s">
        <v>598</v>
      </c>
      <c r="I405" s="29"/>
      <c r="J405" s="29"/>
      <c r="K405" s="29"/>
      <c r="L405" s="29" t="s">
        <v>19</v>
      </c>
      <c r="M405" s="29"/>
      <c r="N405" s="29" t="s">
        <v>874</v>
      </c>
    </row>
    <row r="406">
      <c r="A406" s="26"/>
      <c r="B406" s="17" t="s">
        <v>876</v>
      </c>
      <c r="C406" s="4" t="s">
        <v>15</v>
      </c>
      <c r="D406" s="27">
        <v>0.01638888888888889</v>
      </c>
      <c r="E406" s="26" t="str">
        <f t="shared" si="1"/>
        <v>CloudVision Backups</v>
      </c>
      <c r="F406" s="28">
        <v>6.0</v>
      </c>
      <c r="G406" s="26" t="s">
        <v>386</v>
      </c>
      <c r="H406" s="29" t="s">
        <v>598</v>
      </c>
      <c r="I406" s="29"/>
      <c r="J406" s="29"/>
      <c r="K406" s="29"/>
      <c r="L406" s="29" t="s">
        <v>19</v>
      </c>
      <c r="M406" s="29"/>
      <c r="N406" s="29" t="s">
        <v>874</v>
      </c>
    </row>
    <row r="407">
      <c r="A407" s="26"/>
      <c r="B407" s="17" t="s">
        <v>877</v>
      </c>
      <c r="C407" s="4" t="s">
        <v>15</v>
      </c>
      <c r="D407" s="27">
        <v>0.003287037037037037</v>
      </c>
      <c r="E407" s="26" t="str">
        <f t="shared" si="1"/>
        <v>Getting Familiar with CVP Interface Demo</v>
      </c>
      <c r="F407" s="28">
        <v>6.0</v>
      </c>
      <c r="G407" s="26" t="s">
        <v>878</v>
      </c>
      <c r="H407" s="29" t="s">
        <v>598</v>
      </c>
      <c r="I407" s="29"/>
      <c r="J407" s="29"/>
      <c r="K407" s="29"/>
      <c r="L407" s="29" t="s">
        <v>19</v>
      </c>
      <c r="M407" s="29" t="s">
        <v>772</v>
      </c>
      <c r="N407" s="29" t="s">
        <v>879</v>
      </c>
    </row>
    <row r="408">
      <c r="A408" s="26"/>
      <c r="B408" s="17" t="s">
        <v>880</v>
      </c>
      <c r="C408" s="4" t="s">
        <v>15</v>
      </c>
      <c r="D408" s="27">
        <v>0.0026967592592592594</v>
      </c>
      <c r="E408" s="26" t="str">
        <f t="shared" si="1"/>
        <v>Getting Familiar with CVP Interface Demo</v>
      </c>
      <c r="F408" s="28">
        <v>5.0</v>
      </c>
      <c r="G408" s="26" t="s">
        <v>881</v>
      </c>
      <c r="H408" s="29" t="s">
        <v>598</v>
      </c>
      <c r="I408" s="29"/>
      <c r="J408" s="29"/>
      <c r="K408" s="29"/>
      <c r="L408" s="29" t="s">
        <v>19</v>
      </c>
      <c r="M408" s="29" t="s">
        <v>772</v>
      </c>
      <c r="N408" s="29" t="s">
        <v>879</v>
      </c>
    </row>
    <row r="409">
      <c r="A409" s="26"/>
      <c r="B409" s="17" t="s">
        <v>882</v>
      </c>
      <c r="C409" s="4" t="s">
        <v>15</v>
      </c>
      <c r="D409" s="27">
        <v>0.009085648148148148</v>
      </c>
      <c r="E409" s="26" t="str">
        <f t="shared" si="1"/>
        <v>Getting Familiar with CVP Interface Demo</v>
      </c>
      <c r="F409" s="28">
        <v>4.0</v>
      </c>
      <c r="G409" s="26" t="s">
        <v>883</v>
      </c>
      <c r="H409" s="29" t="s">
        <v>598</v>
      </c>
      <c r="I409" s="29"/>
      <c r="J409" s="29"/>
      <c r="K409" s="29"/>
      <c r="L409" s="29" t="s">
        <v>19</v>
      </c>
      <c r="M409" s="29" t="s">
        <v>772</v>
      </c>
      <c r="N409" s="29" t="s">
        <v>879</v>
      </c>
    </row>
    <row r="410">
      <c r="A410" s="26"/>
      <c r="B410" s="17" t="s">
        <v>884</v>
      </c>
      <c r="C410" s="4" t="s">
        <v>15</v>
      </c>
      <c r="D410" s="27">
        <v>0.0036226851851851854</v>
      </c>
      <c r="E410" s="26" t="str">
        <f t="shared" si="1"/>
        <v>Getting Familiar with CVP Interface Demo</v>
      </c>
      <c r="F410" s="28">
        <v>3.0</v>
      </c>
      <c r="G410" s="26" t="s">
        <v>885</v>
      </c>
      <c r="H410" s="29" t="s">
        <v>598</v>
      </c>
      <c r="I410" s="29"/>
      <c r="J410" s="29"/>
      <c r="K410" s="29"/>
      <c r="L410" s="29" t="s">
        <v>19</v>
      </c>
      <c r="M410" s="29" t="s">
        <v>772</v>
      </c>
      <c r="N410" s="29" t="s">
        <v>879</v>
      </c>
    </row>
    <row r="411">
      <c r="A411" s="26"/>
      <c r="B411" s="30" t="s">
        <v>886</v>
      </c>
      <c r="C411" s="4" t="s">
        <v>15</v>
      </c>
      <c r="D411" s="31">
        <v>0.0012268518518518518</v>
      </c>
      <c r="E411" s="26" t="str">
        <f t="shared" si="1"/>
        <v>Getting Familiar with CVP Interface Demo</v>
      </c>
      <c r="F411" s="28">
        <v>3.0</v>
      </c>
      <c r="G411" s="26" t="s">
        <v>887</v>
      </c>
      <c r="H411" s="29" t="s">
        <v>598</v>
      </c>
      <c r="I411" s="29"/>
      <c r="J411" s="29"/>
      <c r="K411" s="29"/>
      <c r="L411" s="29" t="s">
        <v>19</v>
      </c>
      <c r="M411" s="29" t="s">
        <v>772</v>
      </c>
      <c r="N411" s="29" t="s">
        <v>879</v>
      </c>
    </row>
    <row r="412">
      <c r="A412" s="26"/>
      <c r="B412" s="17" t="s">
        <v>888</v>
      </c>
      <c r="C412" s="4" t="s">
        <v>15</v>
      </c>
      <c r="D412" s="27">
        <v>0.004907407407407407</v>
      </c>
      <c r="E412" s="26" t="str">
        <f t="shared" si="1"/>
        <v>CVP Snapshots</v>
      </c>
      <c r="F412" s="28">
        <v>6.0</v>
      </c>
      <c r="G412" s="26" t="s">
        <v>889</v>
      </c>
      <c r="H412" s="29" t="s">
        <v>598</v>
      </c>
      <c r="I412" s="29"/>
      <c r="J412" s="29"/>
      <c r="K412" s="29"/>
      <c r="L412" s="29" t="s">
        <v>19</v>
      </c>
      <c r="M412" s="29" t="s">
        <v>772</v>
      </c>
      <c r="N412" s="29" t="s">
        <v>890</v>
      </c>
    </row>
    <row r="413">
      <c r="A413" s="26"/>
      <c r="B413" s="17" t="s">
        <v>891</v>
      </c>
      <c r="C413" s="4" t="s">
        <v>15</v>
      </c>
      <c r="D413" s="27">
        <v>0.0020833333333333333</v>
      </c>
      <c r="E413" s="26" t="str">
        <f t="shared" si="1"/>
        <v>CVP Snapshots</v>
      </c>
      <c r="F413" s="28">
        <v>6.0</v>
      </c>
      <c r="G413" s="26" t="s">
        <v>427</v>
      </c>
      <c r="H413" s="29" t="s">
        <v>598</v>
      </c>
      <c r="I413" s="29"/>
      <c r="J413" s="29"/>
      <c r="K413" s="29"/>
      <c r="L413" s="29" t="s">
        <v>19</v>
      </c>
      <c r="M413" s="29" t="s">
        <v>772</v>
      </c>
      <c r="N413" s="29" t="s">
        <v>890</v>
      </c>
    </row>
    <row r="414">
      <c r="A414" s="26"/>
      <c r="B414" s="17" t="s">
        <v>892</v>
      </c>
      <c r="C414" s="4" t="s">
        <v>15</v>
      </c>
      <c r="D414" s="27">
        <v>0.005648148148148148</v>
      </c>
      <c r="E414" s="26" t="str">
        <f t="shared" si="1"/>
        <v>ZTR Demo - Replacing a Device in CVP</v>
      </c>
      <c r="F414" s="28">
        <v>6.0</v>
      </c>
      <c r="G414" s="26" t="s">
        <v>893</v>
      </c>
      <c r="H414" s="29" t="s">
        <v>598</v>
      </c>
      <c r="I414" s="29"/>
      <c r="J414" s="29"/>
      <c r="K414" s="29"/>
      <c r="L414" s="29" t="s">
        <v>19</v>
      </c>
      <c r="M414" s="29" t="s">
        <v>772</v>
      </c>
      <c r="N414" s="29" t="s">
        <v>894</v>
      </c>
    </row>
    <row r="415">
      <c r="A415" s="26"/>
      <c r="B415" s="17" t="s">
        <v>895</v>
      </c>
      <c r="C415" s="4" t="s">
        <v>15</v>
      </c>
      <c r="D415" s="27">
        <v>0.0020833333333333333</v>
      </c>
      <c r="E415" s="26" t="str">
        <f t="shared" si="1"/>
        <v>ZTR Demo - Replacing a Device in CVP</v>
      </c>
      <c r="F415" s="28">
        <v>6.0</v>
      </c>
      <c r="G415" s="26" t="s">
        <v>896</v>
      </c>
      <c r="H415" s="29" t="s">
        <v>598</v>
      </c>
      <c r="I415" s="29"/>
      <c r="J415" s="29"/>
      <c r="K415" s="29"/>
      <c r="L415" s="29" t="s">
        <v>19</v>
      </c>
      <c r="M415" s="29" t="s">
        <v>772</v>
      </c>
      <c r="N415" s="29" t="s">
        <v>894</v>
      </c>
    </row>
    <row r="416">
      <c r="A416" s="32"/>
      <c r="B416" s="17" t="s">
        <v>897</v>
      </c>
      <c r="C416" s="4" t="s">
        <v>15</v>
      </c>
      <c r="D416" s="27">
        <v>0.006944444444444444</v>
      </c>
      <c r="E416" s="32" t="str">
        <f t="shared" si="1"/>
        <v>ZTR Demo - Replacing a Device in CVP</v>
      </c>
      <c r="F416" s="28">
        <v>5.0</v>
      </c>
      <c r="G416" s="32"/>
      <c r="H416" s="33" t="s">
        <v>598</v>
      </c>
      <c r="I416" s="33"/>
      <c r="J416" s="33"/>
      <c r="K416" s="33"/>
      <c r="L416" s="33" t="s">
        <v>19</v>
      </c>
      <c r="M416" s="33" t="s">
        <v>772</v>
      </c>
      <c r="N416" s="33" t="s">
        <v>894</v>
      </c>
    </row>
    <row r="417">
      <c r="A417" s="26"/>
      <c r="B417" s="17" t="s">
        <v>898</v>
      </c>
      <c r="C417" s="4" t="s">
        <v>15</v>
      </c>
      <c r="D417" s="27">
        <v>0.0018171296296296297</v>
      </c>
      <c r="E417" s="26" t="str">
        <f t="shared" si="1"/>
        <v>ZTR Demo - Replacing a Device in CVP</v>
      </c>
      <c r="F417" s="28">
        <v>5.0</v>
      </c>
      <c r="G417" s="26" t="s">
        <v>899</v>
      </c>
      <c r="H417" s="29" t="s">
        <v>598</v>
      </c>
      <c r="I417" s="29"/>
      <c r="J417" s="29"/>
      <c r="K417" s="29"/>
      <c r="L417" s="29" t="s">
        <v>19</v>
      </c>
      <c r="M417" s="29" t="s">
        <v>772</v>
      </c>
      <c r="N417" s="29" t="s">
        <v>894</v>
      </c>
    </row>
    <row r="418">
      <c r="A418" s="26"/>
      <c r="B418" s="17" t="s">
        <v>900</v>
      </c>
      <c r="C418" s="4" t="s">
        <v>15</v>
      </c>
      <c r="D418" s="27">
        <v>0.0032291666666666666</v>
      </c>
      <c r="E418" s="26" t="str">
        <f t="shared" si="1"/>
        <v>ZTR Demo - Replacing a Device in CVP</v>
      </c>
      <c r="F418" s="28">
        <v>4.0</v>
      </c>
      <c r="G418" s="26" t="s">
        <v>901</v>
      </c>
      <c r="H418" s="29" t="s">
        <v>598</v>
      </c>
      <c r="I418" s="29"/>
      <c r="J418" s="29"/>
      <c r="K418" s="29"/>
      <c r="L418" s="29" t="s">
        <v>19</v>
      </c>
      <c r="M418" s="29" t="s">
        <v>772</v>
      </c>
      <c r="N418" s="29" t="s">
        <v>894</v>
      </c>
    </row>
    <row r="419">
      <c r="A419" s="26"/>
      <c r="B419" s="17" t="s">
        <v>902</v>
      </c>
      <c r="C419" s="4" t="s">
        <v>15</v>
      </c>
      <c r="D419" s="27">
        <v>0.0023148148148148147</v>
      </c>
      <c r="E419" s="26" t="str">
        <f t="shared" si="1"/>
        <v>ZTR Demo - Replacing a Device in CVP</v>
      </c>
      <c r="F419" s="28">
        <v>4.0</v>
      </c>
      <c r="G419" s="26" t="s">
        <v>903</v>
      </c>
      <c r="H419" s="29" t="s">
        <v>598</v>
      </c>
      <c r="I419" s="29"/>
      <c r="J419" s="29"/>
      <c r="K419" s="29"/>
      <c r="L419" s="29" t="s">
        <v>19</v>
      </c>
      <c r="M419" s="29" t="s">
        <v>772</v>
      </c>
      <c r="N419" s="29" t="s">
        <v>894</v>
      </c>
    </row>
    <row r="420">
      <c r="A420" s="32"/>
      <c r="B420" s="17" t="s">
        <v>904</v>
      </c>
      <c r="C420" s="4" t="s">
        <v>15</v>
      </c>
      <c r="D420" s="27">
        <v>0.006944444444444444</v>
      </c>
      <c r="E420" s="32" t="str">
        <f t="shared" si="1"/>
        <v>ZTR Demo - Replacing a Device in CVP</v>
      </c>
      <c r="F420" s="28">
        <v>5.0</v>
      </c>
      <c r="G420" s="32"/>
      <c r="H420" s="33" t="s">
        <v>598</v>
      </c>
      <c r="I420" s="33"/>
      <c r="J420" s="33"/>
      <c r="K420" s="33"/>
      <c r="L420" s="33" t="s">
        <v>19</v>
      </c>
      <c r="M420" s="33" t="s">
        <v>772</v>
      </c>
      <c r="N420" s="33" t="s">
        <v>894</v>
      </c>
    </row>
    <row r="421">
      <c r="A421" s="32"/>
      <c r="B421" s="17" t="s">
        <v>905</v>
      </c>
      <c r="C421" s="4" t="s">
        <v>15</v>
      </c>
      <c r="D421" s="27">
        <v>0.006944444444444444</v>
      </c>
      <c r="E421" s="32" t="str">
        <f t="shared" si="1"/>
        <v>ZTR Demo - Replacing a Device in CVP</v>
      </c>
      <c r="F421" s="28">
        <v>5.0</v>
      </c>
      <c r="G421" s="32"/>
      <c r="H421" s="33" t="s">
        <v>598</v>
      </c>
      <c r="I421" s="33"/>
      <c r="J421" s="33"/>
      <c r="K421" s="33"/>
      <c r="L421" s="33" t="s">
        <v>19</v>
      </c>
      <c r="M421" s="33" t="s">
        <v>772</v>
      </c>
      <c r="N421" s="33" t="s">
        <v>894</v>
      </c>
    </row>
    <row r="422">
      <c r="A422" s="32"/>
      <c r="B422" s="17" t="s">
        <v>906</v>
      </c>
      <c r="C422" s="4" t="s">
        <v>15</v>
      </c>
      <c r="D422" s="27">
        <v>0.006944444444444444</v>
      </c>
      <c r="E422" s="32" t="str">
        <f t="shared" si="1"/>
        <v>ZTR Demo - Replacing a Device in CVP</v>
      </c>
      <c r="F422" s="28">
        <v>4.0</v>
      </c>
      <c r="G422" s="32"/>
      <c r="H422" s="33" t="s">
        <v>598</v>
      </c>
      <c r="I422" s="33"/>
      <c r="J422" s="33"/>
      <c r="K422" s="33"/>
      <c r="L422" s="33" t="s">
        <v>19</v>
      </c>
      <c r="M422" s="33" t="s">
        <v>772</v>
      </c>
      <c r="N422" s="33" t="s">
        <v>894</v>
      </c>
    </row>
    <row r="423">
      <c r="A423" s="26"/>
      <c r="B423" s="17" t="s">
        <v>907</v>
      </c>
      <c r="C423" s="4" t="s">
        <v>15</v>
      </c>
      <c r="D423" s="27">
        <v>0.0014930555555555556</v>
      </c>
      <c r="E423" s="26" t="str">
        <f t="shared" si="1"/>
        <v>ZTR Demo - Replacing a Device in CVP</v>
      </c>
      <c r="F423" s="28">
        <v>4.0</v>
      </c>
      <c r="G423" s="26" t="s">
        <v>908</v>
      </c>
      <c r="H423" s="29" t="s">
        <v>598</v>
      </c>
      <c r="I423" s="29"/>
      <c r="J423" s="29"/>
      <c r="K423" s="29"/>
      <c r="L423" s="29" t="s">
        <v>19</v>
      </c>
      <c r="M423" s="29" t="s">
        <v>772</v>
      </c>
      <c r="N423" s="29" t="s">
        <v>894</v>
      </c>
    </row>
    <row r="424">
      <c r="A424" s="26"/>
      <c r="B424" s="17" t="s">
        <v>909</v>
      </c>
      <c r="C424" s="4" t="s">
        <v>15</v>
      </c>
      <c r="D424" s="27">
        <v>0.002766203703703704</v>
      </c>
      <c r="E424" s="26" t="str">
        <f t="shared" si="1"/>
        <v>ZTR Demo - Replacing a Device in CVP</v>
      </c>
      <c r="F424" s="28">
        <v>6.0</v>
      </c>
      <c r="G424" s="26" t="s">
        <v>910</v>
      </c>
      <c r="H424" s="29" t="s">
        <v>598</v>
      </c>
      <c r="I424" s="29"/>
      <c r="J424" s="29"/>
      <c r="K424" s="29"/>
      <c r="L424" s="29" t="s">
        <v>19</v>
      </c>
      <c r="M424" s="29" t="s">
        <v>772</v>
      </c>
      <c r="N424" s="29" t="s">
        <v>894</v>
      </c>
    </row>
    <row r="425">
      <c r="A425" s="32"/>
      <c r="B425" s="17" t="s">
        <v>911</v>
      </c>
      <c r="C425" s="4" t="s">
        <v>15</v>
      </c>
      <c r="D425" s="27">
        <v>0.006944444444444444</v>
      </c>
      <c r="E425" s="32" t="str">
        <f t="shared" si="1"/>
        <v>ZTR Demo - Replacing a Device in CVP</v>
      </c>
      <c r="F425" s="28">
        <v>4.0</v>
      </c>
      <c r="G425" s="32"/>
      <c r="H425" s="33" t="s">
        <v>598</v>
      </c>
      <c r="I425" s="33"/>
      <c r="J425" s="33"/>
      <c r="K425" s="33"/>
      <c r="L425" s="33" t="s">
        <v>19</v>
      </c>
      <c r="M425" s="33" t="s">
        <v>772</v>
      </c>
      <c r="N425" s="33" t="s">
        <v>894</v>
      </c>
    </row>
    <row r="426">
      <c r="A426" s="26"/>
      <c r="B426" s="17" t="s">
        <v>912</v>
      </c>
      <c r="C426" s="4" t="s">
        <v>15</v>
      </c>
      <c r="D426" s="27">
        <v>0.002476851851851852</v>
      </c>
      <c r="E426" s="26" t="str">
        <f t="shared" si="1"/>
        <v>ZTR Demo - Replacing a Device in CVP</v>
      </c>
      <c r="F426" s="28">
        <v>4.0</v>
      </c>
      <c r="G426" s="26" t="s">
        <v>913</v>
      </c>
      <c r="H426" s="29" t="s">
        <v>598</v>
      </c>
      <c r="I426" s="29"/>
      <c r="J426" s="29"/>
      <c r="K426" s="29"/>
      <c r="L426" s="29" t="s">
        <v>19</v>
      </c>
      <c r="M426" s="29" t="s">
        <v>772</v>
      </c>
      <c r="N426" s="29" t="s">
        <v>894</v>
      </c>
    </row>
    <row r="427">
      <c r="A427" s="32"/>
      <c r="B427" s="17" t="s">
        <v>914</v>
      </c>
      <c r="C427" s="4" t="s">
        <v>15</v>
      </c>
      <c r="D427" s="27">
        <v>0.006944444444444444</v>
      </c>
      <c r="E427" s="32" t="str">
        <f t="shared" si="1"/>
        <v>ZTR Demo - Replacing a Device in CVP</v>
      </c>
      <c r="F427" s="28">
        <v>5.0</v>
      </c>
      <c r="G427" s="32"/>
      <c r="H427" s="33" t="s">
        <v>598</v>
      </c>
      <c r="I427" s="33"/>
      <c r="J427" s="33"/>
      <c r="K427" s="33"/>
      <c r="L427" s="33" t="s">
        <v>19</v>
      </c>
      <c r="M427" s="33" t="s">
        <v>772</v>
      </c>
      <c r="N427" s="33" t="s">
        <v>894</v>
      </c>
    </row>
    <row r="428">
      <c r="A428" s="32"/>
      <c r="B428" s="17" t="s">
        <v>915</v>
      </c>
      <c r="C428" s="4" t="s">
        <v>15</v>
      </c>
      <c r="D428" s="27">
        <v>0.006944444444444444</v>
      </c>
      <c r="E428" s="32" t="str">
        <f t="shared" si="1"/>
        <v>ZTR Demo - Replacing a Device in CVP</v>
      </c>
      <c r="F428" s="28">
        <v>4.0</v>
      </c>
      <c r="G428" s="32"/>
      <c r="H428" s="33" t="s">
        <v>598</v>
      </c>
      <c r="I428" s="33"/>
      <c r="J428" s="33"/>
      <c r="K428" s="33"/>
      <c r="L428" s="33" t="s">
        <v>19</v>
      </c>
      <c r="M428" s="33" t="s">
        <v>772</v>
      </c>
      <c r="N428" s="33" t="s">
        <v>894</v>
      </c>
    </row>
    <row r="429">
      <c r="A429" s="32"/>
      <c r="B429" s="17" t="s">
        <v>916</v>
      </c>
      <c r="C429" s="4" t="s">
        <v>100</v>
      </c>
      <c r="D429" s="27">
        <v>0.006944444444444444</v>
      </c>
      <c r="E429" s="32" t="str">
        <f t="shared" si="1"/>
        <v>ZTR Demo - Replacing a Device in CVP</v>
      </c>
      <c r="F429" s="28">
        <v>3.0</v>
      </c>
      <c r="G429" s="32"/>
      <c r="H429" s="33" t="s">
        <v>598</v>
      </c>
      <c r="I429" s="33"/>
      <c r="J429" s="33"/>
      <c r="K429" s="33"/>
      <c r="L429" s="33" t="s">
        <v>19</v>
      </c>
      <c r="M429" s="33" t="s">
        <v>772</v>
      </c>
      <c r="N429" s="33" t="s">
        <v>894</v>
      </c>
    </row>
    <row r="430">
      <c r="A430" s="26"/>
      <c r="B430" s="17" t="s">
        <v>917</v>
      </c>
      <c r="C430" s="4" t="s">
        <v>15</v>
      </c>
      <c r="D430" s="27">
        <v>0.0021759259259259258</v>
      </c>
      <c r="E430" s="26" t="str">
        <f t="shared" si="1"/>
        <v>Importing Studio Overview</v>
      </c>
      <c r="F430" s="28">
        <v>4.0</v>
      </c>
      <c r="G430" s="26" t="s">
        <v>918</v>
      </c>
      <c r="H430" s="29" t="s">
        <v>598</v>
      </c>
      <c r="I430" s="29"/>
      <c r="J430" s="29"/>
      <c r="K430" s="29"/>
      <c r="L430" s="29" t="s">
        <v>19</v>
      </c>
      <c r="M430" s="29" t="s">
        <v>772</v>
      </c>
      <c r="N430" s="29" t="s">
        <v>919</v>
      </c>
    </row>
    <row r="431">
      <c r="A431" s="26"/>
      <c r="B431" s="17" t="s">
        <v>920</v>
      </c>
      <c r="C431" s="4" t="s">
        <v>15</v>
      </c>
      <c r="D431" s="27">
        <v>0.0017013888888888888</v>
      </c>
      <c r="E431" s="26" t="str">
        <f t="shared" si="1"/>
        <v>Importing Studio Overview</v>
      </c>
      <c r="F431" s="28">
        <v>4.0</v>
      </c>
      <c r="G431" s="26" t="s">
        <v>921</v>
      </c>
      <c r="H431" s="29" t="s">
        <v>598</v>
      </c>
      <c r="I431" s="29"/>
      <c r="J431" s="29"/>
      <c r="K431" s="29"/>
      <c r="L431" s="29" t="s">
        <v>19</v>
      </c>
      <c r="M431" s="29" t="s">
        <v>772</v>
      </c>
      <c r="N431" s="29" t="s">
        <v>919</v>
      </c>
    </row>
    <row r="432">
      <c r="A432" s="26"/>
      <c r="B432" s="17" t="s">
        <v>922</v>
      </c>
      <c r="C432" s="4" t="s">
        <v>15</v>
      </c>
      <c r="D432" s="27">
        <v>0.0029976851851851853</v>
      </c>
      <c r="E432" s="26" t="str">
        <f t="shared" si="1"/>
        <v>Importing Studio Overview</v>
      </c>
      <c r="F432" s="28">
        <v>7.0</v>
      </c>
      <c r="G432" s="26" t="s">
        <v>441</v>
      </c>
      <c r="H432" s="29" t="s">
        <v>598</v>
      </c>
      <c r="I432" s="29"/>
      <c r="J432" s="29"/>
      <c r="K432" s="29"/>
      <c r="L432" s="29" t="s">
        <v>19</v>
      </c>
      <c r="M432" s="29" t="s">
        <v>772</v>
      </c>
      <c r="N432" s="29" t="s">
        <v>919</v>
      </c>
    </row>
    <row r="433">
      <c r="A433" s="26"/>
      <c r="B433" s="30" t="s">
        <v>923</v>
      </c>
      <c r="C433" s="4" t="s">
        <v>15</v>
      </c>
      <c r="D433" s="31">
        <v>0.0037962962962962963</v>
      </c>
      <c r="E433" s="26" t="str">
        <f t="shared" si="1"/>
        <v>Importing Studio Overview</v>
      </c>
      <c r="F433" s="28">
        <v>7.0</v>
      </c>
      <c r="G433" s="26" t="s">
        <v>924</v>
      </c>
      <c r="H433" s="29" t="s">
        <v>598</v>
      </c>
      <c r="I433" s="29"/>
      <c r="J433" s="29"/>
      <c r="K433" s="29"/>
      <c r="L433" s="29" t="s">
        <v>19</v>
      </c>
      <c r="M433" s="29" t="s">
        <v>772</v>
      </c>
      <c r="N433" s="29" t="s">
        <v>919</v>
      </c>
    </row>
    <row r="434">
      <c r="A434" s="26"/>
      <c r="B434" s="17" t="s">
        <v>925</v>
      </c>
      <c r="C434" s="4" t="s">
        <v>15</v>
      </c>
      <c r="D434" s="27">
        <v>0.0013425925925925925</v>
      </c>
      <c r="E434" s="26" t="str">
        <f t="shared" si="1"/>
        <v>Migrating Legacy Configlets to Studios</v>
      </c>
      <c r="F434" s="28">
        <v>7.0</v>
      </c>
      <c r="G434" s="26" t="s">
        <v>926</v>
      </c>
      <c r="H434" s="29" t="s">
        <v>598</v>
      </c>
      <c r="I434" s="29"/>
      <c r="J434" s="29"/>
      <c r="K434" s="29"/>
      <c r="L434" s="29" t="s">
        <v>19</v>
      </c>
      <c r="M434" s="29" t="s">
        <v>772</v>
      </c>
      <c r="N434" s="29" t="s">
        <v>927</v>
      </c>
    </row>
    <row r="435">
      <c r="A435" s="26"/>
      <c r="B435" s="17" t="s">
        <v>928</v>
      </c>
      <c r="C435" s="4" t="s">
        <v>15</v>
      </c>
      <c r="D435" s="27">
        <v>0.0020601851851851853</v>
      </c>
      <c r="E435" s="26" t="str">
        <f t="shared" si="1"/>
        <v>Migrating Legacy Configlets to Studios</v>
      </c>
      <c r="F435" s="28">
        <v>7.0</v>
      </c>
      <c r="G435" s="26" t="s">
        <v>929</v>
      </c>
      <c r="H435" s="29" t="s">
        <v>598</v>
      </c>
      <c r="I435" s="29"/>
      <c r="J435" s="29"/>
      <c r="K435" s="29"/>
      <c r="L435" s="29" t="s">
        <v>19</v>
      </c>
      <c r="M435" s="29" t="s">
        <v>772</v>
      </c>
      <c r="N435" s="29" t="s">
        <v>927</v>
      </c>
    </row>
    <row r="436">
      <c r="A436" s="26"/>
      <c r="B436" s="17" t="s">
        <v>930</v>
      </c>
      <c r="C436" s="4" t="s">
        <v>15</v>
      </c>
      <c r="D436" s="27">
        <v>0.007222222222222222</v>
      </c>
      <c r="E436" s="26" t="str">
        <f t="shared" si="1"/>
        <v>CVP Software Image Management Demo</v>
      </c>
      <c r="F436" s="28">
        <v>5.0</v>
      </c>
      <c r="G436" s="26" t="s">
        <v>931</v>
      </c>
      <c r="H436" s="29" t="s">
        <v>598</v>
      </c>
      <c r="I436" s="29"/>
      <c r="J436" s="29"/>
      <c r="K436" s="29"/>
      <c r="L436" s="29" t="s">
        <v>19</v>
      </c>
      <c r="M436" s="29" t="s">
        <v>772</v>
      </c>
      <c r="N436" s="29" t="s">
        <v>932</v>
      </c>
    </row>
    <row r="437">
      <c r="A437" s="26"/>
      <c r="B437" s="17" t="s">
        <v>933</v>
      </c>
      <c r="C437" s="4" t="s">
        <v>15</v>
      </c>
      <c r="D437" s="27">
        <v>0.004039351851851852</v>
      </c>
      <c r="E437" s="26" t="str">
        <f t="shared" si="1"/>
        <v>CVP Software Image Management Demo</v>
      </c>
      <c r="F437" s="28">
        <v>5.0</v>
      </c>
      <c r="G437" s="26" t="s">
        <v>934</v>
      </c>
      <c r="H437" s="29" t="s">
        <v>598</v>
      </c>
      <c r="I437" s="29"/>
      <c r="J437" s="29"/>
      <c r="K437" s="29"/>
      <c r="L437" s="29" t="s">
        <v>19</v>
      </c>
      <c r="M437" s="29" t="s">
        <v>772</v>
      </c>
      <c r="N437" s="29" t="s">
        <v>932</v>
      </c>
    </row>
    <row r="438">
      <c r="A438" s="26"/>
      <c r="B438" s="17" t="s">
        <v>935</v>
      </c>
      <c r="C438" s="4" t="s">
        <v>15</v>
      </c>
      <c r="D438" s="27">
        <v>0.005127314814814815</v>
      </c>
      <c r="E438" s="26" t="str">
        <f t="shared" si="1"/>
        <v>CVP Compliance Overview</v>
      </c>
      <c r="F438" s="28">
        <v>6.0</v>
      </c>
      <c r="G438" s="26" t="s">
        <v>761</v>
      </c>
      <c r="H438" s="29" t="s">
        <v>598</v>
      </c>
      <c r="I438" s="29"/>
      <c r="J438" s="29"/>
      <c r="K438" s="29"/>
      <c r="L438" s="29" t="s">
        <v>19</v>
      </c>
      <c r="M438" s="29" t="s">
        <v>772</v>
      </c>
      <c r="N438" s="29" t="s">
        <v>936</v>
      </c>
    </row>
    <row r="439">
      <c r="A439" s="26"/>
      <c r="B439" s="17" t="s">
        <v>937</v>
      </c>
      <c r="C439" s="4" t="s">
        <v>15</v>
      </c>
      <c r="D439" s="27">
        <v>0.006967592592592593</v>
      </c>
      <c r="E439" s="26" t="str">
        <f t="shared" si="1"/>
        <v>CVP Compliance Overview</v>
      </c>
      <c r="F439" s="28">
        <v>6.0</v>
      </c>
      <c r="G439" s="26" t="s">
        <v>472</v>
      </c>
      <c r="H439" s="29" t="s">
        <v>598</v>
      </c>
      <c r="I439" s="29"/>
      <c r="J439" s="29"/>
      <c r="K439" s="29"/>
      <c r="L439" s="29" t="s">
        <v>19</v>
      </c>
      <c r="M439" s="29" t="s">
        <v>772</v>
      </c>
      <c r="N439" s="29" t="s">
        <v>936</v>
      </c>
    </row>
    <row r="440">
      <c r="A440" s="26"/>
      <c r="B440" s="17" t="s">
        <v>938</v>
      </c>
      <c r="C440" s="4" t="s">
        <v>15</v>
      </c>
      <c r="D440" s="27">
        <v>0.002800925925925926</v>
      </c>
      <c r="E440" s="26" t="str">
        <f t="shared" si="1"/>
        <v>CVP Compliance Overview</v>
      </c>
      <c r="F440" s="28">
        <v>4.0</v>
      </c>
      <c r="G440" s="26" t="s">
        <v>939</v>
      </c>
      <c r="H440" s="29" t="s">
        <v>598</v>
      </c>
      <c r="I440" s="29"/>
      <c r="J440" s="29"/>
      <c r="K440" s="29"/>
      <c r="L440" s="29" t="s">
        <v>19</v>
      </c>
      <c r="M440" s="29" t="s">
        <v>772</v>
      </c>
      <c r="N440" s="29" t="s">
        <v>936</v>
      </c>
    </row>
    <row r="441">
      <c r="A441" s="26"/>
      <c r="B441" s="17" t="s">
        <v>940</v>
      </c>
      <c r="C441" s="4" t="s">
        <v>15</v>
      </c>
      <c r="D441" s="27">
        <v>0.004594907407407408</v>
      </c>
      <c r="E441" s="26" t="str">
        <f t="shared" si="1"/>
        <v>CloudVision Topology Tags</v>
      </c>
      <c r="F441" s="28">
        <v>5.0</v>
      </c>
      <c r="G441" s="26"/>
      <c r="H441" s="29" t="s">
        <v>598</v>
      </c>
      <c r="I441" s="29"/>
      <c r="J441" s="29"/>
      <c r="K441" s="29"/>
      <c r="L441" s="29" t="s">
        <v>19</v>
      </c>
      <c r="M441" s="29" t="s">
        <v>772</v>
      </c>
      <c r="N441" s="29" t="s">
        <v>941</v>
      </c>
    </row>
    <row r="442">
      <c r="A442" s="26"/>
      <c r="B442" s="17" t="s">
        <v>942</v>
      </c>
      <c r="C442" s="4" t="s">
        <v>15</v>
      </c>
      <c r="D442" s="27">
        <v>0.0032407407407407406</v>
      </c>
      <c r="E442" s="26" t="str">
        <f t="shared" si="1"/>
        <v>CloudVision Topology Tags</v>
      </c>
      <c r="F442" s="28">
        <v>6.0</v>
      </c>
      <c r="G442" s="26" t="s">
        <v>943</v>
      </c>
      <c r="H442" s="29" t="s">
        <v>598</v>
      </c>
      <c r="I442" s="29"/>
      <c r="J442" s="29"/>
      <c r="K442" s="29"/>
      <c r="L442" s="29" t="s">
        <v>19</v>
      </c>
      <c r="M442" s="29" t="s">
        <v>772</v>
      </c>
      <c r="N442" s="29" t="s">
        <v>941</v>
      </c>
    </row>
    <row r="443">
      <c r="A443" s="26"/>
      <c r="B443" s="17" t="s">
        <v>944</v>
      </c>
      <c r="C443" s="4" t="s">
        <v>15</v>
      </c>
      <c r="D443" s="27">
        <v>0.0015509259259259259</v>
      </c>
      <c r="E443" s="26" t="str">
        <f t="shared" si="1"/>
        <v>CloudVision Topology Tags</v>
      </c>
      <c r="F443" s="28">
        <v>6.0</v>
      </c>
      <c r="G443" s="26" t="s">
        <v>945</v>
      </c>
      <c r="H443" s="29" t="s">
        <v>598</v>
      </c>
      <c r="I443" s="29"/>
      <c r="J443" s="29"/>
      <c r="K443" s="29"/>
      <c r="L443" s="29" t="s">
        <v>19</v>
      </c>
      <c r="M443" s="29" t="s">
        <v>772</v>
      </c>
      <c r="N443" s="29" t="s">
        <v>941</v>
      </c>
    </row>
    <row r="444">
      <c r="A444" s="26"/>
      <c r="B444" s="17" t="s">
        <v>946</v>
      </c>
      <c r="C444" s="4" t="s">
        <v>15</v>
      </c>
      <c r="D444" s="27">
        <v>0.0030555555555555557</v>
      </c>
      <c r="E444" s="26" t="str">
        <f t="shared" si="1"/>
        <v>CloudVision Topology Tags</v>
      </c>
      <c r="F444" s="28">
        <v>6.0</v>
      </c>
      <c r="G444" s="26" t="s">
        <v>947</v>
      </c>
      <c r="H444" s="29" t="s">
        <v>598</v>
      </c>
      <c r="I444" s="29"/>
      <c r="J444" s="29"/>
      <c r="K444" s="29"/>
      <c r="L444" s="29" t="s">
        <v>19</v>
      </c>
      <c r="M444" s="29" t="s">
        <v>772</v>
      </c>
      <c r="N444" s="29" t="s">
        <v>941</v>
      </c>
    </row>
    <row r="445">
      <c r="A445" s="26"/>
      <c r="B445" s="17" t="s">
        <v>948</v>
      </c>
      <c r="C445" s="4" t="s">
        <v>15</v>
      </c>
      <c r="D445" s="27">
        <v>0.006875</v>
      </c>
      <c r="E445" s="26" t="str">
        <f t="shared" si="1"/>
        <v>Querying Device State and Software Versions using NetSQL</v>
      </c>
      <c r="F445" s="28">
        <v>4.0</v>
      </c>
      <c r="G445" s="26" t="s">
        <v>949</v>
      </c>
      <c r="H445" s="29" t="s">
        <v>598</v>
      </c>
      <c r="I445" s="29"/>
      <c r="J445" s="29"/>
      <c r="K445" s="29"/>
      <c r="L445" s="29" t="s">
        <v>19</v>
      </c>
      <c r="M445" s="29" t="s">
        <v>772</v>
      </c>
      <c r="N445" s="29" t="s">
        <v>950</v>
      </c>
    </row>
    <row r="446">
      <c r="A446" s="26"/>
      <c r="B446" s="17" t="s">
        <v>951</v>
      </c>
      <c r="C446" s="4" t="s">
        <v>15</v>
      </c>
      <c r="D446" s="27">
        <v>0.002361111111111111</v>
      </c>
      <c r="E446" s="26" t="str">
        <f t="shared" si="1"/>
        <v>Querying Device State and Software Versions using NetSQL</v>
      </c>
      <c r="F446" s="28">
        <v>5.0</v>
      </c>
      <c r="G446" s="26" t="s">
        <v>952</v>
      </c>
      <c r="H446" s="29" t="s">
        <v>598</v>
      </c>
      <c r="I446" s="29"/>
      <c r="J446" s="29"/>
      <c r="K446" s="29"/>
      <c r="L446" s="29" t="s">
        <v>19</v>
      </c>
      <c r="M446" s="29" t="s">
        <v>772</v>
      </c>
      <c r="N446" s="29" t="s">
        <v>950</v>
      </c>
    </row>
    <row r="447">
      <c r="A447" s="26"/>
      <c r="B447" s="17" t="s">
        <v>953</v>
      </c>
      <c r="C447" s="4" t="s">
        <v>15</v>
      </c>
      <c r="D447" s="27">
        <v>0.006805555555555555</v>
      </c>
      <c r="E447" s="26" t="str">
        <f t="shared" si="1"/>
        <v>Querying Device State and Software Versions using NetSQL</v>
      </c>
      <c r="F447" s="28">
        <v>4.0</v>
      </c>
      <c r="G447" s="26" t="s">
        <v>954</v>
      </c>
      <c r="H447" s="29" t="s">
        <v>598</v>
      </c>
      <c r="I447" s="29"/>
      <c r="J447" s="29"/>
      <c r="K447" s="29"/>
      <c r="L447" s="29" t="s">
        <v>19</v>
      </c>
      <c r="M447" s="29" t="s">
        <v>772</v>
      </c>
      <c r="N447" s="29" t="s">
        <v>950</v>
      </c>
    </row>
    <row r="448">
      <c r="A448" s="26"/>
      <c r="B448" s="17" t="s">
        <v>955</v>
      </c>
      <c r="C448" s="4" t="s">
        <v>15</v>
      </c>
      <c r="D448" s="27">
        <v>0.0036226851851851854</v>
      </c>
      <c r="E448" s="26" t="str">
        <f t="shared" si="1"/>
        <v>Querying Device State and Software Versions using NetSQL</v>
      </c>
      <c r="F448" s="28">
        <v>3.0</v>
      </c>
      <c r="G448" s="26" t="s">
        <v>956</v>
      </c>
      <c r="H448" s="29" t="s">
        <v>598</v>
      </c>
      <c r="I448" s="29"/>
      <c r="J448" s="29"/>
      <c r="K448" s="29"/>
      <c r="L448" s="29" t="s">
        <v>19</v>
      </c>
      <c r="M448" s="29" t="s">
        <v>772</v>
      </c>
      <c r="N448" s="29" t="s">
        <v>950</v>
      </c>
    </row>
    <row r="449">
      <c r="A449" s="26"/>
      <c r="B449" s="17" t="s">
        <v>957</v>
      </c>
      <c r="C449" s="4" t="s">
        <v>15</v>
      </c>
      <c r="D449" s="27">
        <v>0.006898148148148148</v>
      </c>
      <c r="E449" s="26" t="str">
        <f t="shared" si="1"/>
        <v>Building and Applying Configurations with Ansible and CVP</v>
      </c>
      <c r="F449" s="28">
        <v>4.0</v>
      </c>
      <c r="G449" s="26" t="s">
        <v>958</v>
      </c>
      <c r="H449" s="29" t="s">
        <v>598</v>
      </c>
      <c r="I449" s="29"/>
      <c r="J449" s="29"/>
      <c r="K449" s="29"/>
      <c r="L449" s="29" t="s">
        <v>19</v>
      </c>
      <c r="M449" s="29" t="s">
        <v>772</v>
      </c>
      <c r="N449" s="29" t="s">
        <v>959</v>
      </c>
    </row>
    <row r="450">
      <c r="A450" s="26"/>
      <c r="B450" s="17" t="s">
        <v>960</v>
      </c>
      <c r="C450" s="4" t="s">
        <v>15</v>
      </c>
      <c r="D450" s="27">
        <v>0.005810185185185186</v>
      </c>
      <c r="E450" s="26" t="str">
        <f t="shared" si="1"/>
        <v>Building and Applying Configurations with Ansible and CVP</v>
      </c>
      <c r="F450" s="28">
        <v>3.0</v>
      </c>
      <c r="G450" s="26" t="s">
        <v>961</v>
      </c>
      <c r="H450" s="29" t="s">
        <v>598</v>
      </c>
      <c r="I450" s="29"/>
      <c r="J450" s="29"/>
      <c r="K450" s="29"/>
      <c r="L450" s="29" t="s">
        <v>19</v>
      </c>
      <c r="M450" s="29" t="s">
        <v>772</v>
      </c>
      <c r="N450" s="29" t="s">
        <v>959</v>
      </c>
    </row>
    <row r="451">
      <c r="A451" s="26"/>
      <c r="B451" s="17" t="s">
        <v>962</v>
      </c>
      <c r="C451" s="4" t="s">
        <v>15</v>
      </c>
      <c r="D451" s="27">
        <v>0.016493055555555556</v>
      </c>
      <c r="E451" s="26" t="str">
        <f t="shared" si="1"/>
        <v>Building and Applying Configurations with Ansible and CVP</v>
      </c>
      <c r="F451" s="28">
        <v>3.0</v>
      </c>
      <c r="G451" s="26" t="s">
        <v>963</v>
      </c>
      <c r="H451" s="29" t="s">
        <v>598</v>
      </c>
      <c r="I451" s="29"/>
      <c r="J451" s="29"/>
      <c r="K451" s="29"/>
      <c r="L451" s="29" t="s">
        <v>19</v>
      </c>
      <c r="M451" s="29" t="s">
        <v>772</v>
      </c>
      <c r="N451" s="29" t="s">
        <v>959</v>
      </c>
    </row>
    <row r="452">
      <c r="A452" s="26"/>
      <c r="B452" s="17" t="s">
        <v>964</v>
      </c>
      <c r="C452" s="4" t="s">
        <v>15</v>
      </c>
      <c r="D452" s="27">
        <v>0.008958333333333334</v>
      </c>
      <c r="E452" s="26" t="str">
        <f t="shared" si="1"/>
        <v>Building and Applying Configurations with Ansible and CVP</v>
      </c>
      <c r="F452" s="28">
        <v>3.0</v>
      </c>
      <c r="G452" s="26" t="s">
        <v>965</v>
      </c>
      <c r="H452" s="29" t="s">
        <v>598</v>
      </c>
      <c r="I452" s="29"/>
      <c r="J452" s="29"/>
      <c r="K452" s="29"/>
      <c r="L452" s="29" t="s">
        <v>19</v>
      </c>
      <c r="M452" s="29" t="s">
        <v>772</v>
      </c>
      <c r="N452" s="29" t="s">
        <v>959</v>
      </c>
    </row>
    <row r="453">
      <c r="A453" s="26"/>
      <c r="B453" s="17" t="s">
        <v>966</v>
      </c>
      <c r="C453" s="4" t="s">
        <v>100</v>
      </c>
      <c r="D453" s="27">
        <v>0.013888888888888888</v>
      </c>
      <c r="E453" s="26" t="str">
        <f t="shared" si="1"/>
        <v>Building and Applying Configurations with Ansible and CVP</v>
      </c>
      <c r="F453" s="28">
        <v>4.0</v>
      </c>
      <c r="G453" s="26"/>
      <c r="H453" s="29" t="s">
        <v>598</v>
      </c>
      <c r="I453" s="29"/>
      <c r="J453" s="29"/>
      <c r="K453" s="29"/>
      <c r="L453" s="29" t="s">
        <v>19</v>
      </c>
      <c r="M453" s="29" t="s">
        <v>772</v>
      </c>
      <c r="N453" s="29" t="s">
        <v>959</v>
      </c>
    </row>
    <row r="454">
      <c r="A454" s="26"/>
      <c r="B454" s="17" t="s">
        <v>967</v>
      </c>
      <c r="C454" s="4" t="s">
        <v>15</v>
      </c>
      <c r="D454" s="27">
        <v>0.005706018518518518</v>
      </c>
      <c r="E454" s="26" t="str">
        <f t="shared" si="1"/>
        <v>Lab - Automating Configuration With Ansible Jinja2</v>
      </c>
      <c r="F454" s="28">
        <v>3.0</v>
      </c>
      <c r="G454" s="26" t="s">
        <v>968</v>
      </c>
      <c r="H454" s="29" t="s">
        <v>598</v>
      </c>
      <c r="I454" s="29"/>
      <c r="J454" s="29"/>
      <c r="K454" s="29"/>
      <c r="L454" s="29" t="s">
        <v>19</v>
      </c>
      <c r="M454" s="29"/>
      <c r="N454" s="29" t="s">
        <v>969</v>
      </c>
    </row>
    <row r="455">
      <c r="A455" s="26"/>
      <c r="B455" s="17" t="s">
        <v>970</v>
      </c>
      <c r="C455" s="4" t="s">
        <v>15</v>
      </c>
      <c r="D455" s="27">
        <v>0.005590277777777777</v>
      </c>
      <c r="E455" s="26" t="str">
        <f t="shared" si="1"/>
        <v>Lab - Automating Configuration With Ansible Jinja2</v>
      </c>
      <c r="F455" s="28">
        <v>4.0</v>
      </c>
      <c r="G455" s="26" t="s">
        <v>971</v>
      </c>
      <c r="H455" s="29" t="s">
        <v>598</v>
      </c>
      <c r="I455" s="29"/>
      <c r="J455" s="29"/>
      <c r="K455" s="29"/>
      <c r="L455" s="29" t="s">
        <v>19</v>
      </c>
      <c r="M455" s="29"/>
      <c r="N455" s="29" t="s">
        <v>969</v>
      </c>
    </row>
    <row r="456">
      <c r="A456" s="26"/>
      <c r="B456" s="17" t="s">
        <v>972</v>
      </c>
      <c r="C456" s="4" t="s">
        <v>15</v>
      </c>
      <c r="D456" s="27">
        <v>0.004293981481481481</v>
      </c>
      <c r="E456" s="26" t="str">
        <f t="shared" si="1"/>
        <v>Lab - Automating Configuration With Ansible Jinja2</v>
      </c>
      <c r="F456" s="28">
        <v>4.0</v>
      </c>
      <c r="G456" s="26" t="s">
        <v>973</v>
      </c>
      <c r="H456" s="29" t="s">
        <v>598</v>
      </c>
      <c r="I456" s="29"/>
      <c r="J456" s="29"/>
      <c r="K456" s="29"/>
      <c r="L456" s="29" t="s">
        <v>19</v>
      </c>
      <c r="M456" s="29"/>
      <c r="N456" s="29" t="s">
        <v>969</v>
      </c>
    </row>
    <row r="457">
      <c r="A457" s="26"/>
      <c r="B457" s="17" t="s">
        <v>974</v>
      </c>
      <c r="C457" s="4" t="s">
        <v>15</v>
      </c>
      <c r="D457" s="27">
        <v>0.0050578703703703706</v>
      </c>
      <c r="E457" s="26" t="str">
        <f t="shared" si="1"/>
        <v>Lab - Automating Configuration With Ansible Jinja2</v>
      </c>
      <c r="F457" s="28">
        <v>4.0</v>
      </c>
      <c r="G457" s="26" t="s">
        <v>975</v>
      </c>
      <c r="H457" s="29" t="s">
        <v>598</v>
      </c>
      <c r="I457" s="29"/>
      <c r="J457" s="29"/>
      <c r="K457" s="29"/>
      <c r="L457" s="29" t="s">
        <v>19</v>
      </c>
      <c r="M457" s="29"/>
      <c r="N457" s="29" t="s">
        <v>969</v>
      </c>
    </row>
    <row r="458">
      <c r="A458" s="26"/>
      <c r="B458" s="17" t="s">
        <v>976</v>
      </c>
      <c r="C458" s="4" t="s">
        <v>15</v>
      </c>
      <c r="D458" s="27">
        <v>0.00125</v>
      </c>
      <c r="E458" s="26" t="str">
        <f t="shared" si="1"/>
        <v>Lab - Automating Configuration With Ansible Jinja2</v>
      </c>
      <c r="F458" s="28">
        <v>4.0</v>
      </c>
      <c r="G458" s="26"/>
      <c r="H458" s="29" t="s">
        <v>598</v>
      </c>
      <c r="I458" s="29"/>
      <c r="J458" s="29"/>
      <c r="K458" s="29"/>
      <c r="L458" s="29" t="s">
        <v>19</v>
      </c>
      <c r="M458" s="29"/>
      <c r="N458" s="29" t="s">
        <v>969</v>
      </c>
    </row>
    <row r="459">
      <c r="A459" s="26"/>
      <c r="B459" s="17" t="s">
        <v>977</v>
      </c>
      <c r="C459" s="4" t="s">
        <v>15</v>
      </c>
      <c r="D459" s="27">
        <v>0.005069444444444444</v>
      </c>
      <c r="E459" s="26" t="str">
        <f t="shared" si="1"/>
        <v>REST APIs Summary</v>
      </c>
      <c r="F459" s="28">
        <v>4.0</v>
      </c>
      <c r="G459" s="26" t="s">
        <v>978</v>
      </c>
      <c r="H459" s="29" t="s">
        <v>598</v>
      </c>
      <c r="I459" s="29"/>
      <c r="J459" s="29"/>
      <c r="K459" s="29"/>
      <c r="L459" s="29" t="s">
        <v>19</v>
      </c>
      <c r="M459" s="29"/>
      <c r="N459" s="29" t="s">
        <v>979</v>
      </c>
    </row>
    <row r="460">
      <c r="A460" s="26"/>
      <c r="B460" s="17" t="s">
        <v>980</v>
      </c>
      <c r="C460" s="4" t="s">
        <v>15</v>
      </c>
      <c r="D460" s="27">
        <v>0.0030555555555555557</v>
      </c>
      <c r="E460" s="26" t="str">
        <f t="shared" si="1"/>
        <v>REST APIs Summary</v>
      </c>
      <c r="F460" s="28">
        <v>4.0</v>
      </c>
      <c r="G460" s="26" t="s">
        <v>981</v>
      </c>
      <c r="H460" s="29" t="s">
        <v>598</v>
      </c>
      <c r="I460" s="29"/>
      <c r="J460" s="29"/>
      <c r="K460" s="29"/>
      <c r="L460" s="29" t="s">
        <v>19</v>
      </c>
      <c r="M460" s="29"/>
      <c r="N460" s="29" t="s">
        <v>979</v>
      </c>
    </row>
    <row r="461">
      <c r="A461" s="26"/>
      <c r="B461" s="17" t="s">
        <v>982</v>
      </c>
      <c r="C461" s="4" t="s">
        <v>15</v>
      </c>
      <c r="D461" s="27">
        <v>0.00375</v>
      </c>
      <c r="E461" s="26" t="str">
        <f t="shared" si="1"/>
        <v>REST APIs Summary</v>
      </c>
      <c r="F461" s="28">
        <v>5.0</v>
      </c>
      <c r="G461" s="26" t="s">
        <v>983</v>
      </c>
      <c r="H461" s="29" t="s">
        <v>598</v>
      </c>
      <c r="I461" s="29"/>
      <c r="J461" s="29"/>
      <c r="K461" s="29"/>
      <c r="L461" s="29" t="s">
        <v>19</v>
      </c>
      <c r="M461" s="29"/>
      <c r="N461" s="29" t="s">
        <v>979</v>
      </c>
    </row>
    <row r="462">
      <c r="A462" s="26"/>
      <c r="B462" s="17" t="s">
        <v>984</v>
      </c>
      <c r="C462" s="4" t="s">
        <v>15</v>
      </c>
      <c r="D462" s="27">
        <v>0.003958333333333334</v>
      </c>
      <c r="E462" s="26" t="str">
        <f t="shared" si="1"/>
        <v>REST APIs Summary</v>
      </c>
      <c r="F462" s="28">
        <v>4.0</v>
      </c>
      <c r="G462" s="26" t="s">
        <v>985</v>
      </c>
      <c r="H462" s="29" t="s">
        <v>598</v>
      </c>
      <c r="I462" s="29"/>
      <c r="J462" s="29"/>
      <c r="K462" s="29"/>
      <c r="L462" s="29" t="s">
        <v>19</v>
      </c>
      <c r="M462" s="29"/>
      <c r="N462" s="29" t="s">
        <v>979</v>
      </c>
    </row>
    <row r="463">
      <c r="A463" s="26"/>
      <c r="B463" s="17" t="s">
        <v>986</v>
      </c>
      <c r="C463" s="4" t="s">
        <v>15</v>
      </c>
      <c r="D463" s="27">
        <v>0.0011111111111111111</v>
      </c>
      <c r="E463" s="26" t="str">
        <f t="shared" si="1"/>
        <v>REST APIs Summary</v>
      </c>
      <c r="F463" s="28">
        <v>4.0</v>
      </c>
      <c r="G463" s="26" t="s">
        <v>987</v>
      </c>
      <c r="H463" s="29" t="s">
        <v>598</v>
      </c>
      <c r="I463" s="29"/>
      <c r="J463" s="29"/>
      <c r="K463" s="29"/>
      <c r="L463" s="29" t="s">
        <v>19</v>
      </c>
      <c r="M463" s="29"/>
      <c r="N463" s="29" t="s">
        <v>979</v>
      </c>
    </row>
    <row r="464">
      <c r="A464" s="26"/>
      <c r="B464" s="17" t="s">
        <v>988</v>
      </c>
      <c r="C464" s="4" t="s">
        <v>15</v>
      </c>
      <c r="D464" s="27">
        <v>0.0030787037037037037</v>
      </c>
      <c r="E464" s="26" t="str">
        <f t="shared" si="1"/>
        <v>Requests and Responses Summary</v>
      </c>
      <c r="F464" s="28">
        <v>5.0</v>
      </c>
      <c r="G464" s="26" t="s">
        <v>989</v>
      </c>
      <c r="H464" s="29" t="s">
        <v>598</v>
      </c>
      <c r="I464" s="29"/>
      <c r="J464" s="29"/>
      <c r="K464" s="29"/>
      <c r="L464" s="29" t="s">
        <v>19</v>
      </c>
      <c r="M464" s="29"/>
      <c r="N464" s="29" t="s">
        <v>990</v>
      </c>
    </row>
    <row r="465">
      <c r="A465" s="26"/>
      <c r="B465" s="17" t="s">
        <v>991</v>
      </c>
      <c r="C465" s="4" t="s">
        <v>15</v>
      </c>
      <c r="D465" s="27">
        <v>0.006261574074074074</v>
      </c>
      <c r="E465" s="26" t="str">
        <f t="shared" si="1"/>
        <v>Requests and Responses Summary</v>
      </c>
      <c r="F465" s="28">
        <v>6.0</v>
      </c>
      <c r="G465" s="26" t="s">
        <v>992</v>
      </c>
      <c r="H465" s="29" t="s">
        <v>598</v>
      </c>
      <c r="I465" s="29"/>
      <c r="J465" s="29"/>
      <c r="K465" s="29"/>
      <c r="L465" s="29" t="s">
        <v>19</v>
      </c>
      <c r="M465" s="29"/>
      <c r="N465" s="29" t="s">
        <v>990</v>
      </c>
    </row>
    <row r="466">
      <c r="A466" s="26"/>
      <c r="B466" s="17" t="s">
        <v>993</v>
      </c>
      <c r="C466" s="4" t="s">
        <v>15</v>
      </c>
      <c r="D466" s="27">
        <v>0.003912037037037037</v>
      </c>
      <c r="E466" s="26" t="str">
        <f t="shared" si="1"/>
        <v>Requests and Responses Summary</v>
      </c>
      <c r="F466" s="28">
        <v>6.0</v>
      </c>
      <c r="G466" s="26" t="s">
        <v>994</v>
      </c>
      <c r="H466" s="29" t="s">
        <v>598</v>
      </c>
      <c r="I466" s="29"/>
      <c r="J466" s="29"/>
      <c r="K466" s="29"/>
      <c r="L466" s="29" t="s">
        <v>19</v>
      </c>
      <c r="M466" s="29"/>
      <c r="N466" s="29" t="s">
        <v>990</v>
      </c>
    </row>
    <row r="467">
      <c r="A467" s="26"/>
      <c r="B467" s="17" t="s">
        <v>995</v>
      </c>
      <c r="C467" s="4" t="s">
        <v>15</v>
      </c>
      <c r="D467" s="27">
        <v>0.00494212962962963</v>
      </c>
      <c r="E467" s="26" t="str">
        <f t="shared" si="1"/>
        <v>Requests and Responses Summary</v>
      </c>
      <c r="F467" s="28">
        <v>5.0</v>
      </c>
      <c r="G467" s="26" t="s">
        <v>996</v>
      </c>
      <c r="H467" s="29" t="s">
        <v>598</v>
      </c>
      <c r="I467" s="29"/>
      <c r="J467" s="29"/>
      <c r="K467" s="29"/>
      <c r="L467" s="29" t="s">
        <v>19</v>
      </c>
      <c r="M467" s="29"/>
      <c r="N467" s="29" t="s">
        <v>990</v>
      </c>
    </row>
    <row r="468">
      <c r="A468" s="26"/>
      <c r="B468" s="17" t="s">
        <v>997</v>
      </c>
      <c r="C468" s="4" t="s">
        <v>15</v>
      </c>
      <c r="D468" s="27">
        <v>0.0021296296296296298</v>
      </c>
      <c r="E468" s="26" t="str">
        <f t="shared" si="1"/>
        <v>Requests and Responses Summary</v>
      </c>
      <c r="F468" s="28">
        <v>6.0</v>
      </c>
      <c r="G468" s="26" t="s">
        <v>998</v>
      </c>
      <c r="H468" s="29" t="s">
        <v>598</v>
      </c>
      <c r="I468" s="29"/>
      <c r="J468" s="29"/>
      <c r="K468" s="29"/>
      <c r="L468" s="29" t="s">
        <v>19</v>
      </c>
      <c r="M468" s="29"/>
      <c r="N468" s="29" t="s">
        <v>990</v>
      </c>
    </row>
    <row r="469">
      <c r="A469" s="26"/>
      <c r="B469" s="17" t="s">
        <v>999</v>
      </c>
      <c r="C469" s="4" t="s">
        <v>15</v>
      </c>
      <c r="D469" s="27">
        <v>0.0021296296296296298</v>
      </c>
      <c r="E469" s="26" t="str">
        <f t="shared" si="1"/>
        <v>Parameters and Payloads Summary</v>
      </c>
      <c r="F469" s="28">
        <v>7.0</v>
      </c>
      <c r="G469" s="26" t="s">
        <v>1000</v>
      </c>
      <c r="H469" s="29" t="s">
        <v>598</v>
      </c>
      <c r="I469" s="29"/>
      <c r="J469" s="29"/>
      <c r="K469" s="29"/>
      <c r="L469" s="29" t="s">
        <v>19</v>
      </c>
      <c r="M469" s="29"/>
      <c r="N469" s="29" t="s">
        <v>1001</v>
      </c>
    </row>
    <row r="470">
      <c r="A470" s="26"/>
      <c r="B470" s="17" t="s">
        <v>1002</v>
      </c>
      <c r="C470" s="4" t="s">
        <v>15</v>
      </c>
      <c r="D470" s="27">
        <v>0.0040625</v>
      </c>
      <c r="E470" s="26" t="str">
        <f t="shared" si="1"/>
        <v>Parameters and Payloads Summary</v>
      </c>
      <c r="F470" s="28">
        <v>6.0</v>
      </c>
      <c r="G470" s="26" t="s">
        <v>1003</v>
      </c>
      <c r="H470" s="29" t="s">
        <v>598</v>
      </c>
      <c r="I470" s="29"/>
      <c r="J470" s="29"/>
      <c r="K470" s="29"/>
      <c r="L470" s="29" t="s">
        <v>19</v>
      </c>
      <c r="M470" s="29"/>
      <c r="N470" s="29" t="s">
        <v>1001</v>
      </c>
    </row>
    <row r="471">
      <c r="A471" s="26"/>
      <c r="B471" s="17" t="s">
        <v>1004</v>
      </c>
      <c r="C471" s="4" t="s">
        <v>15</v>
      </c>
      <c r="D471" s="27">
        <v>0.005671296296296297</v>
      </c>
      <c r="E471" s="26" t="str">
        <f t="shared" si="1"/>
        <v>Parameters and Payloads Summary</v>
      </c>
      <c r="F471" s="28">
        <v>6.0</v>
      </c>
      <c r="G471" s="26" t="s">
        <v>1005</v>
      </c>
      <c r="H471" s="29" t="s">
        <v>598</v>
      </c>
      <c r="I471" s="29"/>
      <c r="J471" s="29"/>
      <c r="K471" s="29"/>
      <c r="L471" s="29" t="s">
        <v>19</v>
      </c>
      <c r="M471" s="29"/>
      <c r="N471" s="29" t="s">
        <v>1001</v>
      </c>
    </row>
    <row r="472">
      <c r="A472" s="26"/>
      <c r="B472" s="17" t="s">
        <v>1006</v>
      </c>
      <c r="C472" s="4" t="s">
        <v>15</v>
      </c>
      <c r="D472" s="27">
        <v>0.0039004629629629628</v>
      </c>
      <c r="E472" s="26" t="str">
        <f t="shared" si="1"/>
        <v>Parameters and Payloads Summary</v>
      </c>
      <c r="F472" s="28">
        <v>6.0</v>
      </c>
      <c r="G472" s="26" t="s">
        <v>1007</v>
      </c>
      <c r="H472" s="29" t="s">
        <v>598</v>
      </c>
      <c r="I472" s="29"/>
      <c r="J472" s="29"/>
      <c r="K472" s="29"/>
      <c r="L472" s="29" t="s">
        <v>19</v>
      </c>
      <c r="M472" s="29"/>
      <c r="N472" s="29" t="s">
        <v>1001</v>
      </c>
    </row>
    <row r="473">
      <c r="A473" s="26"/>
      <c r="B473" s="17" t="s">
        <v>1008</v>
      </c>
      <c r="C473" s="4" t="s">
        <v>15</v>
      </c>
      <c r="D473" s="27">
        <v>0.005520833333333333</v>
      </c>
      <c r="E473" s="26" t="str">
        <f t="shared" si="1"/>
        <v>Parameters and Payloads Summary</v>
      </c>
      <c r="F473" s="28">
        <v>5.0</v>
      </c>
      <c r="G473" s="26" t="s">
        <v>1009</v>
      </c>
      <c r="H473" s="29" t="s">
        <v>598</v>
      </c>
      <c r="I473" s="29"/>
      <c r="J473" s="29"/>
      <c r="K473" s="29"/>
      <c r="L473" s="29" t="s">
        <v>19</v>
      </c>
      <c r="M473" s="29"/>
      <c r="N473" s="29" t="s">
        <v>1001</v>
      </c>
    </row>
    <row r="474">
      <c r="A474" s="26"/>
      <c r="B474" s="17" t="s">
        <v>1010</v>
      </c>
      <c r="C474" s="4" t="s">
        <v>15</v>
      </c>
      <c r="D474" s="27">
        <v>0.007858796296296296</v>
      </c>
      <c r="E474" s="26" t="str">
        <f t="shared" si="1"/>
        <v>Token Authentication</v>
      </c>
      <c r="F474" s="28">
        <v>5.0</v>
      </c>
      <c r="G474" s="26" t="s">
        <v>1011</v>
      </c>
      <c r="H474" s="29"/>
      <c r="I474" s="29"/>
      <c r="J474" s="29"/>
      <c r="K474" s="29"/>
      <c r="L474" s="29" t="s">
        <v>19</v>
      </c>
      <c r="M474" s="29"/>
      <c r="N474" s="29" t="s">
        <v>1012</v>
      </c>
    </row>
    <row r="475">
      <c r="A475" s="26"/>
      <c r="B475" s="17" t="s">
        <v>1013</v>
      </c>
      <c r="C475" s="4" t="s">
        <v>15</v>
      </c>
      <c r="D475" s="27">
        <v>0.00525462962962963</v>
      </c>
      <c r="E475" s="26" t="str">
        <f t="shared" si="1"/>
        <v>Token Authentication</v>
      </c>
      <c r="F475" s="28">
        <v>7.0</v>
      </c>
      <c r="G475" s="26" t="s">
        <v>1014</v>
      </c>
      <c r="H475" s="29"/>
      <c r="I475" s="29"/>
      <c r="J475" s="29"/>
      <c r="K475" s="29"/>
      <c r="L475" s="29" t="s">
        <v>19</v>
      </c>
      <c r="M475" s="29"/>
      <c r="N475" s="29" t="s">
        <v>1012</v>
      </c>
    </row>
    <row r="476">
      <c r="A476" s="26"/>
      <c r="B476" s="17" t="s">
        <v>1015</v>
      </c>
      <c r="C476" s="4" t="s">
        <v>15</v>
      </c>
      <c r="D476" s="27">
        <v>0.00712962962962963</v>
      </c>
      <c r="E476" s="26" t="str">
        <f t="shared" si="1"/>
        <v>Token Authentication</v>
      </c>
      <c r="F476" s="28">
        <v>7.0</v>
      </c>
      <c r="G476" s="26" t="s">
        <v>1016</v>
      </c>
      <c r="H476" s="29"/>
      <c r="I476" s="29"/>
      <c r="J476" s="29"/>
      <c r="K476" s="29"/>
      <c r="L476" s="29" t="s">
        <v>19</v>
      </c>
      <c r="M476" s="29"/>
      <c r="N476" s="29" t="s">
        <v>1012</v>
      </c>
    </row>
    <row r="477">
      <c r="A477" s="26"/>
      <c r="B477" s="17" t="s">
        <v>1017</v>
      </c>
      <c r="C477" s="4" t="s">
        <v>15</v>
      </c>
      <c r="D477" s="27">
        <v>0.00318287037037037</v>
      </c>
      <c r="E477" s="26" t="str">
        <f t="shared" si="1"/>
        <v>AVD Demo</v>
      </c>
      <c r="F477" s="28">
        <v>7.0</v>
      </c>
      <c r="G477" s="26" t="s">
        <v>1018</v>
      </c>
      <c r="H477" s="29"/>
      <c r="I477" s="29"/>
      <c r="J477" s="29"/>
      <c r="K477" s="29"/>
      <c r="L477" s="29" t="s">
        <v>19</v>
      </c>
      <c r="M477" s="29"/>
      <c r="N477" s="29" t="s">
        <v>1019</v>
      </c>
    </row>
    <row r="478">
      <c r="A478" s="26"/>
      <c r="B478" s="17" t="s">
        <v>1020</v>
      </c>
      <c r="C478" s="4" t="s">
        <v>15</v>
      </c>
      <c r="D478" s="27">
        <v>0.004016203703703704</v>
      </c>
      <c r="E478" s="26" t="str">
        <f t="shared" si="1"/>
        <v>AVD Demo</v>
      </c>
      <c r="F478" s="28">
        <v>7.0</v>
      </c>
      <c r="G478" s="26" t="s">
        <v>1021</v>
      </c>
      <c r="H478" s="29"/>
      <c r="I478" s="29"/>
      <c r="J478" s="29"/>
      <c r="K478" s="29"/>
      <c r="L478" s="29" t="s">
        <v>19</v>
      </c>
      <c r="M478" s="29"/>
      <c r="N478" s="29" t="s">
        <v>1019</v>
      </c>
    </row>
    <row r="479">
      <c r="A479" s="26"/>
      <c r="B479" s="17" t="s">
        <v>1022</v>
      </c>
      <c r="C479" s="4" t="s">
        <v>15</v>
      </c>
      <c r="D479" s="27">
        <v>0.007488425925925926</v>
      </c>
      <c r="E479" s="26" t="str">
        <f t="shared" si="1"/>
        <v>Defining the Fabric and Services in AVD Inventory</v>
      </c>
      <c r="F479" s="28">
        <v>6.0</v>
      </c>
      <c r="G479" s="26" t="s">
        <v>1023</v>
      </c>
      <c r="H479" s="29"/>
      <c r="I479" s="29"/>
      <c r="J479" s="29"/>
      <c r="K479" s="29"/>
      <c r="L479" s="29" t="s">
        <v>19</v>
      </c>
      <c r="M479" s="29"/>
      <c r="N479" s="29" t="s">
        <v>1024</v>
      </c>
    </row>
    <row r="480">
      <c r="A480" s="26"/>
      <c r="B480" s="17" t="s">
        <v>1025</v>
      </c>
      <c r="C480" s="4" t="s">
        <v>15</v>
      </c>
      <c r="D480" s="27">
        <v>0.0028125</v>
      </c>
      <c r="E480" s="26" t="str">
        <f t="shared" si="1"/>
        <v>Defining the Fabric and Services in AVD Inventory</v>
      </c>
      <c r="F480" s="28">
        <v>8.0</v>
      </c>
      <c r="G480" s="26" t="s">
        <v>1026</v>
      </c>
      <c r="H480" s="29"/>
      <c r="I480" s="29"/>
      <c r="J480" s="29"/>
      <c r="K480" s="29"/>
      <c r="L480" s="29" t="s">
        <v>19</v>
      </c>
      <c r="M480" s="29"/>
      <c r="N480" s="29" t="s">
        <v>1024</v>
      </c>
    </row>
    <row r="481">
      <c r="A481" s="26"/>
      <c r="B481" s="17" t="s">
        <v>1027</v>
      </c>
      <c r="C481" s="4" t="s">
        <v>15</v>
      </c>
      <c r="D481" s="27">
        <v>0.001388888888888889</v>
      </c>
      <c r="E481" s="26" t="str">
        <f t="shared" si="1"/>
        <v>Defining the Fabric and Services in AVD Inventory</v>
      </c>
      <c r="F481" s="28">
        <v>7.0</v>
      </c>
      <c r="G481" s="26" t="s">
        <v>1028</v>
      </c>
      <c r="H481" s="29"/>
      <c r="I481" s="29"/>
      <c r="J481" s="29"/>
      <c r="K481" s="29"/>
      <c r="L481" s="29" t="s">
        <v>19</v>
      </c>
      <c r="M481" s="29"/>
      <c r="N481" s="29" t="s">
        <v>1024</v>
      </c>
    </row>
    <row r="482">
      <c r="A482" s="26"/>
      <c r="B482" s="17" t="s">
        <v>1029</v>
      </c>
      <c r="C482" s="4" t="s">
        <v>15</v>
      </c>
      <c r="D482" s="27">
        <v>0.012372685185185184</v>
      </c>
      <c r="E482" s="26" t="str">
        <f t="shared" si="1"/>
        <v>Defining the Fabric and Services in AVD Inventory</v>
      </c>
      <c r="F482" s="28">
        <v>8.0</v>
      </c>
      <c r="G482" s="26" t="s">
        <v>1030</v>
      </c>
      <c r="H482" s="29"/>
      <c r="I482" s="29"/>
      <c r="J482" s="29"/>
      <c r="K482" s="29"/>
      <c r="L482" s="29" t="s">
        <v>19</v>
      </c>
      <c r="M482" s="29"/>
      <c r="N482" s="29" t="s">
        <v>1024</v>
      </c>
    </row>
    <row r="483">
      <c r="A483" s="26"/>
      <c r="B483" s="17" t="s">
        <v>1031</v>
      </c>
      <c r="C483" s="4" t="s">
        <v>15</v>
      </c>
      <c r="D483" s="27">
        <v>0.006655092592592593</v>
      </c>
      <c r="E483" s="26" t="str">
        <f t="shared" si="1"/>
        <v>Defining the Fabric and Services in AVD Inventory</v>
      </c>
      <c r="F483" s="28">
        <v>7.0</v>
      </c>
      <c r="G483" s="26" t="s">
        <v>1032</v>
      </c>
      <c r="H483" s="29"/>
      <c r="I483" s="29"/>
      <c r="J483" s="29"/>
      <c r="K483" s="29"/>
      <c r="L483" s="29" t="s">
        <v>19</v>
      </c>
      <c r="M483" s="29"/>
      <c r="N483" s="29" t="s">
        <v>1024</v>
      </c>
    </row>
    <row r="484">
      <c r="A484" s="26"/>
      <c r="B484" s="17" t="s">
        <v>1033</v>
      </c>
      <c r="C484" s="4" t="s">
        <v>15</v>
      </c>
      <c r="D484" s="27">
        <v>0.005613425925925926</v>
      </c>
      <c r="E484" s="26" t="str">
        <f t="shared" si="1"/>
        <v>Understanding the AVD Lifecycle</v>
      </c>
      <c r="F484" s="28">
        <v>7.0</v>
      </c>
      <c r="G484" s="26" t="s">
        <v>1034</v>
      </c>
      <c r="H484" s="29"/>
      <c r="I484" s="29"/>
      <c r="J484" s="29"/>
      <c r="K484" s="29"/>
      <c r="L484" s="29" t="s">
        <v>19</v>
      </c>
      <c r="M484" s="29"/>
      <c r="N484" s="29" t="s">
        <v>1035</v>
      </c>
    </row>
    <row r="485">
      <c r="A485" s="26"/>
      <c r="B485" s="17" t="s">
        <v>1036</v>
      </c>
      <c r="C485" s="4" t="s">
        <v>15</v>
      </c>
      <c r="D485" s="27">
        <v>0.005150462962962963</v>
      </c>
      <c r="E485" s="26" t="str">
        <f t="shared" si="1"/>
        <v>Understanding the AVD Lifecycle</v>
      </c>
      <c r="F485" s="28">
        <v>8.0</v>
      </c>
      <c r="G485" s="26" t="s">
        <v>1037</v>
      </c>
      <c r="H485" s="29"/>
      <c r="I485" s="29"/>
      <c r="J485" s="29"/>
      <c r="K485" s="29"/>
      <c r="L485" s="29" t="s">
        <v>19</v>
      </c>
      <c r="M485" s="29"/>
      <c r="N485" s="29" t="s">
        <v>1035</v>
      </c>
    </row>
    <row r="486">
      <c r="A486" s="26"/>
      <c r="B486" s="17" t="s">
        <v>1038</v>
      </c>
      <c r="C486" s="4" t="s">
        <v>15</v>
      </c>
      <c r="D486" s="27">
        <v>0.001099537037037037</v>
      </c>
      <c r="E486" s="26" t="str">
        <f t="shared" si="1"/>
        <v>Understanding the AVD Lifecycle</v>
      </c>
      <c r="F486" s="28">
        <v>8.0</v>
      </c>
      <c r="G486" s="26" t="s">
        <v>1039</v>
      </c>
      <c r="H486" s="29"/>
      <c r="I486" s="29"/>
      <c r="J486" s="29"/>
      <c r="K486" s="29"/>
      <c r="L486" s="29" t="s">
        <v>19</v>
      </c>
      <c r="M486" s="29"/>
      <c r="N486" s="29" t="s">
        <v>1035</v>
      </c>
    </row>
    <row r="487">
      <c r="A487" s="26"/>
      <c r="B487" s="17" t="s">
        <v>1040</v>
      </c>
      <c r="C487" s="4" t="s">
        <v>15</v>
      </c>
      <c r="D487" s="27">
        <v>0.002002314814814815</v>
      </c>
      <c r="E487" s="26" t="str">
        <f t="shared" si="1"/>
        <v>Understanding the AVD Lifecycle</v>
      </c>
      <c r="F487" s="28">
        <v>6.0</v>
      </c>
      <c r="G487" s="26" t="s">
        <v>1041</v>
      </c>
      <c r="H487" s="29"/>
      <c r="I487" s="29"/>
      <c r="J487" s="29"/>
      <c r="K487" s="29"/>
      <c r="L487" s="29" t="s">
        <v>19</v>
      </c>
      <c r="M487" s="29"/>
      <c r="N487" s="29" t="s">
        <v>1035</v>
      </c>
    </row>
    <row r="488">
      <c r="A488" s="26"/>
      <c r="B488" s="17" t="s">
        <v>1042</v>
      </c>
      <c r="C488" s="4" t="s">
        <v>15</v>
      </c>
      <c r="D488" s="27">
        <v>0.0010416666666666667</v>
      </c>
      <c r="E488" s="26" t="str">
        <f t="shared" si="1"/>
        <v>Understanding the AVD Lifecycle</v>
      </c>
      <c r="F488" s="28">
        <v>5.0</v>
      </c>
      <c r="G488" s="26" t="s">
        <v>1043</v>
      </c>
      <c r="H488" s="29"/>
      <c r="I488" s="29"/>
      <c r="J488" s="29"/>
      <c r="K488" s="29"/>
      <c r="L488" s="29" t="s">
        <v>19</v>
      </c>
      <c r="M488" s="29"/>
      <c r="N488" s="29" t="s">
        <v>1035</v>
      </c>
    </row>
    <row r="489">
      <c r="A489" s="26"/>
      <c r="B489" s="17" t="s">
        <v>1044</v>
      </c>
      <c r="C489" s="4" t="s">
        <v>15</v>
      </c>
      <c r="D489" s="27">
        <v>0.009386574074074073</v>
      </c>
      <c r="E489" s="26" t="str">
        <f t="shared" si="1"/>
        <v>Running ANTA Tests for the L2LS Fabric</v>
      </c>
      <c r="F489" s="28">
        <f t="shared" ref="F489:F502" si="3">3</f>
        <v>3</v>
      </c>
      <c r="G489" s="26" t="s">
        <v>1045</v>
      </c>
      <c r="H489" s="29"/>
      <c r="I489" s="29"/>
      <c r="J489" s="29"/>
      <c r="K489" s="29"/>
      <c r="L489" s="29" t="s">
        <v>19</v>
      </c>
      <c r="M489" s="29"/>
      <c r="N489" s="29" t="s">
        <v>1046</v>
      </c>
    </row>
    <row r="490">
      <c r="A490" s="26"/>
      <c r="B490" s="17" t="s">
        <v>1047</v>
      </c>
      <c r="C490" s="4" t="s">
        <v>15</v>
      </c>
      <c r="D490" s="27">
        <v>0.00712962962962963</v>
      </c>
      <c r="E490" s="26" t="str">
        <f t="shared" si="1"/>
        <v>Running ANTA Tests for the L2LS Fabric</v>
      </c>
      <c r="F490" s="28">
        <f t="shared" si="3"/>
        <v>3</v>
      </c>
      <c r="G490" s="26" t="s">
        <v>1048</v>
      </c>
      <c r="H490" s="29"/>
      <c r="I490" s="29"/>
      <c r="J490" s="29"/>
      <c r="K490" s="29"/>
      <c r="L490" s="29" t="s">
        <v>19</v>
      </c>
      <c r="M490" s="29"/>
      <c r="N490" s="29" t="s">
        <v>1046</v>
      </c>
    </row>
    <row r="491">
      <c r="A491" s="26"/>
      <c r="B491" s="17" t="s">
        <v>1049</v>
      </c>
      <c r="C491" s="4" t="s">
        <v>15</v>
      </c>
      <c r="D491" s="27">
        <v>0.006527777777777778</v>
      </c>
      <c r="E491" s="26" t="str">
        <f t="shared" si="1"/>
        <v>Running ANTA Tests for the L2LS Fabric</v>
      </c>
      <c r="F491" s="28">
        <f t="shared" si="3"/>
        <v>3</v>
      </c>
      <c r="G491" s="26" t="s">
        <v>1050</v>
      </c>
      <c r="H491" s="29"/>
      <c r="I491" s="29"/>
      <c r="J491" s="29"/>
      <c r="K491" s="29"/>
      <c r="L491" s="29" t="s">
        <v>19</v>
      </c>
      <c r="M491" s="29"/>
      <c r="N491" s="29" t="s">
        <v>1046</v>
      </c>
    </row>
    <row r="492">
      <c r="A492" s="26"/>
      <c r="B492" s="17" t="s">
        <v>1051</v>
      </c>
      <c r="C492" s="4" t="s">
        <v>15</v>
      </c>
      <c r="D492" s="27">
        <v>0.0011805555555555556</v>
      </c>
      <c r="E492" s="26" t="str">
        <f t="shared" si="1"/>
        <v>Running ANTA Tests for the L2LS Fabric</v>
      </c>
      <c r="F492" s="28">
        <f t="shared" si="3"/>
        <v>3</v>
      </c>
      <c r="G492" s="26" t="s">
        <v>1052</v>
      </c>
      <c r="H492" s="29"/>
      <c r="I492" s="29"/>
      <c r="J492" s="29"/>
      <c r="K492" s="29"/>
      <c r="L492" s="29" t="s">
        <v>19</v>
      </c>
      <c r="M492" s="29"/>
      <c r="N492" s="29" t="s">
        <v>1046</v>
      </c>
    </row>
    <row r="493">
      <c r="A493" s="26"/>
      <c r="B493" s="17" t="s">
        <v>1053</v>
      </c>
      <c r="C493" s="4" t="s">
        <v>15</v>
      </c>
      <c r="D493" s="27">
        <v>0.0022569444444444442</v>
      </c>
      <c r="E493" s="26" t="str">
        <f t="shared" si="1"/>
        <v>Running ANTA Tests for the L2LS Fabric</v>
      </c>
      <c r="F493" s="28">
        <f t="shared" si="3"/>
        <v>3</v>
      </c>
      <c r="G493" s="26" t="s">
        <v>1054</v>
      </c>
      <c r="H493" s="29"/>
      <c r="I493" s="29"/>
      <c r="J493" s="29"/>
      <c r="K493" s="29"/>
      <c r="L493" s="29" t="s">
        <v>19</v>
      </c>
      <c r="M493" s="29"/>
      <c r="N493" s="29" t="s">
        <v>1046</v>
      </c>
    </row>
    <row r="494">
      <c r="A494" s="26"/>
      <c r="B494" s="17" t="s">
        <v>1055</v>
      </c>
      <c r="C494" s="4" t="s">
        <v>15</v>
      </c>
      <c r="D494" s="27">
        <v>0.0034027777777777776</v>
      </c>
      <c r="E494" s="26" t="str">
        <f t="shared" si="1"/>
        <v>Running ANTA Tests for the L2LS Fabric</v>
      </c>
      <c r="F494" s="28">
        <f t="shared" si="3"/>
        <v>3</v>
      </c>
      <c r="G494" s="26"/>
      <c r="H494" s="29"/>
      <c r="I494" s="29"/>
      <c r="J494" s="29"/>
      <c r="K494" s="29"/>
      <c r="L494" s="29" t="s">
        <v>19</v>
      </c>
      <c r="M494" s="29"/>
      <c r="N494" s="29" t="s">
        <v>1046</v>
      </c>
    </row>
    <row r="495">
      <c r="A495" s="26"/>
      <c r="B495" s="17" t="s">
        <v>1056</v>
      </c>
      <c r="C495" s="4" t="s">
        <v>15</v>
      </c>
      <c r="D495" s="27">
        <v>0.003136574074074074</v>
      </c>
      <c r="E495" s="26" t="str">
        <f t="shared" si="1"/>
        <v>Executing Playbooks to Build, Deploy, and Test the Fabric</v>
      </c>
      <c r="F495" s="28">
        <f t="shared" si="3"/>
        <v>3</v>
      </c>
      <c r="G495" s="26" t="s">
        <v>1057</v>
      </c>
      <c r="H495" s="29"/>
      <c r="I495" s="29"/>
      <c r="J495" s="29"/>
      <c r="K495" s="29"/>
      <c r="L495" s="29" t="s">
        <v>19</v>
      </c>
      <c r="M495" s="29"/>
      <c r="N495" s="29" t="s">
        <v>1058</v>
      </c>
    </row>
    <row r="496">
      <c r="A496" s="26"/>
      <c r="B496" s="17" t="s">
        <v>1059</v>
      </c>
      <c r="C496" s="4" t="s">
        <v>15</v>
      </c>
      <c r="D496" s="27">
        <v>0.004837962962962963</v>
      </c>
      <c r="E496" s="26" t="str">
        <f t="shared" si="1"/>
        <v>Executing Playbooks to Build, Deploy, and Test the Fabric</v>
      </c>
      <c r="F496" s="28">
        <f t="shared" si="3"/>
        <v>3</v>
      </c>
      <c r="G496" s="26" t="s">
        <v>1060</v>
      </c>
      <c r="H496" s="29"/>
      <c r="I496" s="29"/>
      <c r="J496" s="29"/>
      <c r="K496" s="29"/>
      <c r="L496" s="29" t="s">
        <v>19</v>
      </c>
      <c r="M496" s="29"/>
      <c r="N496" s="29" t="s">
        <v>1058</v>
      </c>
    </row>
    <row r="497">
      <c r="A497" s="26"/>
      <c r="B497" s="17" t="s">
        <v>1061</v>
      </c>
      <c r="C497" s="4" t="s">
        <v>15</v>
      </c>
      <c r="D497" s="27">
        <v>0.008912037037037038</v>
      </c>
      <c r="E497" s="26" t="str">
        <f t="shared" si="1"/>
        <v>Building DCI Fabric with Arista AVD</v>
      </c>
      <c r="F497" s="28">
        <f t="shared" si="3"/>
        <v>3</v>
      </c>
      <c r="G497" s="26" t="s">
        <v>1062</v>
      </c>
      <c r="H497" s="29"/>
      <c r="I497" s="29"/>
      <c r="J497" s="29"/>
      <c r="K497" s="29"/>
      <c r="L497" s="29" t="s">
        <v>19</v>
      </c>
      <c r="M497" s="29"/>
      <c r="N497" s="29" t="s">
        <v>1063</v>
      </c>
    </row>
    <row r="498">
      <c r="A498" s="26"/>
      <c r="B498" s="17" t="s">
        <v>1064</v>
      </c>
      <c r="C498" s="4" t="s">
        <v>15</v>
      </c>
      <c r="D498" s="27">
        <v>0.009409722222222222</v>
      </c>
      <c r="E498" s="26" t="str">
        <f t="shared" si="1"/>
        <v>Continuous integration for Network Automation</v>
      </c>
      <c r="F498" s="28">
        <f t="shared" si="3"/>
        <v>3</v>
      </c>
      <c r="G498" s="26" t="s">
        <v>1065</v>
      </c>
      <c r="H498" s="29" t="s">
        <v>1066</v>
      </c>
      <c r="I498" s="29"/>
      <c r="J498" s="29"/>
      <c r="K498" s="29"/>
      <c r="L498" s="29" t="s">
        <v>19</v>
      </c>
      <c r="M498" s="29"/>
      <c r="N498" s="29" t="s">
        <v>1067</v>
      </c>
    </row>
    <row r="499">
      <c r="A499" s="26"/>
      <c r="B499" s="17" t="s">
        <v>1068</v>
      </c>
      <c r="C499" s="4" t="s">
        <v>15</v>
      </c>
      <c r="D499" s="27">
        <v>0.010798611111111111</v>
      </c>
      <c r="E499" s="26" t="str">
        <f t="shared" si="1"/>
        <v>Continuous integration for Network Automation</v>
      </c>
      <c r="F499" s="28">
        <f t="shared" si="3"/>
        <v>3</v>
      </c>
      <c r="G499" s="26" t="s">
        <v>1069</v>
      </c>
      <c r="H499" s="29" t="s">
        <v>1066</v>
      </c>
      <c r="I499" s="29"/>
      <c r="J499" s="29"/>
      <c r="K499" s="29"/>
      <c r="L499" s="29" t="s">
        <v>19</v>
      </c>
      <c r="M499" s="29"/>
      <c r="N499" s="29" t="s">
        <v>1067</v>
      </c>
    </row>
    <row r="500">
      <c r="A500" s="26"/>
      <c r="B500" s="17" t="s">
        <v>1070</v>
      </c>
      <c r="C500" s="4" t="s">
        <v>15</v>
      </c>
      <c r="D500" s="27">
        <v>0.009456018518518518</v>
      </c>
      <c r="E500" s="26" t="str">
        <f t="shared" si="1"/>
        <v>Continuous integration for Network Automation</v>
      </c>
      <c r="F500" s="28">
        <f t="shared" si="3"/>
        <v>3</v>
      </c>
      <c r="G500" s="26" t="s">
        <v>1071</v>
      </c>
      <c r="H500" s="29" t="s">
        <v>1066</v>
      </c>
      <c r="I500" s="29"/>
      <c r="J500" s="29"/>
      <c r="K500" s="29"/>
      <c r="L500" s="29" t="s">
        <v>19</v>
      </c>
      <c r="M500" s="29"/>
      <c r="N500" s="29" t="s">
        <v>1067</v>
      </c>
    </row>
    <row r="501">
      <c r="A501" s="26"/>
      <c r="B501" s="17" t="s">
        <v>1072</v>
      </c>
      <c r="C501" s="4" t="s">
        <v>15</v>
      </c>
      <c r="D501" s="27">
        <v>0.011087962962962963</v>
      </c>
      <c r="E501" s="26" t="str">
        <f t="shared" si="1"/>
        <v>Continuous integration for Network Automation</v>
      </c>
      <c r="F501" s="28">
        <f t="shared" si="3"/>
        <v>3</v>
      </c>
      <c r="G501" s="26" t="s">
        <v>1073</v>
      </c>
      <c r="H501" s="29" t="s">
        <v>1066</v>
      </c>
      <c r="I501" s="29"/>
      <c r="J501" s="29"/>
      <c r="K501" s="29"/>
      <c r="L501" s="29" t="s">
        <v>19</v>
      </c>
      <c r="M501" s="29"/>
      <c r="N501" s="29" t="s">
        <v>1067</v>
      </c>
    </row>
    <row r="502">
      <c r="A502" s="26"/>
      <c r="B502" s="17" t="s">
        <v>1074</v>
      </c>
      <c r="C502" s="4" t="s">
        <v>15</v>
      </c>
      <c r="D502" s="27">
        <v>0.004224537037037037</v>
      </c>
      <c r="E502" s="26" t="str">
        <f t="shared" si="1"/>
        <v>Continuous integration for Network Automation</v>
      </c>
      <c r="F502" s="28">
        <f t="shared" si="3"/>
        <v>3</v>
      </c>
      <c r="G502" s="26" t="s">
        <v>1075</v>
      </c>
      <c r="H502" s="29" t="s">
        <v>1066</v>
      </c>
      <c r="I502" s="29"/>
      <c r="J502" s="29"/>
      <c r="K502" s="29"/>
      <c r="L502" s="29" t="s">
        <v>19</v>
      </c>
      <c r="M502" s="29"/>
      <c r="N502" s="29" t="s">
        <v>1067</v>
      </c>
    </row>
    <row r="503">
      <c r="A503" s="26"/>
      <c r="B503" s="17" t="s">
        <v>1076</v>
      </c>
      <c r="C503" s="4" t="s">
        <v>15</v>
      </c>
      <c r="D503" s="27">
        <v>0.007893518518518518</v>
      </c>
      <c r="E503" s="26" t="str">
        <f t="shared" si="1"/>
        <v>Continuous integration for Network Automation</v>
      </c>
      <c r="F503" s="28">
        <v>6.0</v>
      </c>
      <c r="G503" s="26" t="s">
        <v>1077</v>
      </c>
      <c r="H503" s="29" t="s">
        <v>1066</v>
      </c>
      <c r="I503" s="29"/>
      <c r="J503" s="29"/>
      <c r="K503" s="29"/>
      <c r="L503" s="29" t="s">
        <v>19</v>
      </c>
      <c r="M503" s="29"/>
      <c r="N503" s="29" t="s">
        <v>1067</v>
      </c>
    </row>
    <row r="504">
      <c r="A504" s="26"/>
      <c r="B504" s="17" t="s">
        <v>1078</v>
      </c>
      <c r="C504" s="4" t="s">
        <v>15</v>
      </c>
      <c r="D504" s="27">
        <v>0.011435185185185185</v>
      </c>
      <c r="E504" s="26" t="str">
        <f t="shared" si="1"/>
        <v>Continuous integration for Network Automation</v>
      </c>
      <c r="F504" s="28">
        <v>6.0</v>
      </c>
      <c r="G504" s="26" t="s">
        <v>1079</v>
      </c>
      <c r="H504" s="29" t="s">
        <v>1066</v>
      </c>
      <c r="I504" s="29"/>
      <c r="J504" s="29"/>
      <c r="K504" s="29"/>
      <c r="L504" s="29" t="s">
        <v>19</v>
      </c>
      <c r="M504" s="29"/>
      <c r="N504" s="29" t="s">
        <v>1067</v>
      </c>
    </row>
    <row r="505">
      <c r="A505" s="26"/>
      <c r="B505" s="17" t="s">
        <v>1080</v>
      </c>
      <c r="C505" s="4" t="s">
        <v>15</v>
      </c>
      <c r="D505" s="27">
        <v>0.01734953703703704</v>
      </c>
      <c r="E505" s="26" t="str">
        <f t="shared" si="1"/>
        <v>Continuous integration for Network Automation</v>
      </c>
      <c r="F505" s="28">
        <v>5.0</v>
      </c>
      <c r="G505" s="26" t="s">
        <v>1081</v>
      </c>
      <c r="H505" s="29" t="s">
        <v>1066</v>
      </c>
      <c r="I505" s="29"/>
      <c r="J505" s="29"/>
      <c r="K505" s="29"/>
      <c r="L505" s="29" t="s">
        <v>19</v>
      </c>
      <c r="M505" s="29"/>
      <c r="N505" s="29" t="s">
        <v>1067</v>
      </c>
    </row>
    <row r="506">
      <c r="A506" s="26"/>
      <c r="B506" s="17" t="s">
        <v>1082</v>
      </c>
      <c r="C506" s="4" t="s">
        <v>15</v>
      </c>
      <c r="D506" s="27">
        <v>0.013668981481481482</v>
      </c>
      <c r="E506" s="26" t="str">
        <f t="shared" si="1"/>
        <v>Continuous integration for Network Automation</v>
      </c>
      <c r="F506" s="28">
        <v>5.0</v>
      </c>
      <c r="G506" s="26" t="s">
        <v>1083</v>
      </c>
      <c r="H506" s="29" t="s">
        <v>1066</v>
      </c>
      <c r="I506" s="29"/>
      <c r="J506" s="29"/>
      <c r="K506" s="29"/>
      <c r="L506" s="29" t="s">
        <v>19</v>
      </c>
      <c r="M506" s="29"/>
      <c r="N506" s="29" t="s">
        <v>1067</v>
      </c>
    </row>
    <row r="507">
      <c r="A507" s="26"/>
      <c r="B507" s="17" t="s">
        <v>1084</v>
      </c>
      <c r="C507" s="4" t="s">
        <v>15</v>
      </c>
      <c r="D507" s="27">
        <v>0.014282407407407407</v>
      </c>
      <c r="E507" s="26" t="str">
        <f t="shared" si="1"/>
        <v>Continuous integration for Network Automation</v>
      </c>
      <c r="F507" s="28">
        <v>5.0</v>
      </c>
      <c r="G507" s="26" t="s">
        <v>1085</v>
      </c>
      <c r="H507" s="29" t="s">
        <v>1066</v>
      </c>
      <c r="I507" s="29"/>
      <c r="J507" s="29"/>
      <c r="K507" s="29"/>
      <c r="L507" s="29" t="s">
        <v>19</v>
      </c>
      <c r="M507" s="29"/>
      <c r="N507" s="29" t="s">
        <v>1067</v>
      </c>
    </row>
    <row r="508">
      <c r="A508" s="26"/>
      <c r="B508" s="17" t="s">
        <v>1086</v>
      </c>
      <c r="C508" s="4" t="s">
        <v>15</v>
      </c>
      <c r="D508" s="27">
        <v>0.009675925925925926</v>
      </c>
      <c r="E508" s="26" t="str">
        <f t="shared" si="1"/>
        <v>Continuous integration for Network Automation</v>
      </c>
      <c r="F508" s="28">
        <v>6.0</v>
      </c>
      <c r="G508" s="26" t="s">
        <v>1087</v>
      </c>
      <c r="H508" s="29" t="s">
        <v>1066</v>
      </c>
      <c r="I508" s="29"/>
      <c r="J508" s="29"/>
      <c r="K508" s="29"/>
      <c r="L508" s="29" t="s">
        <v>19</v>
      </c>
      <c r="M508" s="29"/>
      <c r="N508" s="29" t="s">
        <v>1067</v>
      </c>
    </row>
    <row r="509">
      <c r="A509" s="26"/>
      <c r="B509" s="17" t="s">
        <v>1088</v>
      </c>
      <c r="C509" s="4" t="s">
        <v>100</v>
      </c>
      <c r="D509" s="27">
        <v>0.013888888888888888</v>
      </c>
      <c r="E509" s="26" t="str">
        <f t="shared" si="1"/>
        <v>Continuous integration for Network Automation</v>
      </c>
      <c r="F509" s="28">
        <v>6.0</v>
      </c>
      <c r="G509" s="26"/>
      <c r="H509" s="29" t="s">
        <v>1066</v>
      </c>
      <c r="I509" s="29"/>
      <c r="J509" s="29"/>
      <c r="K509" s="29"/>
      <c r="L509" s="29" t="s">
        <v>19</v>
      </c>
      <c r="M509" s="29"/>
      <c r="N509" s="29" t="s">
        <v>1067</v>
      </c>
    </row>
    <row r="510">
      <c r="A510" s="26"/>
      <c r="B510" s="17" t="s">
        <v>1089</v>
      </c>
      <c r="C510" s="4" t="s">
        <v>100</v>
      </c>
      <c r="D510" s="27">
        <v>0.013888888888888888</v>
      </c>
      <c r="E510" s="26" t="str">
        <f t="shared" si="1"/>
        <v>Continuous integration for Network Automation</v>
      </c>
      <c r="F510" s="28">
        <v>6.0</v>
      </c>
      <c r="G510" s="26"/>
      <c r="H510" s="29" t="s">
        <v>1066</v>
      </c>
      <c r="I510" s="29"/>
      <c r="J510" s="29"/>
      <c r="K510" s="29"/>
      <c r="L510" s="29" t="s">
        <v>19</v>
      </c>
      <c r="M510" s="29"/>
      <c r="N510" s="29" t="s">
        <v>1067</v>
      </c>
    </row>
    <row r="511">
      <c r="A511" s="26"/>
      <c r="B511" s="17" t="s">
        <v>1090</v>
      </c>
      <c r="C511" s="4" t="s">
        <v>15</v>
      </c>
      <c r="D511" s="27">
        <v>0.015520833333333333</v>
      </c>
      <c r="E511" s="26" t="str">
        <f t="shared" si="1"/>
        <v>Lab - Automating EOS with Python</v>
      </c>
      <c r="F511" s="28">
        <v>6.0</v>
      </c>
      <c r="G511" s="26" t="s">
        <v>1091</v>
      </c>
      <c r="H511" s="29" t="s">
        <v>1066</v>
      </c>
      <c r="I511" s="29">
        <v>2025.1</v>
      </c>
      <c r="J511" s="29"/>
      <c r="K511" s="29"/>
      <c r="L511" s="29"/>
      <c r="M511" s="29"/>
      <c r="N511" s="29" t="s">
        <v>1092</v>
      </c>
    </row>
    <row r="512">
      <c r="A512" s="26"/>
      <c r="B512" s="17" t="s">
        <v>1093</v>
      </c>
      <c r="C512" s="4" t="s">
        <v>15</v>
      </c>
      <c r="D512" s="27">
        <v>0.014756944444444444</v>
      </c>
      <c r="E512" s="26" t="str">
        <f t="shared" si="1"/>
        <v>Lab - Automating EOS with Python</v>
      </c>
      <c r="F512" s="28">
        <v>6.0</v>
      </c>
      <c r="G512" s="26" t="s">
        <v>1094</v>
      </c>
      <c r="H512" s="29" t="s">
        <v>1066</v>
      </c>
      <c r="I512" s="29">
        <v>2025.1</v>
      </c>
      <c r="J512" s="29"/>
      <c r="K512" s="29"/>
      <c r="L512" s="29"/>
      <c r="M512" s="29"/>
      <c r="N512" s="29" t="s">
        <v>1092</v>
      </c>
    </row>
    <row r="513">
      <c r="A513" s="26"/>
      <c r="B513" s="17" t="s">
        <v>1095</v>
      </c>
      <c r="C513" s="4" t="s">
        <v>15</v>
      </c>
      <c r="D513" s="27">
        <v>0.011516203703703704</v>
      </c>
      <c r="E513" s="26" t="str">
        <f t="shared" si="1"/>
        <v>Lab - Automating EOS with Python</v>
      </c>
      <c r="F513" s="28">
        <v>6.0</v>
      </c>
      <c r="G513" s="26" t="s">
        <v>1096</v>
      </c>
      <c r="H513" s="29" t="s">
        <v>1066</v>
      </c>
      <c r="I513" s="29">
        <v>2025.1</v>
      </c>
      <c r="J513" s="29"/>
      <c r="K513" s="29"/>
      <c r="L513" s="29"/>
      <c r="M513" s="29"/>
      <c r="N513" s="29" t="s">
        <v>1092</v>
      </c>
    </row>
    <row r="514">
      <c r="A514" s="26"/>
      <c r="B514" s="17" t="s">
        <v>1097</v>
      </c>
      <c r="C514" s="4" t="s">
        <v>15</v>
      </c>
      <c r="D514" s="27">
        <v>0.01628472222222222</v>
      </c>
      <c r="E514" s="26" t="str">
        <f t="shared" si="1"/>
        <v>Lab - Automating EOS with Python</v>
      </c>
      <c r="F514" s="28">
        <v>6.0</v>
      </c>
      <c r="G514" s="26" t="s">
        <v>1098</v>
      </c>
      <c r="H514" s="29" t="s">
        <v>1066</v>
      </c>
      <c r="I514" s="29">
        <v>2025.1</v>
      </c>
      <c r="J514" s="29"/>
      <c r="K514" s="29"/>
      <c r="L514" s="29"/>
      <c r="M514" s="29"/>
      <c r="N514" s="29" t="s">
        <v>1092</v>
      </c>
    </row>
    <row r="515">
      <c r="A515" s="26"/>
      <c r="B515" s="17" t="s">
        <v>1099</v>
      </c>
      <c r="C515" s="4" t="s">
        <v>15</v>
      </c>
      <c r="D515" s="27">
        <v>0.01119212962962963</v>
      </c>
      <c r="E515" s="26" t="str">
        <f t="shared" si="1"/>
        <v>Lab - Automating EOS with Python</v>
      </c>
      <c r="F515" s="28">
        <v>5.0</v>
      </c>
      <c r="G515" s="26" t="s">
        <v>1100</v>
      </c>
      <c r="H515" s="29" t="s">
        <v>1066</v>
      </c>
      <c r="I515" s="29">
        <v>2025.1</v>
      </c>
      <c r="J515" s="29"/>
      <c r="K515" s="29"/>
      <c r="L515" s="29"/>
      <c r="M515" s="29"/>
      <c r="N515" s="29" t="s">
        <v>1092</v>
      </c>
    </row>
    <row r="516">
      <c r="A516" s="26"/>
      <c r="B516" s="17" t="s">
        <v>1101</v>
      </c>
      <c r="C516" s="4" t="s">
        <v>15</v>
      </c>
      <c r="D516" s="27">
        <v>0.010914351851851852</v>
      </c>
      <c r="E516" s="26" t="str">
        <f t="shared" si="1"/>
        <v>Lab - Automating EOS with Python</v>
      </c>
      <c r="F516" s="28">
        <v>5.0</v>
      </c>
      <c r="G516" s="26" t="s">
        <v>1102</v>
      </c>
      <c r="H516" s="29" t="s">
        <v>1066</v>
      </c>
      <c r="I516" s="29">
        <v>2025.1</v>
      </c>
      <c r="J516" s="29"/>
      <c r="K516" s="29"/>
      <c r="L516" s="29"/>
      <c r="M516" s="29"/>
      <c r="N516" s="29" t="s">
        <v>1092</v>
      </c>
    </row>
    <row r="517">
      <c r="A517" s="26"/>
      <c r="B517" s="17" t="s">
        <v>1103</v>
      </c>
      <c r="C517" s="4" t="s">
        <v>15</v>
      </c>
      <c r="D517" s="27">
        <v>0.011122685185185185</v>
      </c>
      <c r="E517" s="26" t="str">
        <f t="shared" si="1"/>
        <v>Lab - Automating EOS with Python</v>
      </c>
      <c r="F517" s="28">
        <v>6.0</v>
      </c>
      <c r="G517" s="26" t="s">
        <v>1104</v>
      </c>
      <c r="H517" s="29" t="s">
        <v>1066</v>
      </c>
      <c r="I517" s="29">
        <v>2025.1</v>
      </c>
      <c r="J517" s="29"/>
      <c r="K517" s="29"/>
      <c r="L517" s="29"/>
      <c r="M517" s="29"/>
      <c r="N517" s="29" t="s">
        <v>1092</v>
      </c>
    </row>
    <row r="518">
      <c r="A518" s="26"/>
      <c r="B518" s="17" t="s">
        <v>1105</v>
      </c>
      <c r="C518" s="4" t="s">
        <v>15</v>
      </c>
      <c r="D518" s="27">
        <v>0.016412037037037037</v>
      </c>
      <c r="E518" s="26" t="str">
        <f t="shared" si="1"/>
        <v>Lab - Automating EOS with Python</v>
      </c>
      <c r="F518" s="28">
        <v>6.0</v>
      </c>
      <c r="G518" s="26" t="s">
        <v>1106</v>
      </c>
      <c r="H518" s="29" t="s">
        <v>1066</v>
      </c>
      <c r="I518" s="29">
        <v>2025.1</v>
      </c>
      <c r="J518" s="29"/>
      <c r="K518" s="29"/>
      <c r="L518" s="29"/>
      <c r="M518" s="29"/>
      <c r="N518" s="29" t="s">
        <v>1092</v>
      </c>
    </row>
    <row r="519">
      <c r="A519" s="26"/>
      <c r="B519" s="17" t="s">
        <v>1107</v>
      </c>
      <c r="C519" s="4" t="s">
        <v>15</v>
      </c>
      <c r="D519" s="27">
        <v>0.011087962962962963</v>
      </c>
      <c r="E519" s="26" t="str">
        <f t="shared" si="1"/>
        <v>Lab - Automating EOS with Python</v>
      </c>
      <c r="F519" s="28">
        <v>4.0</v>
      </c>
      <c r="G519" s="26" t="s">
        <v>1108</v>
      </c>
      <c r="H519" s="29" t="s">
        <v>1066</v>
      </c>
      <c r="I519" s="29">
        <v>2025.1</v>
      </c>
      <c r="J519" s="29"/>
      <c r="K519" s="29"/>
      <c r="L519" s="29"/>
      <c r="M519" s="29"/>
      <c r="N519" s="29" t="s">
        <v>1092</v>
      </c>
    </row>
    <row r="520">
      <c r="A520" s="26"/>
      <c r="B520" s="17" t="s">
        <v>1109</v>
      </c>
      <c r="C520" s="4" t="s">
        <v>100</v>
      </c>
      <c r="D520" s="27">
        <v>0.041666666666666664</v>
      </c>
      <c r="E520" s="26" t="str">
        <f t="shared" si="1"/>
        <v>Lab - Automating EOS with Python</v>
      </c>
      <c r="F520" s="28">
        <v>5.0</v>
      </c>
      <c r="G520" s="26"/>
      <c r="H520" s="29" t="s">
        <v>1066</v>
      </c>
      <c r="I520" s="29">
        <v>2025.1</v>
      </c>
      <c r="J520" s="29"/>
      <c r="K520" s="29"/>
      <c r="L520" s="29"/>
      <c r="M520" s="29"/>
      <c r="N520" s="29" t="s">
        <v>1092</v>
      </c>
    </row>
    <row r="521">
      <c r="A521" s="26"/>
      <c r="B521" s="17" t="s">
        <v>1110</v>
      </c>
      <c r="C521" s="4" t="s">
        <v>100</v>
      </c>
      <c r="D521" s="27">
        <v>0.013888888888888888</v>
      </c>
      <c r="E521" s="26" t="str">
        <f t="shared" si="1"/>
        <v>Lab - Automating EOS with Python</v>
      </c>
      <c r="F521" s="28">
        <v>5.0</v>
      </c>
      <c r="G521" s="26"/>
      <c r="H521" s="29" t="s">
        <v>1066</v>
      </c>
      <c r="I521" s="29">
        <v>2025.1</v>
      </c>
      <c r="J521" s="29"/>
      <c r="K521" s="29"/>
      <c r="L521" s="29"/>
      <c r="M521" s="29"/>
      <c r="N521" s="29" t="s">
        <v>1092</v>
      </c>
    </row>
    <row r="522">
      <c r="A522" s="26"/>
      <c r="B522" s="17" t="s">
        <v>1111</v>
      </c>
      <c r="C522" s="4" t="s">
        <v>15</v>
      </c>
      <c r="D522" s="27">
        <v>0.010636574074074074</v>
      </c>
      <c r="E522" s="26" t="str">
        <f t="shared" si="1"/>
        <v>Lab - Automating CloudVision with Python</v>
      </c>
      <c r="F522" s="28">
        <v>6.0</v>
      </c>
      <c r="G522" s="26" t="s">
        <v>1112</v>
      </c>
      <c r="H522" s="29" t="s">
        <v>1066</v>
      </c>
      <c r="I522" s="29"/>
      <c r="J522" s="29"/>
      <c r="K522" s="29"/>
      <c r="L522" s="29" t="s">
        <v>19</v>
      </c>
      <c r="M522" s="29"/>
      <c r="N522" s="29" t="s">
        <v>1113</v>
      </c>
    </row>
    <row r="523">
      <c r="A523" s="26"/>
      <c r="B523" s="17" t="s">
        <v>1114</v>
      </c>
      <c r="C523" s="4" t="s">
        <v>15</v>
      </c>
      <c r="D523" s="27">
        <v>0.014108796296296296</v>
      </c>
      <c r="E523" s="26" t="str">
        <f t="shared" si="1"/>
        <v>Lab - Automating CloudVision with Python</v>
      </c>
      <c r="F523" s="28">
        <v>6.0</v>
      </c>
      <c r="G523" s="26" t="s">
        <v>1115</v>
      </c>
      <c r="H523" s="29" t="s">
        <v>1066</v>
      </c>
      <c r="I523" s="29"/>
      <c r="J523" s="29"/>
      <c r="K523" s="29"/>
      <c r="L523" s="29" t="s">
        <v>19</v>
      </c>
      <c r="M523" s="29"/>
      <c r="N523" s="29" t="s">
        <v>1113</v>
      </c>
    </row>
    <row r="524">
      <c r="A524" s="26"/>
      <c r="B524" s="17" t="s">
        <v>1116</v>
      </c>
      <c r="C524" s="4" t="s">
        <v>100</v>
      </c>
      <c r="D524" s="27">
        <v>0.041666666666666664</v>
      </c>
      <c r="E524" s="26" t="str">
        <f t="shared" si="1"/>
        <v>Lab - Automating CloudVision with Python</v>
      </c>
      <c r="F524" s="28">
        <v>6.0</v>
      </c>
      <c r="G524" s="26"/>
      <c r="H524" s="29" t="s">
        <v>1066</v>
      </c>
      <c r="I524" s="29"/>
      <c r="J524" s="29"/>
      <c r="K524" s="29"/>
      <c r="L524" s="29" t="s">
        <v>19</v>
      </c>
      <c r="M524" s="29"/>
      <c r="N524" s="29" t="s">
        <v>1113</v>
      </c>
    </row>
    <row r="525">
      <c r="A525" s="26"/>
      <c r="B525" s="17" t="s">
        <v>1117</v>
      </c>
      <c r="C525" s="4" t="s">
        <v>15</v>
      </c>
      <c r="D525" s="27">
        <v>0.01670138888888889</v>
      </c>
      <c r="E525" s="26" t="str">
        <f t="shared" si="1"/>
        <v>Lab - Automating Arista EOS with Ansible</v>
      </c>
      <c r="F525" s="28">
        <v>6.0</v>
      </c>
      <c r="G525" s="26" t="s">
        <v>1118</v>
      </c>
      <c r="H525" s="29" t="s">
        <v>1066</v>
      </c>
      <c r="I525" s="29">
        <v>2025.1</v>
      </c>
      <c r="J525" s="29"/>
      <c r="K525" s="29"/>
      <c r="L525" s="29"/>
      <c r="M525" s="29"/>
      <c r="N525" s="29" t="s">
        <v>1119</v>
      </c>
    </row>
    <row r="526">
      <c r="A526" s="26"/>
      <c r="B526" s="17" t="s">
        <v>1120</v>
      </c>
      <c r="C526" s="4" t="s">
        <v>15</v>
      </c>
      <c r="D526" s="27">
        <v>0.012268518518518519</v>
      </c>
      <c r="E526" s="26" t="str">
        <f t="shared" si="1"/>
        <v>Lab - Automating Arista EOS with Ansible</v>
      </c>
      <c r="F526" s="28">
        <v>5.0</v>
      </c>
      <c r="G526" s="26" t="s">
        <v>1121</v>
      </c>
      <c r="H526" s="29" t="s">
        <v>1066</v>
      </c>
      <c r="I526" s="29">
        <v>2025.1</v>
      </c>
      <c r="J526" s="29"/>
      <c r="K526" s="29"/>
      <c r="L526" s="29"/>
      <c r="M526" s="29"/>
      <c r="N526" s="29" t="s">
        <v>1119</v>
      </c>
    </row>
    <row r="527">
      <c r="A527" s="26"/>
      <c r="B527" s="17" t="s">
        <v>1122</v>
      </c>
      <c r="C527" s="4" t="s">
        <v>15</v>
      </c>
      <c r="D527" s="27">
        <v>0.00974537037037037</v>
      </c>
      <c r="E527" s="26" t="str">
        <f t="shared" si="1"/>
        <v>Lab - Automating Arista EOS with Ansible</v>
      </c>
      <c r="F527" s="28">
        <v>6.0</v>
      </c>
      <c r="G527" s="26" t="s">
        <v>1123</v>
      </c>
      <c r="H527" s="29" t="s">
        <v>1066</v>
      </c>
      <c r="I527" s="29">
        <v>2025.1</v>
      </c>
      <c r="J527" s="29"/>
      <c r="K527" s="29"/>
      <c r="L527" s="29"/>
      <c r="M527" s="29"/>
      <c r="N527" s="29" t="s">
        <v>1119</v>
      </c>
    </row>
    <row r="528">
      <c r="A528" s="26"/>
      <c r="B528" s="17" t="s">
        <v>1124</v>
      </c>
      <c r="C528" s="4" t="s">
        <v>15</v>
      </c>
      <c r="D528" s="27">
        <v>0.006724537037037037</v>
      </c>
      <c r="E528" s="26" t="str">
        <f t="shared" si="1"/>
        <v>Lab - Automating Arista EOS with Ansible</v>
      </c>
      <c r="F528" s="28">
        <v>7.0</v>
      </c>
      <c r="G528" s="26" t="s">
        <v>1125</v>
      </c>
      <c r="H528" s="29" t="s">
        <v>1066</v>
      </c>
      <c r="I528" s="29">
        <v>2025.1</v>
      </c>
      <c r="J528" s="29"/>
      <c r="K528" s="29"/>
      <c r="L528" s="29"/>
      <c r="M528" s="29"/>
      <c r="N528" s="29" t="s">
        <v>1119</v>
      </c>
    </row>
    <row r="529">
      <c r="A529" s="26"/>
      <c r="B529" s="17" t="s">
        <v>1126</v>
      </c>
      <c r="C529" s="4" t="s">
        <v>15</v>
      </c>
      <c r="D529" s="27">
        <v>0.010844907407407407</v>
      </c>
      <c r="E529" s="26" t="str">
        <f t="shared" si="1"/>
        <v>Lab - Automating Arista EOS with Ansible</v>
      </c>
      <c r="F529" s="28">
        <v>7.0</v>
      </c>
      <c r="G529" s="26" t="s">
        <v>1127</v>
      </c>
      <c r="H529" s="29" t="s">
        <v>1066</v>
      </c>
      <c r="I529" s="29">
        <v>2025.1</v>
      </c>
      <c r="J529" s="29"/>
      <c r="K529" s="29"/>
      <c r="L529" s="29"/>
      <c r="M529" s="29"/>
      <c r="N529" s="29" t="s">
        <v>1119</v>
      </c>
    </row>
    <row r="530">
      <c r="A530" s="26"/>
      <c r="B530" s="17" t="s">
        <v>1128</v>
      </c>
      <c r="C530" s="4" t="s">
        <v>15</v>
      </c>
      <c r="D530" s="27">
        <v>0.007997685185185186</v>
      </c>
      <c r="E530" s="26" t="str">
        <f t="shared" si="1"/>
        <v>Lab - Automating Arista EOS with Ansible</v>
      </c>
      <c r="F530" s="28">
        <v>7.0</v>
      </c>
      <c r="G530" s="26" t="s">
        <v>1129</v>
      </c>
      <c r="H530" s="29" t="s">
        <v>1066</v>
      </c>
      <c r="I530" s="29">
        <v>2025.1</v>
      </c>
      <c r="J530" s="29"/>
      <c r="K530" s="29"/>
      <c r="L530" s="29"/>
      <c r="M530" s="29"/>
      <c r="N530" s="29" t="s">
        <v>1119</v>
      </c>
    </row>
    <row r="531">
      <c r="A531" s="26"/>
      <c r="B531" s="17" t="s">
        <v>1130</v>
      </c>
      <c r="C531" s="4" t="s">
        <v>15</v>
      </c>
      <c r="D531" s="27">
        <v>0.012673611111111111</v>
      </c>
      <c r="E531" s="26" t="str">
        <f t="shared" si="1"/>
        <v>Executing Cloudvision Tasks with Ansible</v>
      </c>
      <c r="F531" s="28">
        <v>6.0</v>
      </c>
      <c r="G531" s="26"/>
      <c r="H531" s="29" t="s">
        <v>689</v>
      </c>
      <c r="I531" s="29" t="s">
        <v>689</v>
      </c>
      <c r="J531" s="29" t="s">
        <v>689</v>
      </c>
      <c r="K531" s="29" t="s">
        <v>689</v>
      </c>
      <c r="L531" s="29" t="s">
        <v>689</v>
      </c>
      <c r="M531" s="29" t="s">
        <v>689</v>
      </c>
      <c r="N531" s="29" t="s">
        <v>1131</v>
      </c>
    </row>
    <row r="532">
      <c r="A532" s="26"/>
      <c r="B532" s="17" t="s">
        <v>1132</v>
      </c>
      <c r="C532" s="4" t="s">
        <v>15</v>
      </c>
      <c r="D532" s="27">
        <v>0.013530092592592592</v>
      </c>
      <c r="E532" s="26" t="str">
        <f t="shared" si="1"/>
        <v>Executing Cloudvision Tasks with Ansible</v>
      </c>
      <c r="F532" s="28">
        <v>7.0</v>
      </c>
      <c r="G532" s="26"/>
      <c r="H532" s="29" t="s">
        <v>689</v>
      </c>
      <c r="I532" s="29" t="s">
        <v>689</v>
      </c>
      <c r="J532" s="29" t="s">
        <v>689</v>
      </c>
      <c r="K532" s="29" t="s">
        <v>689</v>
      </c>
      <c r="L532" s="29" t="s">
        <v>689</v>
      </c>
      <c r="M532" s="29" t="s">
        <v>689</v>
      </c>
      <c r="N532" s="29" t="s">
        <v>1131</v>
      </c>
    </row>
    <row r="533">
      <c r="A533" s="26"/>
      <c r="B533" s="17" t="s">
        <v>1133</v>
      </c>
      <c r="C533" s="4" t="s">
        <v>15</v>
      </c>
      <c r="D533" s="27">
        <v>0.008101851851851851</v>
      </c>
      <c r="E533" s="26" t="str">
        <f t="shared" si="1"/>
        <v>Executing Cloudvision Tasks with Ansible</v>
      </c>
      <c r="F533" s="28">
        <v>8.0</v>
      </c>
      <c r="G533" s="26"/>
      <c r="H533" s="29" t="s">
        <v>689</v>
      </c>
      <c r="I533" s="29" t="s">
        <v>689</v>
      </c>
      <c r="J533" s="29" t="s">
        <v>689</v>
      </c>
      <c r="K533" s="29" t="s">
        <v>689</v>
      </c>
      <c r="L533" s="29" t="s">
        <v>689</v>
      </c>
      <c r="M533" s="29" t="s">
        <v>689</v>
      </c>
      <c r="N533" s="29" t="s">
        <v>1131</v>
      </c>
    </row>
    <row r="534">
      <c r="A534" s="26"/>
      <c r="B534" s="17" t="s">
        <v>1134</v>
      </c>
      <c r="C534" s="4" t="s">
        <v>15</v>
      </c>
      <c r="D534" s="27">
        <v>0.017025462962962964</v>
      </c>
      <c r="E534" s="26" t="str">
        <f t="shared" si="1"/>
        <v>Executing Cloudvision Tasks with Ansible</v>
      </c>
      <c r="F534" s="28">
        <v>8.0</v>
      </c>
      <c r="G534" s="26"/>
      <c r="H534" s="29" t="s">
        <v>689</v>
      </c>
      <c r="I534" s="29" t="s">
        <v>689</v>
      </c>
      <c r="J534" s="29" t="s">
        <v>689</v>
      </c>
      <c r="K534" s="29" t="s">
        <v>689</v>
      </c>
      <c r="L534" s="29" t="s">
        <v>689</v>
      </c>
      <c r="M534" s="29" t="s">
        <v>689</v>
      </c>
      <c r="N534" s="29" t="s">
        <v>1131</v>
      </c>
    </row>
    <row r="535">
      <c r="A535" s="26"/>
      <c r="B535" s="17" t="s">
        <v>1135</v>
      </c>
      <c r="C535" s="4" t="s">
        <v>15</v>
      </c>
      <c r="D535" s="27">
        <v>0.021782407407407407</v>
      </c>
      <c r="E535" s="26" t="str">
        <f t="shared" si="1"/>
        <v>Executing Cloudvision Tasks with Ansible</v>
      </c>
      <c r="F535" s="28">
        <v>7.0</v>
      </c>
      <c r="G535" s="26"/>
      <c r="H535" s="29" t="s">
        <v>689</v>
      </c>
      <c r="I535" s="29" t="s">
        <v>689</v>
      </c>
      <c r="J535" s="29" t="s">
        <v>689</v>
      </c>
      <c r="K535" s="29" t="s">
        <v>689</v>
      </c>
      <c r="L535" s="29" t="s">
        <v>689</v>
      </c>
      <c r="M535" s="29" t="s">
        <v>689</v>
      </c>
      <c r="N535" s="29" t="s">
        <v>1131</v>
      </c>
    </row>
    <row r="536">
      <c r="A536" s="26"/>
      <c r="B536" s="17" t="s">
        <v>1136</v>
      </c>
      <c r="C536" s="4" t="s">
        <v>15</v>
      </c>
      <c r="D536" s="27">
        <v>0.013738425925925926</v>
      </c>
      <c r="E536" s="26" t="str">
        <f t="shared" si="1"/>
        <v>Exploring AVD Documentation</v>
      </c>
      <c r="F536" s="28">
        <v>7.0</v>
      </c>
      <c r="G536" s="26"/>
      <c r="H536" s="29" t="s">
        <v>689</v>
      </c>
      <c r="I536" s="29" t="s">
        <v>689</v>
      </c>
      <c r="J536" s="29" t="s">
        <v>689</v>
      </c>
      <c r="K536" s="29" t="s">
        <v>689</v>
      </c>
      <c r="L536" s="29" t="s">
        <v>689</v>
      </c>
      <c r="M536" s="29" t="s">
        <v>689</v>
      </c>
      <c r="N536" s="29" t="s">
        <v>1137</v>
      </c>
    </row>
    <row r="537">
      <c r="A537" s="26"/>
      <c r="B537" s="17" t="s">
        <v>1138</v>
      </c>
      <c r="C537" s="4" t="s">
        <v>15</v>
      </c>
      <c r="D537" s="27">
        <v>0.009363425925925926</v>
      </c>
      <c r="E537" s="26" t="str">
        <f t="shared" si="1"/>
        <v>Exploring AVD Documentation</v>
      </c>
      <c r="F537" s="28">
        <v>7.0</v>
      </c>
      <c r="G537" s="26"/>
      <c r="H537" s="29" t="s">
        <v>689</v>
      </c>
      <c r="I537" s="29" t="s">
        <v>689</v>
      </c>
      <c r="J537" s="29" t="s">
        <v>689</v>
      </c>
      <c r="K537" s="29" t="s">
        <v>689</v>
      </c>
      <c r="L537" s="29" t="s">
        <v>689</v>
      </c>
      <c r="M537" s="29" t="s">
        <v>689</v>
      </c>
      <c r="N537" s="29" t="s">
        <v>1137</v>
      </c>
    </row>
    <row r="538">
      <c r="A538" s="26"/>
      <c r="B538" s="17" t="s">
        <v>1139</v>
      </c>
      <c r="C538" s="4" t="s">
        <v>15</v>
      </c>
      <c r="D538" s="27">
        <v>0.00931712962962963</v>
      </c>
      <c r="E538" s="26" t="str">
        <f t="shared" si="1"/>
        <v>Exploring AVD Documentation</v>
      </c>
      <c r="F538" s="28">
        <v>8.0</v>
      </c>
      <c r="G538" s="26"/>
      <c r="H538" s="29" t="s">
        <v>689</v>
      </c>
      <c r="I538" s="29" t="s">
        <v>689</v>
      </c>
      <c r="J538" s="29" t="s">
        <v>689</v>
      </c>
      <c r="K538" s="29" t="s">
        <v>689</v>
      </c>
      <c r="L538" s="29" t="s">
        <v>689</v>
      </c>
      <c r="M538" s="29" t="s">
        <v>689</v>
      </c>
      <c r="N538" s="29" t="s">
        <v>1137</v>
      </c>
    </row>
    <row r="539">
      <c r="A539" s="26"/>
      <c r="B539" s="17" t="s">
        <v>1140</v>
      </c>
      <c r="C539" s="4" t="s">
        <v>15</v>
      </c>
      <c r="D539" s="27">
        <v>0.01392361111111111</v>
      </c>
      <c r="E539" s="26" t="str">
        <f t="shared" si="1"/>
        <v>Exploring AVD Documentation</v>
      </c>
      <c r="F539" s="28">
        <v>6.0</v>
      </c>
      <c r="G539" s="26"/>
      <c r="H539" s="29" t="s">
        <v>689</v>
      </c>
      <c r="I539" s="29" t="s">
        <v>689</v>
      </c>
      <c r="J539" s="29" t="s">
        <v>689</v>
      </c>
      <c r="K539" s="29" t="s">
        <v>689</v>
      </c>
      <c r="L539" s="29" t="s">
        <v>689</v>
      </c>
      <c r="M539" s="29" t="s">
        <v>689</v>
      </c>
      <c r="N539" s="29" t="s">
        <v>1137</v>
      </c>
    </row>
    <row r="540">
      <c r="A540" s="26"/>
      <c r="B540" s="17" t="s">
        <v>1019</v>
      </c>
      <c r="C540" s="4" t="s">
        <v>15</v>
      </c>
      <c r="D540" s="27">
        <v>0.015752314814814816</v>
      </c>
      <c r="E540" s="26" t="str">
        <f t="shared" si="1"/>
        <v>Exploring AVD Documentation</v>
      </c>
      <c r="F540" s="28">
        <v>6.0</v>
      </c>
      <c r="G540" s="26"/>
      <c r="H540" s="29" t="s">
        <v>689</v>
      </c>
      <c r="I540" s="29" t="s">
        <v>689</v>
      </c>
      <c r="J540" s="29" t="s">
        <v>689</v>
      </c>
      <c r="K540" s="29" t="s">
        <v>689</v>
      </c>
      <c r="L540" s="29" t="s">
        <v>689</v>
      </c>
      <c r="M540" s="29" t="s">
        <v>689</v>
      </c>
      <c r="N540" s="29" t="s">
        <v>1137</v>
      </c>
    </row>
    <row r="541">
      <c r="A541" s="26"/>
      <c r="B541" s="17" t="s">
        <v>1141</v>
      </c>
      <c r="C541" s="4" t="s">
        <v>15</v>
      </c>
      <c r="D541" s="27">
        <v>0.019479166666666665</v>
      </c>
      <c r="E541" s="26" t="str">
        <f t="shared" si="1"/>
        <v>Exploring AVD Documentation</v>
      </c>
      <c r="F541" s="28">
        <v>6.0</v>
      </c>
      <c r="G541" s="26"/>
      <c r="H541" s="29" t="s">
        <v>689</v>
      </c>
      <c r="I541" s="29" t="s">
        <v>689</v>
      </c>
      <c r="J541" s="29" t="s">
        <v>689</v>
      </c>
      <c r="K541" s="29" t="s">
        <v>689</v>
      </c>
      <c r="L541" s="29" t="s">
        <v>689</v>
      </c>
      <c r="M541" s="29" t="s">
        <v>689</v>
      </c>
      <c r="N541" s="29" t="s">
        <v>1137</v>
      </c>
    </row>
    <row r="542">
      <c r="A542" s="26"/>
      <c r="B542" s="17" t="s">
        <v>1142</v>
      </c>
      <c r="C542" s="4" t="s">
        <v>15</v>
      </c>
      <c r="D542" s="27">
        <v>0.00849537037037037</v>
      </c>
      <c r="E542" s="26" t="str">
        <f t="shared" si="1"/>
        <v>Understand AVD Data Models</v>
      </c>
      <c r="F542" s="28">
        <v>7.0</v>
      </c>
      <c r="G542" s="26"/>
      <c r="H542" s="29" t="s">
        <v>689</v>
      </c>
      <c r="I542" s="29" t="s">
        <v>689</v>
      </c>
      <c r="J542" s="29" t="s">
        <v>689</v>
      </c>
      <c r="K542" s="29" t="s">
        <v>689</v>
      </c>
      <c r="L542" s="29" t="s">
        <v>689</v>
      </c>
      <c r="M542" s="29" t="s">
        <v>689</v>
      </c>
      <c r="N542" s="29" t="s">
        <v>1143</v>
      </c>
    </row>
    <row r="543">
      <c r="A543" s="26"/>
      <c r="B543" s="17" t="s">
        <v>1144</v>
      </c>
      <c r="C543" s="4" t="s">
        <v>15</v>
      </c>
      <c r="D543" s="27">
        <v>0.011539351851851851</v>
      </c>
      <c r="E543" s="26" t="str">
        <f t="shared" si="1"/>
        <v>AVD Workflow</v>
      </c>
      <c r="F543" s="28">
        <v>7.0</v>
      </c>
      <c r="G543" s="26"/>
      <c r="H543" s="29" t="s">
        <v>689</v>
      </c>
      <c r="I543" s="29" t="s">
        <v>689</v>
      </c>
      <c r="J543" s="29" t="s">
        <v>689</v>
      </c>
      <c r="K543" s="29" t="s">
        <v>689</v>
      </c>
      <c r="L543" s="29" t="s">
        <v>689</v>
      </c>
      <c r="M543" s="29" t="s">
        <v>689</v>
      </c>
      <c r="N543" s="29" t="s">
        <v>1035</v>
      </c>
    </row>
    <row r="544">
      <c r="A544" s="26"/>
      <c r="B544" s="17" t="s">
        <v>1145</v>
      </c>
      <c r="C544" s="4" t="s">
        <v>15</v>
      </c>
      <c r="D544" s="27">
        <v>0.012847222222222222</v>
      </c>
      <c r="E544" s="26" t="str">
        <f t="shared" si="1"/>
        <v>AVD Workflow</v>
      </c>
      <c r="F544" s="28">
        <v>6.0</v>
      </c>
      <c r="G544" s="26"/>
      <c r="H544" s="29" t="s">
        <v>689</v>
      </c>
      <c r="I544" s="29" t="s">
        <v>689</v>
      </c>
      <c r="J544" s="29" t="s">
        <v>689</v>
      </c>
      <c r="K544" s="29" t="s">
        <v>689</v>
      </c>
      <c r="L544" s="29" t="s">
        <v>689</v>
      </c>
      <c r="M544" s="29" t="s">
        <v>689</v>
      </c>
      <c r="N544" s="29" t="s">
        <v>1035</v>
      </c>
    </row>
    <row r="545">
      <c r="A545" s="26"/>
      <c r="B545" s="17" t="s">
        <v>1146</v>
      </c>
      <c r="C545" s="4" t="s">
        <v>15</v>
      </c>
      <c r="D545" s="27">
        <v>0.010949074074074075</v>
      </c>
      <c r="E545" s="26" t="str">
        <f t="shared" si="1"/>
        <v>AVD Workflow</v>
      </c>
      <c r="F545" s="28">
        <v>6.0</v>
      </c>
      <c r="G545" s="26"/>
      <c r="H545" s="29" t="s">
        <v>689</v>
      </c>
      <c r="I545" s="29" t="s">
        <v>689</v>
      </c>
      <c r="J545" s="29" t="s">
        <v>689</v>
      </c>
      <c r="K545" s="29" t="s">
        <v>689</v>
      </c>
      <c r="L545" s="29" t="s">
        <v>689</v>
      </c>
      <c r="M545" s="29" t="s">
        <v>689</v>
      </c>
      <c r="N545" s="29" t="s">
        <v>1035</v>
      </c>
    </row>
    <row r="546">
      <c r="A546" s="26"/>
      <c r="B546" s="17" t="s">
        <v>1147</v>
      </c>
      <c r="C546" s="4" t="s">
        <v>15</v>
      </c>
      <c r="D546" s="27">
        <v>0.01885416666666667</v>
      </c>
      <c r="E546" s="26" t="str">
        <f t="shared" si="1"/>
        <v>AVD Workflow</v>
      </c>
      <c r="F546" s="28">
        <v>6.0</v>
      </c>
      <c r="G546" s="26"/>
      <c r="H546" s="29" t="s">
        <v>689</v>
      </c>
      <c r="I546" s="29" t="s">
        <v>689</v>
      </c>
      <c r="J546" s="29" t="s">
        <v>689</v>
      </c>
      <c r="K546" s="29" t="s">
        <v>689</v>
      </c>
      <c r="L546" s="29" t="s">
        <v>689</v>
      </c>
      <c r="M546" s="29" t="s">
        <v>689</v>
      </c>
      <c r="N546" s="29" t="s">
        <v>1035</v>
      </c>
    </row>
    <row r="547">
      <c r="A547" s="26"/>
      <c r="B547" s="17" t="s">
        <v>1148</v>
      </c>
      <c r="C547" s="4" t="s">
        <v>15</v>
      </c>
      <c r="D547" s="27">
        <v>0.005405092592592592</v>
      </c>
      <c r="E547" s="26" t="str">
        <f t="shared" si="1"/>
        <v>Building and Deploying the L2LS Fabric with AVD Playbooks</v>
      </c>
      <c r="F547" s="28">
        <v>7.0</v>
      </c>
      <c r="G547" s="26"/>
      <c r="H547" s="29" t="s">
        <v>689</v>
      </c>
      <c r="I547" s="29" t="s">
        <v>689</v>
      </c>
      <c r="J547" s="29" t="s">
        <v>689</v>
      </c>
      <c r="K547" s="29" t="s">
        <v>689</v>
      </c>
      <c r="L547" s="29" t="s">
        <v>689</v>
      </c>
      <c r="M547" s="29" t="s">
        <v>689</v>
      </c>
      <c r="N547" s="29" t="s">
        <v>1046</v>
      </c>
    </row>
    <row r="548">
      <c r="A548" s="26"/>
      <c r="B548" s="17" t="s">
        <v>1149</v>
      </c>
      <c r="C548" s="4" t="s">
        <v>15</v>
      </c>
      <c r="D548" s="27">
        <v>0.00542824074074074</v>
      </c>
      <c r="E548" s="26" t="str">
        <f t="shared" si="1"/>
        <v>Building and Deploying the L2LS Fabric with AVD Playbooks</v>
      </c>
      <c r="F548" s="28">
        <v>5.0</v>
      </c>
      <c r="G548" s="26"/>
      <c r="H548" s="29" t="s">
        <v>689</v>
      </c>
      <c r="I548" s="29" t="s">
        <v>689</v>
      </c>
      <c r="J548" s="29" t="s">
        <v>689</v>
      </c>
      <c r="K548" s="29" t="s">
        <v>689</v>
      </c>
      <c r="L548" s="29" t="s">
        <v>689</v>
      </c>
      <c r="M548" s="29" t="s">
        <v>689</v>
      </c>
      <c r="N548" s="29" t="s">
        <v>1046</v>
      </c>
    </row>
    <row r="549">
      <c r="A549" s="26"/>
      <c r="B549" s="17" t="s">
        <v>1150</v>
      </c>
      <c r="C549" s="4" t="s">
        <v>15</v>
      </c>
      <c r="D549" s="27">
        <v>0.02771990740740741</v>
      </c>
      <c r="E549" s="26" t="str">
        <f t="shared" si="1"/>
        <v>Building and Deploying the L2LS Fabric with AVD Playbooks</v>
      </c>
      <c r="F549" s="28">
        <v>5.0</v>
      </c>
      <c r="G549" s="26"/>
      <c r="H549" s="29" t="s">
        <v>689</v>
      </c>
      <c r="I549" s="29" t="s">
        <v>689</v>
      </c>
      <c r="J549" s="29" t="s">
        <v>689</v>
      </c>
      <c r="K549" s="29" t="s">
        <v>689</v>
      </c>
      <c r="L549" s="29" t="s">
        <v>689</v>
      </c>
      <c r="M549" s="29" t="s">
        <v>689</v>
      </c>
      <c r="N549" s="29" t="s">
        <v>1046</v>
      </c>
    </row>
    <row r="550">
      <c r="A550" s="26"/>
      <c r="B550" s="17" t="s">
        <v>1151</v>
      </c>
      <c r="C550" s="4" t="s">
        <v>15</v>
      </c>
      <c r="D550" s="27">
        <v>0.01545138888888889</v>
      </c>
      <c r="E550" s="26" t="str">
        <f t="shared" si="1"/>
        <v>Building and Deploying the L2LS Fabric with AVD Playbooks</v>
      </c>
      <c r="F550" s="28">
        <v>6.0</v>
      </c>
      <c r="G550" s="26"/>
      <c r="H550" s="29" t="s">
        <v>689</v>
      </c>
      <c r="I550" s="29" t="s">
        <v>689</v>
      </c>
      <c r="J550" s="29" t="s">
        <v>689</v>
      </c>
      <c r="K550" s="29" t="s">
        <v>689</v>
      </c>
      <c r="L550" s="29" t="s">
        <v>689</v>
      </c>
      <c r="M550" s="29" t="s">
        <v>689</v>
      </c>
      <c r="N550" s="29" t="s">
        <v>1046</v>
      </c>
    </row>
    <row r="551">
      <c r="A551" s="26"/>
      <c r="B551" s="17" t="s">
        <v>1152</v>
      </c>
      <c r="C551" s="4" t="s">
        <v>15</v>
      </c>
      <c r="D551" s="27">
        <v>0.012233796296296296</v>
      </c>
      <c r="E551" s="26" t="str">
        <f t="shared" si="1"/>
        <v>Building and Deploying the L2LS Fabric with AVD Playbooks</v>
      </c>
      <c r="F551" s="28">
        <v>6.0</v>
      </c>
      <c r="G551" s="26"/>
      <c r="H551" s="29" t="s">
        <v>689</v>
      </c>
      <c r="I551" s="29" t="s">
        <v>689</v>
      </c>
      <c r="J551" s="29" t="s">
        <v>689</v>
      </c>
      <c r="K551" s="29" t="s">
        <v>689</v>
      </c>
      <c r="L551" s="29" t="s">
        <v>689</v>
      </c>
      <c r="M551" s="29" t="s">
        <v>689</v>
      </c>
      <c r="N551" s="29" t="s">
        <v>1046</v>
      </c>
    </row>
    <row r="552">
      <c r="A552" s="26"/>
      <c r="B552" s="17" t="s">
        <v>1153</v>
      </c>
      <c r="C552" s="4" t="s">
        <v>15</v>
      </c>
      <c r="D552" s="27">
        <v>0.013541666666666667</v>
      </c>
      <c r="E552" s="26" t="str">
        <f t="shared" si="1"/>
        <v>Building and Deploying the L2LS Fabric with AVD Playbooks</v>
      </c>
      <c r="F552" s="28">
        <v>6.0</v>
      </c>
      <c r="G552" s="26"/>
      <c r="H552" s="29" t="s">
        <v>689</v>
      </c>
      <c r="I552" s="29" t="s">
        <v>689</v>
      </c>
      <c r="J552" s="29" t="s">
        <v>689</v>
      </c>
      <c r="K552" s="29" t="s">
        <v>689</v>
      </c>
      <c r="L552" s="29" t="s">
        <v>689</v>
      </c>
      <c r="M552" s="29" t="s">
        <v>689</v>
      </c>
      <c r="N552" s="29" t="s">
        <v>1046</v>
      </c>
    </row>
    <row r="553">
      <c r="A553" s="26"/>
      <c r="B553" s="17" t="s">
        <v>1154</v>
      </c>
      <c r="C553" s="4" t="s">
        <v>15</v>
      </c>
      <c r="D553" s="27">
        <v>0.015324074074074073</v>
      </c>
      <c r="E553" s="26" t="str">
        <f t="shared" si="1"/>
        <v>Building and Deploying the L2LS Fabric with AVD Playbooks</v>
      </c>
      <c r="F553" s="28">
        <v>5.0</v>
      </c>
      <c r="G553" s="26"/>
      <c r="H553" s="29"/>
      <c r="I553" s="29"/>
      <c r="J553" s="29"/>
      <c r="K553" s="29"/>
      <c r="L553" s="29"/>
      <c r="M553" s="29"/>
      <c r="N553" s="29" t="s">
        <v>1046</v>
      </c>
    </row>
    <row r="554">
      <c r="A554" s="26"/>
      <c r="B554" s="17" t="s">
        <v>1155</v>
      </c>
      <c r="C554" s="4" t="s">
        <v>100</v>
      </c>
      <c r="D554" s="27">
        <v>0.013888888888888888</v>
      </c>
      <c r="E554" s="26" t="str">
        <f t="shared" si="1"/>
        <v>Building and Deploying the L2LS Fabric with AVD Playbooks</v>
      </c>
      <c r="F554" s="28">
        <v>6.0</v>
      </c>
      <c r="G554" s="26"/>
      <c r="H554" s="29"/>
      <c r="I554" s="29"/>
      <c r="J554" s="29"/>
      <c r="K554" s="29"/>
      <c r="L554" s="29"/>
      <c r="M554" s="29"/>
      <c r="N554" s="29" t="s">
        <v>1046</v>
      </c>
    </row>
    <row r="555">
      <c r="A555" s="26"/>
      <c r="B555" s="17" t="s">
        <v>1156</v>
      </c>
      <c r="C555" s="4" t="s">
        <v>15</v>
      </c>
      <c r="D555" s="27">
        <v>0.021608796296296296</v>
      </c>
      <c r="E555" s="26" t="str">
        <f t="shared" si="1"/>
        <v>Lab - Build L3LS EVPN-VXLAN with AVD</v>
      </c>
      <c r="F555" s="28">
        <v>6.0</v>
      </c>
      <c r="G555" s="26"/>
      <c r="H555" s="29"/>
      <c r="I555" s="29"/>
      <c r="J555" s="29"/>
      <c r="K555" s="29"/>
      <c r="L555" s="29"/>
      <c r="M555" s="29"/>
      <c r="N555" s="29" t="s">
        <v>1157</v>
      </c>
    </row>
    <row r="556">
      <c r="A556" s="26"/>
      <c r="B556" s="17" t="s">
        <v>1158</v>
      </c>
      <c r="C556" s="4" t="s">
        <v>15</v>
      </c>
      <c r="D556" s="27">
        <v>0.019837962962962963</v>
      </c>
      <c r="E556" s="26" t="str">
        <f t="shared" si="1"/>
        <v>Lab - Build L3LS EVPN-VXLAN with AVD</v>
      </c>
      <c r="F556" s="28">
        <v>6.0</v>
      </c>
      <c r="G556" s="26"/>
      <c r="H556" s="29"/>
      <c r="I556" s="29"/>
      <c r="J556" s="29"/>
      <c r="K556" s="29"/>
      <c r="L556" s="29"/>
      <c r="M556" s="29"/>
      <c r="N556" s="29" t="s">
        <v>1157</v>
      </c>
    </row>
    <row r="557">
      <c r="A557" s="26"/>
      <c r="B557" s="17" t="s">
        <v>1159</v>
      </c>
      <c r="C557" s="4" t="s">
        <v>15</v>
      </c>
      <c r="D557" s="27">
        <v>0.017106481481481483</v>
      </c>
      <c r="E557" s="26" t="str">
        <f t="shared" si="1"/>
        <v>Lab - Build L3LS EVPN-VXLAN with AVD</v>
      </c>
      <c r="F557" s="28">
        <v>6.0</v>
      </c>
      <c r="G557" s="26"/>
      <c r="H557" s="29"/>
      <c r="I557" s="29"/>
      <c r="J557" s="29"/>
      <c r="K557" s="29"/>
      <c r="L557" s="29"/>
      <c r="M557" s="29"/>
      <c r="N557" s="29" t="s">
        <v>1157</v>
      </c>
    </row>
    <row r="558">
      <c r="A558" s="26"/>
      <c r="B558" s="17" t="s">
        <v>1160</v>
      </c>
      <c r="C558" s="4" t="s">
        <v>15</v>
      </c>
      <c r="D558" s="27">
        <v>0.023541666666666666</v>
      </c>
      <c r="E558" s="26" t="str">
        <f t="shared" si="1"/>
        <v>Lab - Build L3LS EVPN-VXLAN with AVD</v>
      </c>
      <c r="F558" s="28">
        <v>6.0</v>
      </c>
      <c r="G558" s="26"/>
      <c r="H558" s="29"/>
      <c r="I558" s="29"/>
      <c r="J558" s="29"/>
      <c r="K558" s="29"/>
      <c r="L558" s="29"/>
      <c r="M558" s="29"/>
      <c r="N558" s="29" t="s">
        <v>1157</v>
      </c>
    </row>
    <row r="559">
      <c r="A559" s="26"/>
      <c r="B559" s="17" t="s">
        <v>1161</v>
      </c>
      <c r="C559" s="4" t="s">
        <v>15</v>
      </c>
      <c r="D559" s="27">
        <v>0.016840277777777777</v>
      </c>
      <c r="E559" s="26" t="str">
        <f t="shared" si="1"/>
        <v>Lab - Build L3LS EVPN-VXLAN with AVD</v>
      </c>
      <c r="F559" s="28">
        <v>6.0</v>
      </c>
      <c r="G559" s="26"/>
      <c r="H559" s="29"/>
      <c r="I559" s="29"/>
      <c r="J559" s="29"/>
      <c r="K559" s="29"/>
      <c r="L559" s="29"/>
      <c r="M559" s="29"/>
      <c r="N559" s="29" t="s">
        <v>1157</v>
      </c>
    </row>
    <row r="560">
      <c r="A560" s="26"/>
      <c r="B560" s="17" t="s">
        <v>1162</v>
      </c>
      <c r="C560" s="4" t="s">
        <v>15</v>
      </c>
      <c r="D560" s="27">
        <v>0.016493055555555556</v>
      </c>
      <c r="E560" s="26" t="str">
        <f t="shared" si="1"/>
        <v>Lab - Build L3LS EVPN-VXLAN with AVD</v>
      </c>
      <c r="F560" s="28">
        <v>5.0</v>
      </c>
      <c r="G560" s="26"/>
      <c r="H560" s="29"/>
      <c r="I560" s="29"/>
      <c r="J560" s="29"/>
      <c r="K560" s="29"/>
      <c r="L560" s="29"/>
      <c r="M560" s="29"/>
      <c r="N560" s="29" t="s">
        <v>1157</v>
      </c>
    </row>
    <row r="561">
      <c r="A561" s="26"/>
      <c r="B561" s="17" t="s">
        <v>1163</v>
      </c>
      <c r="C561" s="4" t="s">
        <v>100</v>
      </c>
      <c r="D561" s="27">
        <v>0.013888888888888888</v>
      </c>
      <c r="E561" s="26" t="str">
        <f t="shared" si="1"/>
        <v>Lab - Build L3LS EVPN-VXLAN with AVD</v>
      </c>
      <c r="F561" s="28">
        <v>5.0</v>
      </c>
      <c r="G561" s="26"/>
      <c r="H561" s="29"/>
      <c r="I561" s="29"/>
      <c r="J561" s="29"/>
      <c r="K561" s="29"/>
      <c r="L561" s="29"/>
      <c r="M561" s="29"/>
      <c r="N561" s="29" t="s">
        <v>1157</v>
      </c>
    </row>
    <row r="562">
      <c r="A562" s="26"/>
      <c r="B562" s="17" t="s">
        <v>1164</v>
      </c>
      <c r="C562" s="4" t="s">
        <v>15</v>
      </c>
      <c r="D562" s="27">
        <v>0.017222222222222222</v>
      </c>
      <c r="E562" s="26" t="str">
        <f t="shared" si="1"/>
        <v>Lab - Day 2 Operations with AVD</v>
      </c>
      <c r="F562" s="28">
        <v>6.0</v>
      </c>
      <c r="G562" s="26"/>
      <c r="H562" s="29" t="s">
        <v>689</v>
      </c>
      <c r="I562" s="29" t="s">
        <v>689</v>
      </c>
      <c r="J562" s="29" t="s">
        <v>689</v>
      </c>
      <c r="K562" s="29" t="s">
        <v>689</v>
      </c>
      <c r="L562" s="29" t="s">
        <v>689</v>
      </c>
      <c r="M562" s="29" t="s">
        <v>689</v>
      </c>
      <c r="N562" s="29" t="s">
        <v>1165</v>
      </c>
    </row>
    <row r="563">
      <c r="A563" s="26"/>
      <c r="B563" s="17" t="s">
        <v>1166</v>
      </c>
      <c r="C563" s="4" t="s">
        <v>15</v>
      </c>
      <c r="D563" s="27">
        <v>0.015439814814814814</v>
      </c>
      <c r="E563" s="26" t="str">
        <f t="shared" si="1"/>
        <v>Lab - Day 2 Operations with AVD</v>
      </c>
      <c r="F563" s="28">
        <v>7.0</v>
      </c>
      <c r="G563" s="26"/>
      <c r="H563" s="29" t="s">
        <v>689</v>
      </c>
      <c r="I563" s="29" t="s">
        <v>689</v>
      </c>
      <c r="J563" s="29" t="s">
        <v>689</v>
      </c>
      <c r="K563" s="29" t="s">
        <v>689</v>
      </c>
      <c r="L563" s="29" t="s">
        <v>689</v>
      </c>
      <c r="M563" s="29" t="s">
        <v>689</v>
      </c>
      <c r="N563" s="29" t="s">
        <v>1165</v>
      </c>
    </row>
    <row r="564">
      <c r="A564" s="26"/>
      <c r="B564" s="17" t="s">
        <v>1167</v>
      </c>
      <c r="C564" s="4" t="s">
        <v>15</v>
      </c>
      <c r="D564" s="27">
        <v>0.015636574074074074</v>
      </c>
      <c r="E564" s="26" t="str">
        <f t="shared" si="1"/>
        <v>Generating Configuration and Documentation with PyAVD</v>
      </c>
      <c r="F564" s="28">
        <v>6.0</v>
      </c>
      <c r="G564" s="26"/>
      <c r="H564" s="29" t="s">
        <v>689</v>
      </c>
      <c r="I564" s="29" t="s">
        <v>689</v>
      </c>
      <c r="J564" s="29" t="s">
        <v>689</v>
      </c>
      <c r="K564" s="29" t="s">
        <v>689</v>
      </c>
      <c r="L564" s="29" t="s">
        <v>689</v>
      </c>
      <c r="M564" s="29" t="s">
        <v>689</v>
      </c>
      <c r="N564" s="29" t="s">
        <v>1168</v>
      </c>
    </row>
    <row r="565">
      <c r="A565" s="26"/>
      <c r="B565" s="17" t="s">
        <v>1169</v>
      </c>
      <c r="C565" s="4" t="s">
        <v>15</v>
      </c>
      <c r="D565" s="27">
        <v>0.011909722222222223</v>
      </c>
      <c r="E565" s="26" t="str">
        <f t="shared" si="1"/>
        <v>What Is ANTA and Why Does It Matter</v>
      </c>
      <c r="F565" s="28">
        <v>7.0</v>
      </c>
      <c r="G565" s="26"/>
      <c r="H565" s="29" t="s">
        <v>689</v>
      </c>
      <c r="I565" s="29" t="s">
        <v>689</v>
      </c>
      <c r="J565" s="29" t="s">
        <v>689</v>
      </c>
      <c r="K565" s="29" t="s">
        <v>689</v>
      </c>
      <c r="L565" s="29" t="s">
        <v>689</v>
      </c>
      <c r="M565" s="29" t="s">
        <v>689</v>
      </c>
      <c r="N565" s="29" t="s">
        <v>1170</v>
      </c>
    </row>
    <row r="566">
      <c r="A566" s="26"/>
      <c r="B566" s="17" t="s">
        <v>1171</v>
      </c>
      <c r="C566" s="4" t="s">
        <v>15</v>
      </c>
      <c r="D566" s="27">
        <v>0.01369212962962963</v>
      </c>
      <c r="E566" s="26" t="str">
        <f t="shared" si="1"/>
        <v>What Is ANTA and Why Does It Matter</v>
      </c>
      <c r="F566" s="28">
        <v>6.0</v>
      </c>
      <c r="G566" s="26"/>
      <c r="H566" s="29" t="s">
        <v>689</v>
      </c>
      <c r="I566" s="29" t="s">
        <v>689</v>
      </c>
      <c r="J566" s="29" t="s">
        <v>689</v>
      </c>
      <c r="K566" s="29" t="s">
        <v>689</v>
      </c>
      <c r="L566" s="29" t="s">
        <v>689</v>
      </c>
      <c r="M566" s="29" t="s">
        <v>689</v>
      </c>
      <c r="N566" s="29" t="s">
        <v>1170</v>
      </c>
    </row>
    <row r="567">
      <c r="A567" s="26"/>
      <c r="B567" s="17" t="s">
        <v>1172</v>
      </c>
      <c r="C567" s="4" t="s">
        <v>15</v>
      </c>
      <c r="D567" s="27">
        <v>0.016226851851851853</v>
      </c>
      <c r="E567" s="26" t="str">
        <f t="shared" si="1"/>
        <v>Building ANTA Inventory Manually</v>
      </c>
      <c r="F567" s="28">
        <v>4.0</v>
      </c>
      <c r="G567" s="26"/>
      <c r="H567" s="29" t="s">
        <v>689</v>
      </c>
      <c r="I567" s="29" t="s">
        <v>689</v>
      </c>
      <c r="J567" s="29" t="s">
        <v>689</v>
      </c>
      <c r="K567" s="29" t="s">
        <v>689</v>
      </c>
      <c r="L567" s="29" t="s">
        <v>689</v>
      </c>
      <c r="M567" s="29" t="s">
        <v>689</v>
      </c>
      <c r="N567" s="29" t="s">
        <v>1173</v>
      </c>
    </row>
    <row r="568">
      <c r="A568" s="26"/>
      <c r="B568" s="17" t="s">
        <v>1174</v>
      </c>
      <c r="C568" s="4" t="s">
        <v>15</v>
      </c>
      <c r="D568" s="27">
        <v>0.017025462962962964</v>
      </c>
      <c r="E568" s="26" t="str">
        <f t="shared" si="1"/>
        <v>Building ANTA Inventory Manually</v>
      </c>
      <c r="F568" s="28">
        <v>4.0</v>
      </c>
      <c r="G568" s="26"/>
      <c r="H568" s="29" t="s">
        <v>689</v>
      </c>
      <c r="I568" s="29" t="s">
        <v>689</v>
      </c>
      <c r="J568" s="29" t="s">
        <v>689</v>
      </c>
      <c r="K568" s="29" t="s">
        <v>689</v>
      </c>
      <c r="L568" s="29" t="s">
        <v>689</v>
      </c>
      <c r="M568" s="29" t="s">
        <v>689</v>
      </c>
      <c r="N568" s="29" t="s">
        <v>1173</v>
      </c>
    </row>
    <row r="569">
      <c r="A569" s="26"/>
      <c r="B569" s="17" t="s">
        <v>1175</v>
      </c>
      <c r="C569" s="4" t="s">
        <v>15</v>
      </c>
      <c r="D569" s="27">
        <v>0.019664351851851853</v>
      </c>
      <c r="E569" s="26" t="str">
        <f t="shared" si="1"/>
        <v>Building ANTA Inventory Manually</v>
      </c>
      <c r="F569" s="28">
        <v>5.0</v>
      </c>
      <c r="G569" s="26"/>
      <c r="H569" s="29" t="s">
        <v>689</v>
      </c>
      <c r="I569" s="29" t="s">
        <v>689</v>
      </c>
      <c r="J569" s="29" t="s">
        <v>689</v>
      </c>
      <c r="K569" s="29" t="s">
        <v>689</v>
      </c>
      <c r="L569" s="29" t="s">
        <v>689</v>
      </c>
      <c r="M569" s="29" t="s">
        <v>689</v>
      </c>
      <c r="N569" s="29" t="s">
        <v>1173</v>
      </c>
    </row>
    <row r="570">
      <c r="A570" s="26"/>
      <c r="B570" s="17" t="s">
        <v>1176</v>
      </c>
      <c r="C570" s="4" t="s">
        <v>15</v>
      </c>
      <c r="D570" s="27">
        <v>0.011909722222222223</v>
      </c>
      <c r="E570" s="26" t="str">
        <f t="shared" si="1"/>
        <v>Building ANTA Inventory Manually</v>
      </c>
      <c r="F570" s="28">
        <v>7.0</v>
      </c>
      <c r="G570" s="26"/>
      <c r="H570" s="29" t="s">
        <v>689</v>
      </c>
      <c r="I570" s="29" t="s">
        <v>689</v>
      </c>
      <c r="J570" s="29" t="s">
        <v>689</v>
      </c>
      <c r="K570" s="29" t="s">
        <v>689</v>
      </c>
      <c r="L570" s="29" t="s">
        <v>689</v>
      </c>
      <c r="M570" s="29" t="s">
        <v>689</v>
      </c>
      <c r="N570" s="29" t="s">
        <v>1173</v>
      </c>
    </row>
    <row r="571">
      <c r="A571" s="26"/>
      <c r="B571" s="17" t="s">
        <v>1177</v>
      </c>
      <c r="C571" s="4" t="s">
        <v>15</v>
      </c>
      <c r="D571" s="27">
        <v>0.014155092592592592</v>
      </c>
      <c r="E571" s="26" t="str">
        <f t="shared" si="1"/>
        <v>Using Tags to Control Test Execution</v>
      </c>
      <c r="F571" s="28">
        <v>6.0</v>
      </c>
      <c r="G571" s="26"/>
      <c r="H571" s="29" t="s">
        <v>689</v>
      </c>
      <c r="I571" s="29" t="s">
        <v>689</v>
      </c>
      <c r="J571" s="29" t="s">
        <v>689</v>
      </c>
      <c r="K571" s="29" t="s">
        <v>689</v>
      </c>
      <c r="L571" s="29" t="s">
        <v>689</v>
      </c>
      <c r="M571" s="29" t="s">
        <v>689</v>
      </c>
      <c r="N571" s="29" t="s">
        <v>1178</v>
      </c>
    </row>
    <row r="572">
      <c r="A572" s="26"/>
      <c r="B572" s="17" t="s">
        <v>1179</v>
      </c>
      <c r="C572" s="4" t="s">
        <v>15</v>
      </c>
      <c r="D572" s="27">
        <v>0.013148148148148148</v>
      </c>
      <c r="E572" s="26" t="str">
        <f t="shared" si="1"/>
        <v>Using Tags to Control Test Execution</v>
      </c>
      <c r="F572" s="28">
        <v>6.0</v>
      </c>
      <c r="G572" s="26"/>
      <c r="H572" s="29" t="s">
        <v>689</v>
      </c>
      <c r="I572" s="29" t="s">
        <v>689</v>
      </c>
      <c r="J572" s="29" t="s">
        <v>689</v>
      </c>
      <c r="K572" s="29" t="s">
        <v>689</v>
      </c>
      <c r="L572" s="29" t="s">
        <v>689</v>
      </c>
      <c r="M572" s="29" t="s">
        <v>689</v>
      </c>
      <c r="N572" s="29" t="s">
        <v>1178</v>
      </c>
    </row>
    <row r="573">
      <c r="A573" s="26"/>
      <c r="B573" s="17" t="s">
        <v>1180</v>
      </c>
      <c r="C573" s="4" t="s">
        <v>100</v>
      </c>
      <c r="D573" s="27">
        <v>0.013888888888888888</v>
      </c>
      <c r="E573" s="26" t="str">
        <f t="shared" si="1"/>
        <v>Using Tags to Control Test Execution</v>
      </c>
      <c r="F573" s="28">
        <v>7.0</v>
      </c>
      <c r="G573" s="26"/>
      <c r="H573" s="29"/>
      <c r="I573" s="29"/>
      <c r="J573" s="29"/>
      <c r="K573" s="29"/>
      <c r="L573" s="29"/>
      <c r="M573" s="29"/>
      <c r="N573" s="29" t="s">
        <v>1178</v>
      </c>
    </row>
    <row r="574">
      <c r="A574" s="26"/>
      <c r="B574" s="17" t="s">
        <v>1181</v>
      </c>
      <c r="C574" s="4" t="s">
        <v>15</v>
      </c>
      <c r="D574" s="27">
        <v>0.00869212962962963</v>
      </c>
      <c r="E574" s="26" t="str">
        <f t="shared" si="1"/>
        <v>Lab - Arista Network Test Validation (ANTA)</v>
      </c>
      <c r="F574" s="28">
        <v>6.0</v>
      </c>
      <c r="G574" s="26" t="s">
        <v>1182</v>
      </c>
      <c r="H574" s="29" t="s">
        <v>199</v>
      </c>
      <c r="I574" s="29">
        <v>2025.1</v>
      </c>
      <c r="J574" s="29" t="s">
        <v>101</v>
      </c>
      <c r="K574" s="29" t="s">
        <v>18</v>
      </c>
      <c r="L574" s="29"/>
      <c r="M574" s="29"/>
      <c r="N574" s="29" t="s">
        <v>674</v>
      </c>
    </row>
    <row r="575">
      <c r="A575" s="26"/>
      <c r="B575" s="17" t="s">
        <v>1183</v>
      </c>
      <c r="C575" s="4" t="s">
        <v>15</v>
      </c>
      <c r="D575" s="27">
        <v>0.007476851851851852</v>
      </c>
      <c r="E575" s="26" t="str">
        <f t="shared" si="1"/>
        <v>Configuriing L2LS Campus with External Gateway using CVP Studios</v>
      </c>
      <c r="F575" s="28">
        <v>6.0</v>
      </c>
      <c r="G575" s="26" t="s">
        <v>1184</v>
      </c>
      <c r="H575" s="29" t="s">
        <v>730</v>
      </c>
      <c r="I575" s="29">
        <v>2025.1</v>
      </c>
      <c r="J575" s="29" t="s">
        <v>101</v>
      </c>
      <c r="K575" s="29" t="s">
        <v>18</v>
      </c>
      <c r="L575" s="29" t="s">
        <v>254</v>
      </c>
      <c r="M575" s="29"/>
      <c r="N575" s="29" t="s">
        <v>731</v>
      </c>
    </row>
    <row r="576">
      <c r="A576" s="26"/>
      <c r="B576" s="17" t="s">
        <v>1185</v>
      </c>
      <c r="C576" s="4" t="s">
        <v>100</v>
      </c>
      <c r="D576" s="27">
        <v>0.013888888888888888</v>
      </c>
      <c r="E576" s="26" t="str">
        <f t="shared" si="1"/>
        <v>Connecting New Host to L2LS Campus</v>
      </c>
      <c r="F576" s="28">
        <v>6.0</v>
      </c>
      <c r="G576" s="26"/>
      <c r="H576" s="29"/>
      <c r="I576" s="29"/>
      <c r="J576" s="29"/>
      <c r="K576" s="29"/>
      <c r="L576" s="29"/>
      <c r="M576" s="29"/>
      <c r="N576" s="29" t="s">
        <v>1186</v>
      </c>
    </row>
    <row r="577">
      <c r="A577" s="26"/>
      <c r="B577" s="17" t="s">
        <v>1187</v>
      </c>
      <c r="C577" s="4" t="s">
        <v>15</v>
      </c>
      <c r="D577" s="27">
        <v>0.014212962962962964</v>
      </c>
      <c r="E577" s="26" t="str">
        <f t="shared" si="1"/>
        <v>Lab - Day 2 Operations with L2LS Campus Studios</v>
      </c>
      <c r="F577" s="28">
        <v>6.0</v>
      </c>
      <c r="G577" s="26" t="s">
        <v>1188</v>
      </c>
      <c r="H577" s="29" t="s">
        <v>689</v>
      </c>
      <c r="I577" s="29" t="s">
        <v>689</v>
      </c>
      <c r="J577" s="29" t="s">
        <v>689</v>
      </c>
      <c r="K577" s="29" t="s">
        <v>689</v>
      </c>
      <c r="L577" s="29" t="s">
        <v>689</v>
      </c>
      <c r="M577" s="29" t="s">
        <v>689</v>
      </c>
      <c r="N577" s="29" t="s">
        <v>1189</v>
      </c>
    </row>
    <row r="578">
      <c r="A578" s="26"/>
      <c r="B578" s="17" t="s">
        <v>1190</v>
      </c>
      <c r="C578" s="4" t="s">
        <v>15</v>
      </c>
      <c r="D578" s="27">
        <v>0.007094907407407407</v>
      </c>
      <c r="E578" s="26" t="str">
        <f t="shared" si="1"/>
        <v>Configuring L3LS Campus with CVP Studios</v>
      </c>
      <c r="F578" s="28">
        <v>7.0</v>
      </c>
      <c r="G578" s="26" t="s">
        <v>1191</v>
      </c>
      <c r="H578" s="29" t="s">
        <v>730</v>
      </c>
      <c r="I578" s="29">
        <v>2025.1</v>
      </c>
      <c r="J578" s="29" t="s">
        <v>101</v>
      </c>
      <c r="K578" s="29" t="s">
        <v>18</v>
      </c>
      <c r="L578" s="29" t="s">
        <v>254</v>
      </c>
      <c r="M578" s="29"/>
      <c r="N578" s="29" t="s">
        <v>749</v>
      </c>
    </row>
    <row r="579">
      <c r="A579" s="26"/>
      <c r="B579" s="17" t="s">
        <v>1192</v>
      </c>
      <c r="C579" s="4" t="s">
        <v>100</v>
      </c>
      <c r="D579" s="27">
        <v>0.013888888888888888</v>
      </c>
      <c r="E579" s="26" t="str">
        <f t="shared" si="1"/>
        <v>Adding New Spines to L3LS Campus</v>
      </c>
      <c r="F579" s="28">
        <v>7.0</v>
      </c>
      <c r="G579" s="26"/>
      <c r="H579" s="29"/>
      <c r="I579" s="29"/>
      <c r="J579" s="29"/>
      <c r="K579" s="29"/>
      <c r="L579" s="29"/>
      <c r="M579" s="29"/>
      <c r="N579" s="29" t="s">
        <v>1189</v>
      </c>
    </row>
    <row r="580">
      <c r="A580" s="26"/>
      <c r="B580" s="17" t="s">
        <v>1193</v>
      </c>
      <c r="C580" s="4" t="s">
        <v>100</v>
      </c>
      <c r="D580" s="27">
        <v>0.013888888888888888</v>
      </c>
      <c r="E580" s="26" t="str">
        <f t="shared" si="1"/>
        <v>Adding New Spines to L3LS Campus</v>
      </c>
      <c r="F580" s="28">
        <v>8.0</v>
      </c>
      <c r="G580" s="26"/>
      <c r="H580" s="29"/>
      <c r="I580" s="29"/>
      <c r="J580" s="29"/>
      <c r="K580" s="29"/>
      <c r="L580" s="29"/>
      <c r="M580" s="29"/>
      <c r="N580" s="29" t="s">
        <v>1189</v>
      </c>
    </row>
    <row r="581">
      <c r="A581" s="26"/>
      <c r="B581" s="17" t="s">
        <v>1194</v>
      </c>
      <c r="C581" s="4" t="s">
        <v>15</v>
      </c>
      <c r="D581" s="27">
        <v>0.005092592592592593</v>
      </c>
      <c r="E581" s="26" t="str">
        <f t="shared" si="1"/>
        <v>Lab - Day 2 Operations with L3LS Campus Studios</v>
      </c>
      <c r="F581" s="28">
        <v>6.0</v>
      </c>
      <c r="G581" s="26"/>
      <c r="H581" s="29" t="s">
        <v>1066</v>
      </c>
      <c r="I581" s="29">
        <v>2025.1</v>
      </c>
      <c r="J581" s="29"/>
      <c r="K581" s="29"/>
      <c r="L581" s="29"/>
      <c r="M581" s="29"/>
      <c r="N581" s="29" t="s">
        <v>1195</v>
      </c>
    </row>
    <row r="582">
      <c r="A582" s="26"/>
      <c r="B582" s="17" t="s">
        <v>1196</v>
      </c>
      <c r="C582" s="4" t="s">
        <v>15</v>
      </c>
      <c r="D582" s="27">
        <v>0.006284722222222222</v>
      </c>
      <c r="E582" s="26" t="str">
        <f t="shared" si="1"/>
        <v>Lab - Day 2 Operations with L3LS Campus Studios</v>
      </c>
      <c r="F582" s="28">
        <v>7.0</v>
      </c>
      <c r="G582" s="26"/>
      <c r="H582" s="29" t="s">
        <v>1066</v>
      </c>
      <c r="I582" s="29">
        <v>2025.1</v>
      </c>
      <c r="J582" s="29"/>
      <c r="K582" s="29"/>
      <c r="L582" s="29"/>
      <c r="M582" s="29"/>
      <c r="N582" s="29" t="s">
        <v>1195</v>
      </c>
    </row>
    <row r="583">
      <c r="A583" s="26"/>
      <c r="B583" s="17" t="s">
        <v>1197</v>
      </c>
      <c r="C583" s="4" t="s">
        <v>15</v>
      </c>
      <c r="D583" s="27">
        <v>0.006666666666666667</v>
      </c>
      <c r="E583" s="26" t="str">
        <f t="shared" si="1"/>
        <v>Lab - Day 2 Operations with L3LS Campus Studios</v>
      </c>
      <c r="F583" s="28">
        <v>7.0</v>
      </c>
      <c r="G583" s="26"/>
      <c r="H583" s="29" t="s">
        <v>1066</v>
      </c>
      <c r="I583" s="29">
        <v>2025.1</v>
      </c>
      <c r="J583" s="29"/>
      <c r="K583" s="29"/>
      <c r="L583" s="29"/>
      <c r="M583" s="29"/>
      <c r="N583" s="29" t="s">
        <v>1195</v>
      </c>
    </row>
    <row r="584">
      <c r="A584" s="26"/>
      <c r="B584" s="17" t="s">
        <v>1198</v>
      </c>
      <c r="C584" s="4" t="s">
        <v>15</v>
      </c>
      <c r="D584" s="27">
        <v>0.021770833333333333</v>
      </c>
      <c r="E584" s="26" t="str">
        <f t="shared" si="1"/>
        <v>Lab - Day 2 Operations with L3LS Campus Studios</v>
      </c>
      <c r="F584" s="28">
        <v>8.0</v>
      </c>
      <c r="G584" s="26"/>
      <c r="H584" s="29" t="s">
        <v>1066</v>
      </c>
      <c r="I584" s="29">
        <v>2025.1</v>
      </c>
      <c r="J584" s="29"/>
      <c r="K584" s="29"/>
      <c r="L584" s="29"/>
      <c r="M584" s="29"/>
      <c r="N584" s="29" t="s">
        <v>1195</v>
      </c>
    </row>
    <row r="585">
      <c r="A585" s="26"/>
      <c r="B585" s="17" t="s">
        <v>1199</v>
      </c>
      <c r="C585" s="4" t="s">
        <v>15</v>
      </c>
      <c r="D585" s="27">
        <v>0.016550925925925927</v>
      </c>
      <c r="E585" s="26" t="str">
        <f t="shared" si="1"/>
        <v>Lab - Day 2 Operations with L3LS Campus Studios</v>
      </c>
      <c r="F585" s="28">
        <v>5.0</v>
      </c>
      <c r="G585" s="26"/>
      <c r="H585" s="29" t="s">
        <v>1066</v>
      </c>
      <c r="I585" s="29">
        <v>2025.1</v>
      </c>
      <c r="J585" s="29"/>
      <c r="K585" s="29"/>
      <c r="L585" s="29"/>
      <c r="M585" s="29"/>
      <c r="N585" s="29" t="s">
        <v>1195</v>
      </c>
    </row>
    <row r="586">
      <c r="A586" s="26"/>
      <c r="B586" s="17" t="s">
        <v>1200</v>
      </c>
      <c r="C586" s="4" t="s">
        <v>15</v>
      </c>
      <c r="D586" s="27">
        <v>0.01607638888888889</v>
      </c>
      <c r="E586" s="26" t="str">
        <f t="shared" si="1"/>
        <v>Lab - Day 2 Operations with L3LS Campus Studios</v>
      </c>
      <c r="F586" s="28">
        <v>7.0</v>
      </c>
      <c r="G586" s="26"/>
      <c r="H586" s="29" t="s">
        <v>1066</v>
      </c>
      <c r="I586" s="29">
        <v>2025.1</v>
      </c>
      <c r="J586" s="29"/>
      <c r="K586" s="29"/>
      <c r="L586" s="29"/>
      <c r="M586" s="29"/>
      <c r="N586" s="29" t="s">
        <v>1195</v>
      </c>
    </row>
    <row r="587">
      <c r="A587" s="26"/>
      <c r="B587" s="17" t="s">
        <v>1201</v>
      </c>
      <c r="C587" s="4" t="s">
        <v>100</v>
      </c>
      <c r="D587" s="27">
        <v>0.013888888888888888</v>
      </c>
      <c r="E587" s="26" t="str">
        <f t="shared" si="1"/>
        <v>Lab - Day 2 Operations with L3LS Campus Studios</v>
      </c>
      <c r="F587" s="28">
        <v>5.0</v>
      </c>
      <c r="G587" s="26"/>
      <c r="H587" s="29" t="s">
        <v>689</v>
      </c>
      <c r="I587" s="29" t="s">
        <v>689</v>
      </c>
      <c r="J587" s="29" t="s">
        <v>689</v>
      </c>
      <c r="K587" s="29" t="s">
        <v>689</v>
      </c>
      <c r="L587" s="29" t="s">
        <v>689</v>
      </c>
      <c r="M587" s="29" t="s">
        <v>689</v>
      </c>
      <c r="N587" s="29" t="s">
        <v>1195</v>
      </c>
    </row>
    <row r="588">
      <c r="A588" s="26"/>
      <c r="B588" s="17" t="s">
        <v>1202</v>
      </c>
      <c r="C588" s="4" t="s">
        <v>100</v>
      </c>
      <c r="D588" s="27">
        <v>0.013888888888888888</v>
      </c>
      <c r="E588" s="26" t="str">
        <f t="shared" si="1"/>
        <v>Lab - Day 2 Operations with L3LS Campus Studios</v>
      </c>
      <c r="F588" s="28">
        <v>7.0</v>
      </c>
      <c r="G588" s="26"/>
      <c r="H588" s="29"/>
      <c r="I588" s="29"/>
      <c r="J588" s="29"/>
      <c r="K588" s="29"/>
      <c r="L588" s="29"/>
      <c r="M588" s="29"/>
      <c r="N588" s="29" t="s">
        <v>1195</v>
      </c>
    </row>
    <row r="589">
      <c r="A589" s="34"/>
      <c r="B589" s="35" t="s">
        <v>1203</v>
      </c>
      <c r="C589" s="4" t="s">
        <v>15</v>
      </c>
      <c r="D589" s="25">
        <v>0.012453703703703703</v>
      </c>
      <c r="E589" s="34" t="str">
        <f t="shared" si="1"/>
        <v>Lab - Day 2 Operations with L3LS DC Studios</v>
      </c>
      <c r="F589" s="36">
        <v>7.0</v>
      </c>
      <c r="G589" s="34" t="s">
        <v>1204</v>
      </c>
      <c r="H589" s="37" t="s">
        <v>199</v>
      </c>
      <c r="I589" s="37" t="s">
        <v>18</v>
      </c>
      <c r="J589" s="37" t="s">
        <v>101</v>
      </c>
      <c r="K589" s="37"/>
      <c r="L589" s="37" t="s">
        <v>19</v>
      </c>
      <c r="M589" s="37"/>
      <c r="N589" s="37" t="s">
        <v>1205</v>
      </c>
    </row>
    <row r="590">
      <c r="A590" s="34"/>
      <c r="B590" s="35" t="s">
        <v>1206</v>
      </c>
      <c r="C590" s="4" t="s">
        <v>15</v>
      </c>
      <c r="D590" s="25">
        <v>0.006736111111111111</v>
      </c>
      <c r="E590" s="34" t="str">
        <f t="shared" si="1"/>
        <v>Lab - Day 2 Operations with L3LS DC Studios</v>
      </c>
      <c r="F590" s="36">
        <v>7.0</v>
      </c>
      <c r="G590" s="34" t="s">
        <v>1207</v>
      </c>
      <c r="H590" s="37" t="s">
        <v>199</v>
      </c>
      <c r="I590" s="37" t="s">
        <v>18</v>
      </c>
      <c r="J590" s="37" t="s">
        <v>101</v>
      </c>
      <c r="K590" s="37"/>
      <c r="L590" s="37" t="s">
        <v>19</v>
      </c>
      <c r="M590" s="37"/>
      <c r="N590" s="37" t="s">
        <v>1205</v>
      </c>
    </row>
    <row r="591">
      <c r="A591" s="34"/>
      <c r="B591" s="35" t="s">
        <v>1208</v>
      </c>
      <c r="C591" s="4" t="s">
        <v>15</v>
      </c>
      <c r="D591" s="25">
        <v>0.014849537037037038</v>
      </c>
      <c r="E591" s="34" t="str">
        <f t="shared" si="1"/>
        <v>Lab - Day 2 Operations with L3LS DC Studios</v>
      </c>
      <c r="F591" s="36">
        <v>8.0</v>
      </c>
      <c r="G591" s="34" t="s">
        <v>1209</v>
      </c>
      <c r="H591" s="37" t="s">
        <v>199</v>
      </c>
      <c r="I591" s="37" t="s">
        <v>18</v>
      </c>
      <c r="J591" s="37" t="s">
        <v>101</v>
      </c>
      <c r="K591" s="37"/>
      <c r="L591" s="37" t="s">
        <v>19</v>
      </c>
      <c r="M591" s="37"/>
      <c r="N591" s="37" t="s">
        <v>1205</v>
      </c>
    </row>
    <row r="592">
      <c r="A592" s="34"/>
      <c r="B592" s="35" t="s">
        <v>1210</v>
      </c>
      <c r="C592" s="4" t="s">
        <v>15</v>
      </c>
      <c r="D592" s="25">
        <v>0.009722222222222222</v>
      </c>
      <c r="E592" s="34" t="str">
        <f t="shared" si="1"/>
        <v>Lab - Day 2 Operations with L3LS DC Studios</v>
      </c>
      <c r="F592" s="36">
        <v>8.0</v>
      </c>
      <c r="G592" s="34" t="s">
        <v>1211</v>
      </c>
      <c r="H592" s="37" t="s">
        <v>199</v>
      </c>
      <c r="I592" s="37" t="s">
        <v>18</v>
      </c>
      <c r="J592" s="37" t="s">
        <v>101</v>
      </c>
      <c r="K592" s="37"/>
      <c r="L592" s="37" t="s">
        <v>19</v>
      </c>
      <c r="M592" s="37"/>
      <c r="N592" s="37" t="s">
        <v>1205</v>
      </c>
    </row>
    <row r="593">
      <c r="A593" s="34"/>
      <c r="B593" s="35" t="s">
        <v>1212</v>
      </c>
      <c r="C593" s="4" t="s">
        <v>15</v>
      </c>
      <c r="D593" s="25">
        <v>0.014004629629629629</v>
      </c>
      <c r="E593" s="34" t="str">
        <f t="shared" si="1"/>
        <v>Lab - Day 2 Operations with L3LS DC Studios</v>
      </c>
      <c r="F593" s="36">
        <v>8.0</v>
      </c>
      <c r="G593" s="34" t="s">
        <v>1213</v>
      </c>
      <c r="H593" s="37" t="s">
        <v>199</v>
      </c>
      <c r="I593" s="37" t="s">
        <v>18</v>
      </c>
      <c r="J593" s="37" t="s">
        <v>101</v>
      </c>
      <c r="K593" s="37"/>
      <c r="L593" s="37" t="s">
        <v>19</v>
      </c>
      <c r="M593" s="37"/>
      <c r="N593" s="37" t="s">
        <v>1205</v>
      </c>
    </row>
    <row r="594">
      <c r="A594" s="34"/>
      <c r="B594" s="35" t="s">
        <v>1214</v>
      </c>
      <c r="C594" s="4" t="s">
        <v>15</v>
      </c>
      <c r="D594" s="25">
        <v>0.010601851851851852</v>
      </c>
      <c r="E594" s="34" t="str">
        <f t="shared" si="1"/>
        <v>Lab - Day 2 Operations with L3LS DC Studios</v>
      </c>
      <c r="F594" s="36">
        <v>8.0</v>
      </c>
      <c r="G594" s="34" t="s">
        <v>1215</v>
      </c>
      <c r="H594" s="37" t="s">
        <v>199</v>
      </c>
      <c r="I594" s="37" t="s">
        <v>18</v>
      </c>
      <c r="J594" s="37" t="s">
        <v>101</v>
      </c>
      <c r="K594" s="37"/>
      <c r="L594" s="37" t="s">
        <v>19</v>
      </c>
      <c r="M594" s="37"/>
      <c r="N594" s="37" t="s">
        <v>1205</v>
      </c>
    </row>
    <row r="595">
      <c r="A595" s="34"/>
      <c r="B595" s="35" t="s">
        <v>1216</v>
      </c>
      <c r="C595" s="4" t="s">
        <v>15</v>
      </c>
      <c r="D595" s="25">
        <v>0.01579861111111111</v>
      </c>
      <c r="E595" s="34" t="str">
        <f t="shared" si="1"/>
        <v>Lab - Day 2 Operations with L3LS DC Studios</v>
      </c>
      <c r="F595" s="36">
        <v>8.0</v>
      </c>
      <c r="G595" s="34" t="s">
        <v>1217</v>
      </c>
      <c r="H595" s="37" t="s">
        <v>199</v>
      </c>
      <c r="I595" s="37" t="s">
        <v>18</v>
      </c>
      <c r="J595" s="37" t="s">
        <v>101</v>
      </c>
      <c r="K595" s="37"/>
      <c r="L595" s="37" t="s">
        <v>19</v>
      </c>
      <c r="M595" s="37"/>
      <c r="N595" s="37" t="s">
        <v>1205</v>
      </c>
    </row>
    <row r="596">
      <c r="A596" s="34"/>
      <c r="B596" s="35" t="s">
        <v>1218</v>
      </c>
      <c r="C596" s="4" t="s">
        <v>15</v>
      </c>
      <c r="D596" s="25">
        <v>0.015150462962962963</v>
      </c>
      <c r="E596" s="34" t="str">
        <f t="shared" si="1"/>
        <v>Lab - Day 2 Operations with L3LS DC Studios</v>
      </c>
      <c r="F596" s="36">
        <v>8.0</v>
      </c>
      <c r="G596" s="34" t="s">
        <v>1219</v>
      </c>
      <c r="H596" s="37" t="s">
        <v>199</v>
      </c>
      <c r="I596" s="37" t="s">
        <v>18</v>
      </c>
      <c r="J596" s="37" t="s">
        <v>101</v>
      </c>
      <c r="K596" s="37"/>
      <c r="L596" s="37" t="s">
        <v>19</v>
      </c>
      <c r="M596" s="37"/>
      <c r="N596" s="37" t="s">
        <v>1205</v>
      </c>
    </row>
    <row r="597">
      <c r="A597" s="34"/>
      <c r="B597" s="35" t="s">
        <v>1220</v>
      </c>
      <c r="C597" s="4" t="s">
        <v>15</v>
      </c>
      <c r="D597" s="25">
        <v>0.007476851851851852</v>
      </c>
      <c r="E597" s="34" t="str">
        <f t="shared" si="1"/>
        <v>Lab - Day 2 Operations with L3LS DC Studios</v>
      </c>
      <c r="F597" s="36">
        <v>8.0</v>
      </c>
      <c r="G597" s="34" t="s">
        <v>1221</v>
      </c>
      <c r="H597" s="37" t="s">
        <v>199</v>
      </c>
      <c r="I597" s="37" t="s">
        <v>18</v>
      </c>
      <c r="J597" s="37" t="s">
        <v>101</v>
      </c>
      <c r="K597" s="37"/>
      <c r="L597" s="37" t="s">
        <v>19</v>
      </c>
      <c r="M597" s="37"/>
      <c r="N597" s="37" t="s">
        <v>1205</v>
      </c>
    </row>
    <row r="598">
      <c r="A598" s="34"/>
      <c r="B598" s="35" t="s">
        <v>1222</v>
      </c>
      <c r="C598" s="4" t="s">
        <v>15</v>
      </c>
      <c r="D598" s="25">
        <v>0.013298611111111112</v>
      </c>
      <c r="E598" s="34" t="str">
        <f t="shared" si="1"/>
        <v>MPLS Services vs Applications vs Transport</v>
      </c>
      <c r="F598" s="36">
        <v>7.0</v>
      </c>
      <c r="G598" s="34" t="s">
        <v>1223</v>
      </c>
      <c r="H598" s="37" t="s">
        <v>199</v>
      </c>
      <c r="I598" s="37" t="s">
        <v>18</v>
      </c>
      <c r="J598" s="37" t="s">
        <v>101</v>
      </c>
      <c r="K598" s="37"/>
      <c r="L598" s="37" t="s">
        <v>19</v>
      </c>
      <c r="M598" s="37"/>
      <c r="N598" s="37" t="s">
        <v>1224</v>
      </c>
    </row>
    <row r="599">
      <c r="A599" s="34"/>
      <c r="B599" s="35" t="s">
        <v>1225</v>
      </c>
      <c r="C599" s="4" t="s">
        <v>15</v>
      </c>
      <c r="D599" s="25">
        <v>0.013113425925925926</v>
      </c>
      <c r="E599" s="34" t="str">
        <f t="shared" si="1"/>
        <v>MPLS Services vs Applications vs Transport</v>
      </c>
      <c r="F599" s="36">
        <v>7.0</v>
      </c>
      <c r="G599" s="34" t="s">
        <v>1226</v>
      </c>
      <c r="H599" s="37" t="s">
        <v>199</v>
      </c>
      <c r="I599" s="37" t="s">
        <v>18</v>
      </c>
      <c r="J599" s="37" t="s">
        <v>101</v>
      </c>
      <c r="K599" s="37"/>
      <c r="L599" s="37" t="s">
        <v>19</v>
      </c>
      <c r="M599" s="37"/>
      <c r="N599" s="37" t="s">
        <v>1224</v>
      </c>
    </row>
    <row r="600">
      <c r="A600" s="34"/>
      <c r="B600" s="35" t="s">
        <v>1227</v>
      </c>
      <c r="C600" s="4" t="s">
        <v>15</v>
      </c>
      <c r="D600" s="25">
        <v>0.014918981481481481</v>
      </c>
      <c r="E600" s="34" t="str">
        <f t="shared" si="1"/>
        <v>MPLS Services vs Applications vs Transport</v>
      </c>
      <c r="F600" s="36">
        <v>7.0</v>
      </c>
      <c r="G600" s="34" t="s">
        <v>1228</v>
      </c>
      <c r="H600" s="37" t="s">
        <v>199</v>
      </c>
      <c r="I600" s="37" t="s">
        <v>18</v>
      </c>
      <c r="J600" s="37" t="s">
        <v>101</v>
      </c>
      <c r="K600" s="37"/>
      <c r="L600" s="37" t="s">
        <v>19</v>
      </c>
      <c r="M600" s="37"/>
      <c r="N600" s="37" t="s">
        <v>1224</v>
      </c>
    </row>
    <row r="601">
      <c r="A601" s="34"/>
      <c r="B601" s="35" t="s">
        <v>1229</v>
      </c>
      <c r="C601" s="4" t="s">
        <v>15</v>
      </c>
      <c r="D601" s="25">
        <v>0.014108796296296296</v>
      </c>
      <c r="E601" s="34" t="str">
        <f t="shared" si="1"/>
        <v>IGP vs LDP Convergence</v>
      </c>
      <c r="F601" s="36">
        <v>8.0</v>
      </c>
      <c r="G601" s="34" t="s">
        <v>1230</v>
      </c>
      <c r="H601" s="37" t="s">
        <v>199</v>
      </c>
      <c r="I601" s="37" t="s">
        <v>18</v>
      </c>
      <c r="J601" s="37" t="s">
        <v>101</v>
      </c>
      <c r="K601" s="37"/>
      <c r="L601" s="37" t="s">
        <v>19</v>
      </c>
      <c r="M601" s="37"/>
      <c r="N601" s="37" t="s">
        <v>1231</v>
      </c>
    </row>
    <row r="602">
      <c r="A602" s="34"/>
      <c r="B602" s="35" t="s">
        <v>1232</v>
      </c>
      <c r="C602" s="4" t="s">
        <v>15</v>
      </c>
      <c r="D602" s="25">
        <v>0.018564814814814815</v>
      </c>
      <c r="E602" s="34" t="str">
        <f t="shared" si="1"/>
        <v>IGP vs LDP Convergence</v>
      </c>
      <c r="F602" s="36">
        <v>8.0</v>
      </c>
      <c r="G602" s="34" t="s">
        <v>1233</v>
      </c>
      <c r="H602" s="37" t="s">
        <v>199</v>
      </c>
      <c r="I602" s="37" t="s">
        <v>18</v>
      </c>
      <c r="J602" s="37" t="s">
        <v>101</v>
      </c>
      <c r="K602" s="37"/>
      <c r="L602" s="37" t="s">
        <v>19</v>
      </c>
      <c r="M602" s="37"/>
      <c r="N602" s="37" t="s">
        <v>1231</v>
      </c>
    </row>
    <row r="603">
      <c r="A603" s="34"/>
      <c r="B603" s="35" t="s">
        <v>1234</v>
      </c>
      <c r="C603" s="4" t="s">
        <v>15</v>
      </c>
      <c r="D603" s="25">
        <v>0.012777777777777779</v>
      </c>
      <c r="E603" s="34" t="str">
        <f t="shared" si="1"/>
        <v>IGP vs LDP Convergence</v>
      </c>
      <c r="F603" s="36">
        <v>8.0</v>
      </c>
      <c r="G603" s="34" t="s">
        <v>1235</v>
      </c>
      <c r="H603" s="37" t="s">
        <v>199</v>
      </c>
      <c r="I603" s="37" t="s">
        <v>18</v>
      </c>
      <c r="J603" s="37" t="s">
        <v>101</v>
      </c>
      <c r="K603" s="37"/>
      <c r="L603" s="37" t="s">
        <v>19</v>
      </c>
      <c r="M603" s="37"/>
      <c r="N603" s="37" t="s">
        <v>1231</v>
      </c>
    </row>
    <row r="604">
      <c r="A604" s="34"/>
      <c r="B604" s="35" t="s">
        <v>1236</v>
      </c>
      <c r="C604" s="4" t="s">
        <v>15</v>
      </c>
      <c r="D604" s="25">
        <v>0.007951388888888888</v>
      </c>
      <c r="E604" s="34" t="str">
        <f t="shared" si="1"/>
        <v>Benefits of MPLS</v>
      </c>
      <c r="F604" s="36">
        <v>8.0</v>
      </c>
      <c r="G604" s="34" t="s">
        <v>1237</v>
      </c>
      <c r="H604" s="37" t="s">
        <v>199</v>
      </c>
      <c r="I604" s="37" t="s">
        <v>18</v>
      </c>
      <c r="J604" s="37" t="s">
        <v>101</v>
      </c>
      <c r="K604" s="37"/>
      <c r="L604" s="37" t="s">
        <v>19</v>
      </c>
      <c r="M604" s="37"/>
      <c r="N604" s="37" t="s">
        <v>1238</v>
      </c>
    </row>
    <row r="605">
      <c r="A605" s="34"/>
      <c r="B605" s="35" t="s">
        <v>1239</v>
      </c>
      <c r="C605" s="4" t="s">
        <v>15</v>
      </c>
      <c r="D605" s="25">
        <v>0.008460648148148148</v>
      </c>
      <c r="E605" s="34" t="str">
        <f t="shared" si="1"/>
        <v>Benefits of MPLS</v>
      </c>
      <c r="F605" s="36">
        <v>8.0</v>
      </c>
      <c r="G605" s="34" t="s">
        <v>1240</v>
      </c>
      <c r="H605" s="37" t="s">
        <v>199</v>
      </c>
      <c r="I605" s="37" t="s">
        <v>18</v>
      </c>
      <c r="J605" s="37" t="s">
        <v>101</v>
      </c>
      <c r="K605" s="37"/>
      <c r="L605" s="37" t="s">
        <v>19</v>
      </c>
      <c r="M605" s="37"/>
      <c r="N605" s="37" t="s">
        <v>1238</v>
      </c>
    </row>
    <row r="606">
      <c r="A606" s="34"/>
      <c r="B606" s="35" t="s">
        <v>1241</v>
      </c>
      <c r="C606" s="4" t="s">
        <v>15</v>
      </c>
      <c r="D606" s="25">
        <v>0.0038888888888888888</v>
      </c>
      <c r="E606" s="34" t="str">
        <f t="shared" si="1"/>
        <v>Benefits of MPLS</v>
      </c>
      <c r="F606" s="36">
        <v>9.0</v>
      </c>
      <c r="G606" s="34" t="s">
        <v>1242</v>
      </c>
      <c r="H606" s="37" t="s">
        <v>199</v>
      </c>
      <c r="I606" s="37" t="s">
        <v>18</v>
      </c>
      <c r="J606" s="37" t="s">
        <v>101</v>
      </c>
      <c r="K606" s="37"/>
      <c r="L606" s="37" t="s">
        <v>19</v>
      </c>
      <c r="M606" s="37"/>
      <c r="N606" s="37" t="s">
        <v>1238</v>
      </c>
    </row>
    <row r="607">
      <c r="A607" s="34"/>
      <c r="B607" s="35" t="s">
        <v>1243</v>
      </c>
      <c r="C607" s="4" t="s">
        <v>15</v>
      </c>
      <c r="D607" s="25">
        <v>0.007905092592592592</v>
      </c>
      <c r="E607" s="34" t="str">
        <f t="shared" si="1"/>
        <v>Benefits of MPLS</v>
      </c>
      <c r="F607" s="36">
        <v>7.0</v>
      </c>
      <c r="G607" s="34" t="s">
        <v>1244</v>
      </c>
      <c r="H607" s="37" t="s">
        <v>199</v>
      </c>
      <c r="I607" s="37" t="s">
        <v>18</v>
      </c>
      <c r="J607" s="37" t="s">
        <v>101</v>
      </c>
      <c r="K607" s="37"/>
      <c r="L607" s="37" t="s">
        <v>19</v>
      </c>
      <c r="M607" s="37"/>
      <c r="N607" s="37" t="s">
        <v>1238</v>
      </c>
    </row>
    <row r="608">
      <c r="A608" s="34"/>
      <c r="B608" s="35" t="s">
        <v>1245</v>
      </c>
      <c r="C608" s="4" t="s">
        <v>100</v>
      </c>
      <c r="D608" s="25">
        <v>0.013888888888888888</v>
      </c>
      <c r="E608" s="34" t="str">
        <f t="shared" si="1"/>
        <v>Benefits of MPLS</v>
      </c>
      <c r="F608" s="36">
        <v>7.0</v>
      </c>
      <c r="G608" s="34"/>
      <c r="H608" s="37" t="s">
        <v>199</v>
      </c>
      <c r="I608" s="37" t="s">
        <v>18</v>
      </c>
      <c r="J608" s="37" t="s">
        <v>101</v>
      </c>
      <c r="K608" s="37"/>
      <c r="L608" s="37" t="s">
        <v>19</v>
      </c>
      <c r="M608" s="37"/>
      <c r="N608" s="37" t="s">
        <v>1238</v>
      </c>
    </row>
    <row r="609">
      <c r="A609" s="34"/>
      <c r="B609" s="35" t="s">
        <v>1246</v>
      </c>
      <c r="C609" s="4" t="s">
        <v>15</v>
      </c>
      <c r="D609" s="25">
        <v>0.0030092592592592593</v>
      </c>
      <c r="E609" s="34" t="str">
        <f t="shared" si="1"/>
        <v>Lab - Configuring E-Line and LDP Pseudowire</v>
      </c>
      <c r="F609" s="36">
        <v>7.0</v>
      </c>
      <c r="G609" s="34" t="s">
        <v>1247</v>
      </c>
      <c r="H609" s="37" t="s">
        <v>199</v>
      </c>
      <c r="I609" s="37" t="s">
        <v>18</v>
      </c>
      <c r="J609" s="37" t="s">
        <v>101</v>
      </c>
      <c r="K609" s="37"/>
      <c r="L609" s="37" t="s">
        <v>19</v>
      </c>
      <c r="M609" s="37"/>
      <c r="N609" s="37" t="s">
        <v>1248</v>
      </c>
    </row>
    <row r="610">
      <c r="A610" s="34"/>
      <c r="B610" s="35" t="s">
        <v>1249</v>
      </c>
      <c r="C610" s="4" t="s">
        <v>15</v>
      </c>
      <c r="D610" s="25">
        <v>0.01412037037037037</v>
      </c>
      <c r="E610" s="34" t="str">
        <f t="shared" si="1"/>
        <v>Lab - Configuring E-Line and LDP Pseudowire</v>
      </c>
      <c r="F610" s="36">
        <v>8.0</v>
      </c>
      <c r="G610" s="34" t="s">
        <v>1250</v>
      </c>
      <c r="H610" s="37" t="s">
        <v>199</v>
      </c>
      <c r="I610" s="37" t="s">
        <v>18</v>
      </c>
      <c r="J610" s="37" t="s">
        <v>101</v>
      </c>
      <c r="K610" s="37"/>
      <c r="L610" s="37" t="s">
        <v>19</v>
      </c>
      <c r="M610" s="37"/>
      <c r="N610" s="37" t="s">
        <v>1248</v>
      </c>
    </row>
    <row r="611">
      <c r="A611" s="34"/>
      <c r="B611" s="35" t="s">
        <v>1251</v>
      </c>
      <c r="C611" s="4" t="s">
        <v>15</v>
      </c>
      <c r="D611" s="25">
        <v>0.01565972222222222</v>
      </c>
      <c r="E611" s="34" t="str">
        <f t="shared" si="1"/>
        <v>Lab - Configuring E-Line and LDP Pseudowire</v>
      </c>
      <c r="F611" s="36">
        <v>8.0</v>
      </c>
      <c r="G611" s="34" t="s">
        <v>1252</v>
      </c>
      <c r="H611" s="37" t="s">
        <v>199</v>
      </c>
      <c r="I611" s="37" t="s">
        <v>18</v>
      </c>
      <c r="J611" s="37" t="s">
        <v>101</v>
      </c>
      <c r="K611" s="37"/>
      <c r="L611" s="37" t="s">
        <v>19</v>
      </c>
      <c r="M611" s="37"/>
      <c r="N611" s="37" t="s">
        <v>1248</v>
      </c>
    </row>
    <row r="612">
      <c r="A612" s="34"/>
      <c r="B612" s="35" t="s">
        <v>1253</v>
      </c>
      <c r="C612" s="4" t="s">
        <v>100</v>
      </c>
      <c r="D612" s="25">
        <v>0.013888888888888888</v>
      </c>
      <c r="E612" s="34" t="str">
        <f t="shared" si="1"/>
        <v>Lab - Configuring E-Line and LDP Pseudowire</v>
      </c>
      <c r="F612" s="36">
        <v>8.0</v>
      </c>
      <c r="G612" s="34"/>
      <c r="H612" s="37" t="s">
        <v>199</v>
      </c>
      <c r="I612" s="37" t="s">
        <v>18</v>
      </c>
      <c r="J612" s="37" t="s">
        <v>101</v>
      </c>
      <c r="K612" s="37"/>
      <c r="L612" s="37" t="s">
        <v>19</v>
      </c>
      <c r="M612" s="37"/>
      <c r="N612" s="37" t="s">
        <v>1248</v>
      </c>
    </row>
    <row r="613">
      <c r="A613" s="34"/>
      <c r="B613" s="35" t="s">
        <v>1254</v>
      </c>
      <c r="C613" s="4" t="s">
        <v>100</v>
      </c>
      <c r="D613" s="25">
        <v>0.013888888888888888</v>
      </c>
      <c r="E613" s="34" t="str">
        <f t="shared" si="1"/>
        <v>Lab - Configuring E-Line and LDP Pseudowire</v>
      </c>
      <c r="F613" s="36">
        <v>8.0</v>
      </c>
      <c r="G613" s="34"/>
      <c r="H613" s="37" t="s">
        <v>199</v>
      </c>
      <c r="I613" s="37" t="s">
        <v>18</v>
      </c>
      <c r="J613" s="37" t="s">
        <v>101</v>
      </c>
      <c r="K613" s="37"/>
      <c r="L613" s="37" t="s">
        <v>19</v>
      </c>
      <c r="M613" s="37"/>
      <c r="N613" s="37" t="s">
        <v>1248</v>
      </c>
    </row>
    <row r="614">
      <c r="A614" s="34"/>
      <c r="B614" s="35" t="s">
        <v>1255</v>
      </c>
      <c r="C614" s="4" t="s">
        <v>100</v>
      </c>
      <c r="D614" s="25">
        <v>0.013888888888888888</v>
      </c>
      <c r="E614" s="34" t="str">
        <f t="shared" si="1"/>
        <v>Lab - Configuring E-Line and LDP Pseudowire</v>
      </c>
      <c r="F614" s="36">
        <v>8.0</v>
      </c>
      <c r="G614" s="34"/>
      <c r="H614" s="37" t="s">
        <v>199</v>
      </c>
      <c r="I614" s="37" t="s">
        <v>18</v>
      </c>
      <c r="J614" s="37" t="s">
        <v>101</v>
      </c>
      <c r="K614" s="37"/>
      <c r="L614" s="37" t="s">
        <v>19</v>
      </c>
      <c r="M614" s="37"/>
      <c r="N614" s="37" t="s">
        <v>1248</v>
      </c>
    </row>
    <row r="615">
      <c r="A615" s="34"/>
      <c r="B615" s="35" t="s">
        <v>1256</v>
      </c>
      <c r="C615" s="4" t="s">
        <v>15</v>
      </c>
      <c r="D615" s="25">
        <v>0.01769675925925926</v>
      </c>
      <c r="E615" s="34" t="str">
        <f t="shared" si="1"/>
        <v>Lab - Troubleshooting L3EVPN Data Plane</v>
      </c>
      <c r="F615" s="36">
        <v>8.0</v>
      </c>
      <c r="G615" s="34" t="s">
        <v>1257</v>
      </c>
      <c r="H615" s="37" t="s">
        <v>730</v>
      </c>
      <c r="I615" s="37" t="s">
        <v>18</v>
      </c>
      <c r="J615" s="37" t="s">
        <v>101</v>
      </c>
      <c r="K615" s="37"/>
      <c r="L615" s="37" t="s">
        <v>19</v>
      </c>
      <c r="M615" s="37"/>
      <c r="N615" s="37" t="s">
        <v>1258</v>
      </c>
    </row>
    <row r="616">
      <c r="A616" s="34"/>
      <c r="B616" s="35" t="s">
        <v>1259</v>
      </c>
      <c r="C616" s="4" t="s">
        <v>15</v>
      </c>
      <c r="D616" s="25">
        <v>0.009444444444444445</v>
      </c>
      <c r="E616" s="34" t="str">
        <f t="shared" si="1"/>
        <v>Lab - Troubleshooting L3EVPN Data Plane</v>
      </c>
      <c r="F616" s="36">
        <v>8.0</v>
      </c>
      <c r="G616" s="34" t="s">
        <v>1260</v>
      </c>
      <c r="H616" s="37" t="s">
        <v>730</v>
      </c>
      <c r="I616" s="37" t="s">
        <v>18</v>
      </c>
      <c r="J616" s="37" t="s">
        <v>101</v>
      </c>
      <c r="K616" s="37"/>
      <c r="L616" s="37" t="s">
        <v>19</v>
      </c>
      <c r="M616" s="37"/>
      <c r="N616" s="37" t="s">
        <v>1258</v>
      </c>
    </row>
    <row r="617">
      <c r="A617" s="34"/>
      <c r="B617" s="35" t="s">
        <v>1261</v>
      </c>
      <c r="C617" s="4" t="s">
        <v>15</v>
      </c>
      <c r="D617" s="25">
        <v>0.015462962962962963</v>
      </c>
      <c r="E617" s="34" t="str">
        <f t="shared" si="1"/>
        <v>Lab - Troubleshooting L3EVPN Data Plane</v>
      </c>
      <c r="F617" s="36">
        <v>6.0</v>
      </c>
      <c r="G617" s="34" t="s">
        <v>1262</v>
      </c>
      <c r="H617" s="37" t="s">
        <v>730</v>
      </c>
      <c r="I617" s="37" t="s">
        <v>18</v>
      </c>
      <c r="J617" s="37" t="s">
        <v>101</v>
      </c>
      <c r="K617" s="37"/>
      <c r="L617" s="37" t="s">
        <v>19</v>
      </c>
      <c r="M617" s="37"/>
      <c r="N617" s="37" t="s">
        <v>1258</v>
      </c>
    </row>
    <row r="618">
      <c r="A618" s="34"/>
      <c r="B618" s="35" t="s">
        <v>1263</v>
      </c>
      <c r="C618" s="4" t="s">
        <v>100</v>
      </c>
      <c r="D618" s="25">
        <v>0.013888888888888888</v>
      </c>
      <c r="E618" s="34" t="str">
        <f t="shared" si="1"/>
        <v>Lab - Troubleshooting L3EVPN Data Plane</v>
      </c>
      <c r="F618" s="36">
        <v>7.0</v>
      </c>
      <c r="G618" s="34"/>
      <c r="H618" s="37" t="s">
        <v>730</v>
      </c>
      <c r="I618" s="37" t="s">
        <v>18</v>
      </c>
      <c r="J618" s="37" t="s">
        <v>101</v>
      </c>
      <c r="K618" s="37"/>
      <c r="L618" s="37" t="s">
        <v>19</v>
      </c>
      <c r="M618" s="37"/>
      <c r="N618" s="37" t="s">
        <v>1258</v>
      </c>
    </row>
    <row r="619">
      <c r="A619" s="34"/>
      <c r="B619" s="35" t="s">
        <v>1264</v>
      </c>
      <c r="C619" s="4" t="s">
        <v>15</v>
      </c>
      <c r="D619" s="25">
        <v>0.018125</v>
      </c>
      <c r="E619" s="34" t="str">
        <f t="shared" si="1"/>
        <v>Lab - Configuring MP-BGP and L3VPN</v>
      </c>
      <c r="F619" s="36">
        <v>8.0</v>
      </c>
      <c r="G619" s="34" t="s">
        <v>1265</v>
      </c>
      <c r="H619" s="37" t="s">
        <v>730</v>
      </c>
      <c r="I619" s="37" t="s">
        <v>18</v>
      </c>
      <c r="J619" s="37" t="s">
        <v>101</v>
      </c>
      <c r="K619" s="37"/>
      <c r="L619" s="37" t="s">
        <v>19</v>
      </c>
      <c r="M619" s="37"/>
      <c r="N619" s="37" t="s">
        <v>1266</v>
      </c>
    </row>
    <row r="620">
      <c r="A620" s="34"/>
      <c r="B620" s="35" t="s">
        <v>1267</v>
      </c>
      <c r="C620" s="4" t="s">
        <v>15</v>
      </c>
      <c r="D620" s="25">
        <v>0.014560185185185185</v>
      </c>
      <c r="E620" s="34" t="str">
        <f t="shared" si="1"/>
        <v>Lab - Configuring MP-BGP and L3VPN</v>
      </c>
      <c r="F620" s="36">
        <v>8.0</v>
      </c>
      <c r="G620" s="34" t="s">
        <v>1268</v>
      </c>
      <c r="H620" s="37" t="s">
        <v>730</v>
      </c>
      <c r="I620" s="37" t="s">
        <v>18</v>
      </c>
      <c r="J620" s="37" t="s">
        <v>101</v>
      </c>
      <c r="K620" s="37"/>
      <c r="L620" s="37" t="s">
        <v>19</v>
      </c>
      <c r="M620" s="37"/>
      <c r="N620" s="37" t="s">
        <v>1266</v>
      </c>
    </row>
    <row r="621">
      <c r="A621" s="34"/>
      <c r="B621" s="35" t="s">
        <v>1269</v>
      </c>
      <c r="C621" s="4" t="s">
        <v>15</v>
      </c>
      <c r="D621" s="25">
        <v>0.013969907407407407</v>
      </c>
      <c r="E621" s="34" t="str">
        <f t="shared" si="1"/>
        <v>Lab - Configuring MP-BGP and L3VPN</v>
      </c>
      <c r="F621" s="36">
        <v>8.0</v>
      </c>
      <c r="G621" s="34" t="s">
        <v>1270</v>
      </c>
      <c r="H621" s="37" t="s">
        <v>730</v>
      </c>
      <c r="I621" s="37" t="s">
        <v>18</v>
      </c>
      <c r="J621" s="37" t="s">
        <v>101</v>
      </c>
      <c r="K621" s="37"/>
      <c r="L621" s="37" t="s">
        <v>19</v>
      </c>
      <c r="M621" s="37"/>
      <c r="N621" s="37" t="s">
        <v>1266</v>
      </c>
    </row>
    <row r="622">
      <c r="A622" s="34"/>
      <c r="B622" s="35" t="s">
        <v>1271</v>
      </c>
      <c r="C622" s="4" t="s">
        <v>15</v>
      </c>
      <c r="D622" s="25">
        <v>0.017916666666666668</v>
      </c>
      <c r="E622" s="34" t="str">
        <f t="shared" si="1"/>
        <v>Lab - Configuring MP-BGP and L3VPN</v>
      </c>
      <c r="F622" s="36">
        <v>8.0</v>
      </c>
      <c r="G622" s="34" t="s">
        <v>1272</v>
      </c>
      <c r="H622" s="37" t="s">
        <v>730</v>
      </c>
      <c r="I622" s="37" t="s">
        <v>18</v>
      </c>
      <c r="J622" s="37" t="s">
        <v>101</v>
      </c>
      <c r="K622" s="37"/>
      <c r="L622" s="37" t="s">
        <v>19</v>
      </c>
      <c r="M622" s="37"/>
      <c r="N622" s="37" t="s">
        <v>1266</v>
      </c>
    </row>
    <row r="623">
      <c r="A623" s="34"/>
      <c r="B623" s="35" t="s">
        <v>1273</v>
      </c>
      <c r="C623" s="4" t="s">
        <v>100</v>
      </c>
      <c r="D623" s="25">
        <v>0.013888888888888888</v>
      </c>
      <c r="E623" s="34" t="str">
        <f t="shared" si="1"/>
        <v>Lab - Configuring MP-BGP and L3VPN</v>
      </c>
      <c r="F623" s="36">
        <v>8.0</v>
      </c>
      <c r="G623" s="34"/>
      <c r="H623" s="37" t="s">
        <v>730</v>
      </c>
      <c r="I623" s="37" t="s">
        <v>18</v>
      </c>
      <c r="J623" s="37" t="s">
        <v>101</v>
      </c>
      <c r="K623" s="37"/>
      <c r="L623" s="37" t="s">
        <v>19</v>
      </c>
      <c r="M623" s="37"/>
      <c r="N623" s="37" t="s">
        <v>1266</v>
      </c>
    </row>
    <row r="624">
      <c r="A624" s="34"/>
      <c r="B624" s="35" t="s">
        <v>1274</v>
      </c>
      <c r="C624" s="4" t="s">
        <v>100</v>
      </c>
      <c r="D624" s="25">
        <v>0.013888888888888888</v>
      </c>
      <c r="E624" s="34" t="str">
        <f t="shared" si="1"/>
        <v>Lab - Configuring MP-BGP and L3VPN</v>
      </c>
      <c r="F624" s="36">
        <v>9.0</v>
      </c>
      <c r="G624" s="34"/>
      <c r="H624" s="37" t="s">
        <v>730</v>
      </c>
      <c r="I624" s="37" t="s">
        <v>18</v>
      </c>
      <c r="J624" s="37" t="s">
        <v>101</v>
      </c>
      <c r="K624" s="37"/>
      <c r="L624" s="37" t="s">
        <v>19</v>
      </c>
      <c r="M624" s="37"/>
      <c r="N624" s="37" t="s">
        <v>1266</v>
      </c>
    </row>
    <row r="625">
      <c r="A625" s="34"/>
      <c r="B625" s="35" t="s">
        <v>1275</v>
      </c>
      <c r="C625" s="4" t="s">
        <v>15</v>
      </c>
      <c r="D625" s="25">
        <v>0.012847222222222222</v>
      </c>
      <c r="E625" s="34" t="str">
        <f t="shared" si="1"/>
        <v>Lab - Configuring Overlapping VPNs</v>
      </c>
      <c r="F625" s="36">
        <v>9.0</v>
      </c>
      <c r="G625" s="34" t="s">
        <v>1276</v>
      </c>
      <c r="H625" s="37" t="s">
        <v>730</v>
      </c>
      <c r="I625" s="37" t="s">
        <v>18</v>
      </c>
      <c r="J625" s="37" t="s">
        <v>101</v>
      </c>
      <c r="K625" s="37"/>
      <c r="L625" s="37" t="s">
        <v>19</v>
      </c>
      <c r="M625" s="37"/>
      <c r="N625" s="37" t="s">
        <v>1277</v>
      </c>
    </row>
    <row r="626">
      <c r="A626" s="34"/>
      <c r="B626" s="35" t="s">
        <v>1278</v>
      </c>
      <c r="C626" s="4" t="s">
        <v>15</v>
      </c>
      <c r="D626" s="25">
        <v>0.012326388888888888</v>
      </c>
      <c r="E626" s="34" t="str">
        <f t="shared" si="1"/>
        <v>Lab - Configuring Overlapping VPNs</v>
      </c>
      <c r="F626" s="36">
        <v>8.0</v>
      </c>
      <c r="G626" s="34" t="s">
        <v>1279</v>
      </c>
      <c r="H626" s="37" t="s">
        <v>730</v>
      </c>
      <c r="I626" s="37" t="s">
        <v>18</v>
      </c>
      <c r="J626" s="37" t="s">
        <v>101</v>
      </c>
      <c r="K626" s="37"/>
      <c r="L626" s="37" t="s">
        <v>19</v>
      </c>
      <c r="M626" s="37"/>
      <c r="N626" s="37" t="s">
        <v>1277</v>
      </c>
    </row>
    <row r="627">
      <c r="A627" s="34"/>
      <c r="B627" s="35" t="s">
        <v>1280</v>
      </c>
      <c r="C627" s="4" t="s">
        <v>15</v>
      </c>
      <c r="D627" s="25">
        <v>0.016770833333333332</v>
      </c>
      <c r="E627" s="34" t="str">
        <f t="shared" si="1"/>
        <v>Lab - Configuring Overlapping VPNs</v>
      </c>
      <c r="F627" s="36">
        <v>9.0</v>
      </c>
      <c r="G627" s="34" t="s">
        <v>1281</v>
      </c>
      <c r="H627" s="37" t="s">
        <v>730</v>
      </c>
      <c r="I627" s="37" t="s">
        <v>18</v>
      </c>
      <c r="J627" s="37" t="s">
        <v>101</v>
      </c>
      <c r="K627" s="37"/>
      <c r="L627" s="37" t="s">
        <v>19</v>
      </c>
      <c r="M627" s="37"/>
      <c r="N627" s="37" t="s">
        <v>1277</v>
      </c>
    </row>
    <row r="628">
      <c r="A628" s="34"/>
      <c r="B628" s="35" t="s">
        <v>1282</v>
      </c>
      <c r="C628" s="4" t="s">
        <v>15</v>
      </c>
      <c r="D628" s="25">
        <v>0.013020833333333334</v>
      </c>
      <c r="E628" s="34" t="str">
        <f t="shared" si="1"/>
        <v>Lab - Configuring Overlapping VPNs</v>
      </c>
      <c r="F628" s="36">
        <v>8.0</v>
      </c>
      <c r="G628" s="34" t="s">
        <v>1283</v>
      </c>
      <c r="H628" s="37" t="s">
        <v>730</v>
      </c>
      <c r="I628" s="37" t="s">
        <v>18</v>
      </c>
      <c r="J628" s="37" t="s">
        <v>101</v>
      </c>
      <c r="K628" s="37"/>
      <c r="L628" s="37" t="s">
        <v>19</v>
      </c>
      <c r="M628" s="37"/>
      <c r="N628" s="37" t="s">
        <v>1277</v>
      </c>
    </row>
    <row r="629">
      <c r="A629" s="34"/>
      <c r="B629" s="35" t="s">
        <v>1284</v>
      </c>
      <c r="C629" s="4" t="s">
        <v>15</v>
      </c>
      <c r="D629" s="25">
        <v>0.022372685185185186</v>
      </c>
      <c r="E629" s="34" t="str">
        <f t="shared" si="1"/>
        <v>Lab - Configuring Overlapping VPNs</v>
      </c>
      <c r="F629" s="36">
        <v>8.0</v>
      </c>
      <c r="G629" s="34" t="s">
        <v>1285</v>
      </c>
      <c r="H629" s="37" t="s">
        <v>730</v>
      </c>
      <c r="I629" s="37" t="s">
        <v>18</v>
      </c>
      <c r="J629" s="37" t="s">
        <v>101</v>
      </c>
      <c r="K629" s="37"/>
      <c r="L629" s="37" t="s">
        <v>19</v>
      </c>
      <c r="M629" s="37"/>
      <c r="N629" s="37" t="s">
        <v>1277</v>
      </c>
    </row>
    <row r="630">
      <c r="A630" s="34"/>
      <c r="B630" s="35" t="s">
        <v>1286</v>
      </c>
      <c r="C630" s="4" t="s">
        <v>100</v>
      </c>
      <c r="D630" s="25">
        <v>0.013888888888888888</v>
      </c>
      <c r="E630" s="34" t="str">
        <f t="shared" si="1"/>
        <v>Lab - Configuring Overlapping VPNs</v>
      </c>
      <c r="F630" s="36">
        <v>8.0</v>
      </c>
      <c r="G630" s="34"/>
      <c r="H630" s="37" t="s">
        <v>730</v>
      </c>
      <c r="I630" s="37" t="s">
        <v>18</v>
      </c>
      <c r="J630" s="37" t="s">
        <v>101</v>
      </c>
      <c r="K630" s="37"/>
      <c r="L630" s="37" t="s">
        <v>19</v>
      </c>
      <c r="M630" s="37"/>
      <c r="N630" s="37" t="s">
        <v>1277</v>
      </c>
    </row>
    <row r="631">
      <c r="A631" s="34"/>
      <c r="B631" s="35" t="s">
        <v>1287</v>
      </c>
      <c r="C631" s="4" t="s">
        <v>15</v>
      </c>
      <c r="D631" s="25">
        <v>0.010127314814814815</v>
      </c>
      <c r="E631" s="34" t="str">
        <f t="shared" si="1"/>
        <v>Lab - Configuring MPLS RSVP TE Dynamic Tunnels</v>
      </c>
      <c r="F631" s="36">
        <v>8.0</v>
      </c>
      <c r="G631" s="34" t="s">
        <v>1288</v>
      </c>
      <c r="H631" s="37" t="s">
        <v>730</v>
      </c>
      <c r="I631" s="37" t="s">
        <v>18</v>
      </c>
      <c r="J631" s="37" t="s">
        <v>101</v>
      </c>
      <c r="K631" s="37"/>
      <c r="L631" s="37" t="s">
        <v>19</v>
      </c>
      <c r="M631" s="37"/>
      <c r="N631" s="37" t="s">
        <v>1289</v>
      </c>
    </row>
    <row r="632">
      <c r="A632" s="34"/>
      <c r="B632" s="35" t="s">
        <v>1290</v>
      </c>
      <c r="C632" s="4" t="s">
        <v>15</v>
      </c>
      <c r="D632" s="25">
        <v>0.017708333333333333</v>
      </c>
      <c r="E632" s="34" t="str">
        <f t="shared" si="1"/>
        <v>Lab - Configuring MPLS RSVP TE Dynamic Tunnels</v>
      </c>
      <c r="F632" s="36">
        <v>8.0</v>
      </c>
      <c r="G632" s="34" t="s">
        <v>1291</v>
      </c>
      <c r="H632" s="37" t="s">
        <v>730</v>
      </c>
      <c r="I632" s="37" t="s">
        <v>18</v>
      </c>
      <c r="J632" s="37" t="s">
        <v>101</v>
      </c>
      <c r="K632" s="37"/>
      <c r="L632" s="37" t="s">
        <v>19</v>
      </c>
      <c r="M632" s="37"/>
      <c r="N632" s="37" t="s">
        <v>1289</v>
      </c>
    </row>
    <row r="633">
      <c r="A633" s="34"/>
      <c r="B633" s="35" t="s">
        <v>1292</v>
      </c>
      <c r="C633" s="4" t="s">
        <v>15</v>
      </c>
      <c r="D633" s="25">
        <v>0.015023148148148148</v>
      </c>
      <c r="E633" s="34" t="str">
        <f t="shared" si="1"/>
        <v>Lab - Configuring MPLS RSVP TE Dynamic Tunnels</v>
      </c>
      <c r="F633" s="36">
        <v>8.0</v>
      </c>
      <c r="G633" s="34" t="s">
        <v>1293</v>
      </c>
      <c r="H633" s="37" t="s">
        <v>730</v>
      </c>
      <c r="I633" s="37" t="s">
        <v>18</v>
      </c>
      <c r="J633" s="37" t="s">
        <v>101</v>
      </c>
      <c r="K633" s="37"/>
      <c r="L633" s="37" t="s">
        <v>19</v>
      </c>
      <c r="M633" s="37"/>
      <c r="N633" s="37" t="s">
        <v>1289</v>
      </c>
    </row>
    <row r="634">
      <c r="A634" s="34"/>
      <c r="B634" s="35" t="s">
        <v>1294</v>
      </c>
      <c r="C634" s="4" t="s">
        <v>100</v>
      </c>
      <c r="D634" s="25">
        <v>0.013888888888888888</v>
      </c>
      <c r="E634" s="34" t="str">
        <f t="shared" si="1"/>
        <v>Lab - Configuring MPLS RSVP TE Dynamic Tunnels</v>
      </c>
      <c r="F634" s="36">
        <v>8.0</v>
      </c>
      <c r="G634" s="34"/>
      <c r="H634" s="37" t="s">
        <v>730</v>
      </c>
      <c r="I634" s="37" t="s">
        <v>18</v>
      </c>
      <c r="J634" s="37" t="s">
        <v>101</v>
      </c>
      <c r="K634" s="37"/>
      <c r="L634" s="37" t="s">
        <v>19</v>
      </c>
      <c r="M634" s="37"/>
      <c r="N634" s="37" t="s">
        <v>1289</v>
      </c>
    </row>
    <row r="635">
      <c r="A635" s="34"/>
      <c r="B635" s="35" t="s">
        <v>1295</v>
      </c>
      <c r="C635" s="4" t="s">
        <v>100</v>
      </c>
      <c r="D635" s="25">
        <v>0.013888888888888888</v>
      </c>
      <c r="E635" s="34" t="str">
        <f t="shared" si="1"/>
        <v>Lab - Configuring MPLS RSVP TE Dynamic Tunnels</v>
      </c>
      <c r="F635" s="36">
        <v>8.0</v>
      </c>
      <c r="G635" s="34"/>
      <c r="H635" s="37" t="s">
        <v>730</v>
      </c>
      <c r="I635" s="37" t="s">
        <v>18</v>
      </c>
      <c r="J635" s="37" t="s">
        <v>101</v>
      </c>
      <c r="K635" s="37"/>
      <c r="L635" s="37" t="s">
        <v>19</v>
      </c>
      <c r="M635" s="37"/>
      <c r="N635" s="37" t="s">
        <v>1289</v>
      </c>
    </row>
    <row r="636">
      <c r="A636" s="34"/>
      <c r="B636" s="35" t="s">
        <v>1296</v>
      </c>
      <c r="C636" s="4" t="s">
        <v>100</v>
      </c>
      <c r="D636" s="25">
        <v>0.013888888888888888</v>
      </c>
      <c r="E636" s="34" t="str">
        <f t="shared" si="1"/>
        <v>Lab - Configuring MPLS RSVP TE Dynamic Tunnels</v>
      </c>
      <c r="F636" s="36">
        <v>9.0</v>
      </c>
      <c r="G636" s="34"/>
      <c r="H636" s="37" t="s">
        <v>730</v>
      </c>
      <c r="I636" s="37" t="s">
        <v>18</v>
      </c>
      <c r="J636" s="37" t="s">
        <v>101</v>
      </c>
      <c r="K636" s="37"/>
      <c r="L636" s="37" t="s">
        <v>19</v>
      </c>
      <c r="M636" s="37"/>
      <c r="N636" s="37" t="s">
        <v>1289</v>
      </c>
    </row>
    <row r="637">
      <c r="A637" s="34"/>
      <c r="B637" s="35" t="s">
        <v>1297</v>
      </c>
      <c r="C637" s="4" t="s">
        <v>15</v>
      </c>
      <c r="D637" s="25">
        <v>0.013888888888888888</v>
      </c>
      <c r="E637" s="34" t="str">
        <f t="shared" si="1"/>
        <v>Lab - Configuring MPLS RSVP TE Dynamic Tunnels</v>
      </c>
      <c r="F637" s="36">
        <v>9.0</v>
      </c>
      <c r="G637" s="34"/>
      <c r="H637" s="37" t="s">
        <v>730</v>
      </c>
      <c r="I637" s="37" t="s">
        <v>18</v>
      </c>
      <c r="J637" s="37" t="s">
        <v>101</v>
      </c>
      <c r="K637" s="37"/>
      <c r="L637" s="37" t="s">
        <v>19</v>
      </c>
      <c r="M637" s="37"/>
      <c r="N637" s="37" t="s">
        <v>1289</v>
      </c>
    </row>
    <row r="638">
      <c r="A638" s="34"/>
      <c r="B638" s="35" t="s">
        <v>1298</v>
      </c>
      <c r="C638" s="4" t="s">
        <v>15</v>
      </c>
      <c r="D638" s="25">
        <v>0.005300925925925926</v>
      </c>
      <c r="E638" s="34" t="str">
        <f t="shared" si="1"/>
        <v>Lab - Using Secondary Path for Path Selection</v>
      </c>
      <c r="F638" s="36">
        <v>9.0</v>
      </c>
      <c r="G638" s="34" t="s">
        <v>1299</v>
      </c>
      <c r="H638" s="37" t="s">
        <v>730</v>
      </c>
      <c r="I638" s="37" t="s">
        <v>18</v>
      </c>
      <c r="J638" s="37" t="s">
        <v>101</v>
      </c>
      <c r="K638" s="37"/>
      <c r="L638" s="37" t="s">
        <v>19</v>
      </c>
      <c r="M638" s="37"/>
      <c r="N638" s="37" t="s">
        <v>1300</v>
      </c>
    </row>
    <row r="639">
      <c r="A639" s="34"/>
      <c r="B639" s="35" t="s">
        <v>1301</v>
      </c>
      <c r="C639" s="4" t="s">
        <v>15</v>
      </c>
      <c r="D639" s="25">
        <v>0.007418981481481481</v>
      </c>
      <c r="E639" s="34" t="str">
        <f t="shared" si="1"/>
        <v>Lab - Using Secondary Path for Path Selection</v>
      </c>
      <c r="F639" s="36">
        <v>8.0</v>
      </c>
      <c r="G639" s="34" t="s">
        <v>1302</v>
      </c>
      <c r="H639" s="37" t="s">
        <v>730</v>
      </c>
      <c r="I639" s="37" t="s">
        <v>18</v>
      </c>
      <c r="J639" s="37" t="s">
        <v>101</v>
      </c>
      <c r="K639" s="37"/>
      <c r="L639" s="37" t="s">
        <v>19</v>
      </c>
      <c r="M639" s="37"/>
      <c r="N639" s="37" t="s">
        <v>1300</v>
      </c>
    </row>
    <row r="640">
      <c r="A640" s="34"/>
      <c r="B640" s="35" t="s">
        <v>1303</v>
      </c>
      <c r="C640" s="4" t="s">
        <v>15</v>
      </c>
      <c r="D640" s="25">
        <v>0.0030324074074074073</v>
      </c>
      <c r="E640" s="34" t="str">
        <f t="shared" si="1"/>
        <v>Lab - Using Secondary Path for Path Selection</v>
      </c>
      <c r="F640" s="36">
        <v>8.0</v>
      </c>
      <c r="G640" s="34" t="s">
        <v>1304</v>
      </c>
      <c r="H640" s="37" t="s">
        <v>730</v>
      </c>
      <c r="I640" s="37" t="s">
        <v>18</v>
      </c>
      <c r="J640" s="37" t="s">
        <v>101</v>
      </c>
      <c r="K640" s="37"/>
      <c r="L640" s="37" t="s">
        <v>19</v>
      </c>
      <c r="M640" s="37"/>
      <c r="N640" s="37" t="s">
        <v>1300</v>
      </c>
    </row>
    <row r="641">
      <c r="A641" s="34"/>
      <c r="B641" s="35" t="s">
        <v>1305</v>
      </c>
      <c r="C641" s="4" t="s">
        <v>15</v>
      </c>
      <c r="D641" s="25">
        <v>0.005208333333333333</v>
      </c>
      <c r="E641" s="34" t="str">
        <f t="shared" si="1"/>
        <v>Lab - Using Secondary Path for Path Selection</v>
      </c>
      <c r="F641" s="36">
        <v>8.0</v>
      </c>
      <c r="G641" s="34" t="s">
        <v>1306</v>
      </c>
      <c r="H641" s="37" t="s">
        <v>730</v>
      </c>
      <c r="I641" s="37" t="s">
        <v>18</v>
      </c>
      <c r="J641" s="37" t="s">
        <v>101</v>
      </c>
      <c r="K641" s="37"/>
      <c r="L641" s="37" t="s">
        <v>19</v>
      </c>
      <c r="M641" s="37"/>
      <c r="N641" s="37" t="s">
        <v>1300</v>
      </c>
    </row>
    <row r="642">
      <c r="A642" s="34"/>
      <c r="B642" s="35" t="s">
        <v>1307</v>
      </c>
      <c r="C642" s="4" t="s">
        <v>15</v>
      </c>
      <c r="D642" s="25">
        <v>0.00537037037037037</v>
      </c>
      <c r="E642" s="34" t="str">
        <f t="shared" si="1"/>
        <v>Lab - Using Secondary Path for Path Selection</v>
      </c>
      <c r="F642" s="36">
        <v>8.0</v>
      </c>
      <c r="G642" s="34" t="s">
        <v>1308</v>
      </c>
      <c r="H642" s="37" t="s">
        <v>730</v>
      </c>
      <c r="I642" s="37" t="s">
        <v>18</v>
      </c>
      <c r="J642" s="37" t="s">
        <v>101</v>
      </c>
      <c r="K642" s="37"/>
      <c r="L642" s="37" t="s">
        <v>19</v>
      </c>
      <c r="M642" s="37"/>
      <c r="N642" s="37" t="s">
        <v>1300</v>
      </c>
    </row>
    <row r="643">
      <c r="A643" s="34"/>
      <c r="B643" s="35" t="s">
        <v>1309</v>
      </c>
      <c r="C643" s="4" t="s">
        <v>15</v>
      </c>
      <c r="D643" s="25">
        <v>0.0036458333333333334</v>
      </c>
      <c r="E643" s="34" t="str">
        <f t="shared" si="1"/>
        <v>Lab - Using Secondary Path for Path Selection</v>
      </c>
      <c r="F643" s="36">
        <v>9.0</v>
      </c>
      <c r="G643" s="34" t="s">
        <v>1310</v>
      </c>
      <c r="H643" s="37" t="s">
        <v>730</v>
      </c>
      <c r="I643" s="37" t="s">
        <v>18</v>
      </c>
      <c r="J643" s="37" t="s">
        <v>101</v>
      </c>
      <c r="K643" s="37"/>
      <c r="L643" s="37" t="s">
        <v>19</v>
      </c>
      <c r="M643" s="37"/>
      <c r="N643" s="37" t="s">
        <v>1300</v>
      </c>
    </row>
    <row r="644">
      <c r="A644" s="34"/>
      <c r="B644" s="35" t="s">
        <v>1311</v>
      </c>
      <c r="C644" s="4" t="s">
        <v>15</v>
      </c>
      <c r="D644" s="25">
        <v>0.007893518518518518</v>
      </c>
      <c r="E644" s="34" t="str">
        <f t="shared" si="1"/>
        <v>Lab - Using Secondary Path for Path Selection</v>
      </c>
      <c r="F644" s="36">
        <v>9.0</v>
      </c>
      <c r="G644" s="34" t="s">
        <v>1312</v>
      </c>
      <c r="H644" s="37" t="s">
        <v>730</v>
      </c>
      <c r="I644" s="37" t="s">
        <v>18</v>
      </c>
      <c r="J644" s="37" t="s">
        <v>101</v>
      </c>
      <c r="K644" s="37"/>
      <c r="L644" s="37" t="s">
        <v>19</v>
      </c>
      <c r="M644" s="37"/>
      <c r="N644" s="37" t="s">
        <v>1300</v>
      </c>
    </row>
    <row r="645">
      <c r="A645" s="34"/>
      <c r="B645" s="35" t="s">
        <v>1313</v>
      </c>
      <c r="C645" s="4" t="s">
        <v>15</v>
      </c>
      <c r="D645" s="25">
        <v>0.006099537037037037</v>
      </c>
      <c r="E645" s="34" t="str">
        <f t="shared" si="1"/>
        <v>Lab - Using Secondary Path for Path Selection</v>
      </c>
      <c r="F645" s="36">
        <v>9.0</v>
      </c>
      <c r="G645" s="34" t="s">
        <v>1314</v>
      </c>
      <c r="H645" s="37" t="s">
        <v>730</v>
      </c>
      <c r="I645" s="37" t="s">
        <v>18</v>
      </c>
      <c r="J645" s="37" t="s">
        <v>101</v>
      </c>
      <c r="K645" s="37"/>
      <c r="L645" s="37" t="s">
        <v>19</v>
      </c>
      <c r="M645" s="37"/>
      <c r="N645" s="37" t="s">
        <v>1300</v>
      </c>
    </row>
    <row r="646">
      <c r="A646" s="34"/>
      <c r="B646" s="35" t="s">
        <v>1315</v>
      </c>
      <c r="C646" s="4" t="s">
        <v>15</v>
      </c>
      <c r="D646" s="25">
        <v>0.010393518518518519</v>
      </c>
      <c r="E646" s="34" t="str">
        <f t="shared" si="1"/>
        <v>Advanced Segment Routing: Traffic Engineering and Proxy Sets</v>
      </c>
      <c r="F646" s="36">
        <v>9.0</v>
      </c>
      <c r="G646" s="34" t="s">
        <v>1316</v>
      </c>
      <c r="H646" s="37" t="s">
        <v>17</v>
      </c>
      <c r="I646" s="37" t="s">
        <v>18</v>
      </c>
      <c r="J646" s="37" t="s">
        <v>101</v>
      </c>
      <c r="K646" s="37"/>
      <c r="L646" s="37" t="s">
        <v>254</v>
      </c>
      <c r="M646" s="37"/>
      <c r="N646" s="37" t="s">
        <v>1317</v>
      </c>
    </row>
    <row r="647">
      <c r="A647" s="34"/>
      <c r="B647" s="35" t="s">
        <v>1318</v>
      </c>
      <c r="C647" s="4" t="s">
        <v>15</v>
      </c>
      <c r="D647" s="25">
        <v>0.007060185185185185</v>
      </c>
      <c r="E647" s="34" t="str">
        <f t="shared" si="1"/>
        <v>Advanced Segment Routing: Traffic Engineering and Proxy Sets</v>
      </c>
      <c r="F647" s="36">
        <v>9.0</v>
      </c>
      <c r="G647" s="34" t="s">
        <v>1319</v>
      </c>
      <c r="H647" s="37" t="s">
        <v>17</v>
      </c>
      <c r="I647" s="37" t="s">
        <v>18</v>
      </c>
      <c r="J647" s="37" t="s">
        <v>101</v>
      </c>
      <c r="K647" s="37"/>
      <c r="L647" s="37" t="s">
        <v>254</v>
      </c>
      <c r="M647" s="37"/>
      <c r="N647" s="37" t="s">
        <v>1317</v>
      </c>
    </row>
    <row r="648">
      <c r="A648" s="34"/>
      <c r="B648" s="35" t="s">
        <v>1320</v>
      </c>
      <c r="C648" s="4" t="s">
        <v>15</v>
      </c>
      <c r="D648" s="25">
        <v>0.007592592592592593</v>
      </c>
      <c r="E648" s="34" t="str">
        <f t="shared" si="1"/>
        <v>Advanced Segment Routing: Traffic Engineering and Proxy Sets</v>
      </c>
      <c r="F648" s="36">
        <v>9.0</v>
      </c>
      <c r="G648" s="34" t="s">
        <v>1321</v>
      </c>
      <c r="H648" s="37" t="s">
        <v>17</v>
      </c>
      <c r="I648" s="37" t="s">
        <v>18</v>
      </c>
      <c r="J648" s="37" t="s">
        <v>101</v>
      </c>
      <c r="K648" s="37"/>
      <c r="L648" s="37" t="s">
        <v>254</v>
      </c>
      <c r="M648" s="37"/>
      <c r="N648" s="37" t="s">
        <v>1317</v>
      </c>
    </row>
    <row r="649">
      <c r="A649" s="34"/>
      <c r="B649" s="35" t="s">
        <v>1322</v>
      </c>
      <c r="C649" s="4" t="s">
        <v>15</v>
      </c>
      <c r="D649" s="25">
        <v>0.002928240740740741</v>
      </c>
      <c r="E649" s="34" t="str">
        <f t="shared" si="1"/>
        <v>Advanced Segment Routing: Traffic Engineering and Proxy Sets</v>
      </c>
      <c r="F649" s="36">
        <v>9.0</v>
      </c>
      <c r="G649" s="34" t="s">
        <v>1323</v>
      </c>
      <c r="H649" s="37" t="s">
        <v>17</v>
      </c>
      <c r="I649" s="37" t="s">
        <v>18</v>
      </c>
      <c r="J649" s="37" t="s">
        <v>101</v>
      </c>
      <c r="K649" s="37"/>
      <c r="L649" s="37" t="s">
        <v>254</v>
      </c>
      <c r="M649" s="37"/>
      <c r="N649" s="37" t="s">
        <v>1317</v>
      </c>
    </row>
    <row r="650">
      <c r="A650" s="34"/>
      <c r="B650" s="35" t="s">
        <v>1324</v>
      </c>
      <c r="C650" s="4" t="s">
        <v>100</v>
      </c>
      <c r="D650" s="25">
        <v>0.013888888888888888</v>
      </c>
      <c r="E650" s="34" t="str">
        <f t="shared" si="1"/>
        <v>Advanced Segment Routing: Traffic Engineering and Proxy Sets</v>
      </c>
      <c r="F650" s="36">
        <v>9.0</v>
      </c>
      <c r="G650" s="34"/>
      <c r="H650" s="37" t="s">
        <v>17</v>
      </c>
      <c r="I650" s="37" t="s">
        <v>18</v>
      </c>
      <c r="J650" s="37" t="s">
        <v>101</v>
      </c>
      <c r="K650" s="37"/>
      <c r="L650" s="37" t="s">
        <v>254</v>
      </c>
      <c r="M650" s="37"/>
      <c r="N650" s="37" t="s">
        <v>1317</v>
      </c>
    </row>
    <row r="651">
      <c r="A651" s="34"/>
      <c r="B651" s="35" t="s">
        <v>1325</v>
      </c>
      <c r="C651" s="4" t="s">
        <v>100</v>
      </c>
      <c r="D651" s="25">
        <v>0.013888888888888888</v>
      </c>
      <c r="E651" s="34" t="str">
        <f t="shared" si="1"/>
        <v>Advanced Segment Routing: Traffic Engineering and Proxy Sets</v>
      </c>
      <c r="F651" s="36">
        <v>9.0</v>
      </c>
      <c r="G651" s="34"/>
      <c r="H651" s="37" t="s">
        <v>17</v>
      </c>
      <c r="I651" s="37" t="s">
        <v>18</v>
      </c>
      <c r="J651" s="37" t="s">
        <v>101</v>
      </c>
      <c r="K651" s="37"/>
      <c r="L651" s="37" t="s">
        <v>254</v>
      </c>
      <c r="M651" s="37"/>
      <c r="N651" s="37" t="s">
        <v>1317</v>
      </c>
    </row>
    <row r="652">
      <c r="A652" s="34"/>
      <c r="B652" s="35" t="s">
        <v>1326</v>
      </c>
      <c r="C652" s="4" t="s">
        <v>15</v>
      </c>
      <c r="D652" s="25">
        <v>0.021423611111111112</v>
      </c>
      <c r="E652" s="34" t="str">
        <f t="shared" si="1"/>
        <v>Lab - Configuring SR-TE Policy</v>
      </c>
      <c r="F652" s="36">
        <v>8.0</v>
      </c>
      <c r="G652" s="34" t="s">
        <v>1327</v>
      </c>
      <c r="H652" s="37" t="s">
        <v>17</v>
      </c>
      <c r="I652" s="37" t="s">
        <v>18</v>
      </c>
      <c r="J652" s="37" t="s">
        <v>101</v>
      </c>
      <c r="K652" s="37"/>
      <c r="L652" s="37" t="s">
        <v>254</v>
      </c>
      <c r="M652" s="37"/>
      <c r="N652" s="37" t="s">
        <v>1328</v>
      </c>
    </row>
    <row r="653">
      <c r="A653" s="34"/>
      <c r="B653" s="35" t="s">
        <v>1329</v>
      </c>
      <c r="C653" s="4" t="s">
        <v>15</v>
      </c>
      <c r="D653" s="25">
        <v>0.007465277777777778</v>
      </c>
      <c r="E653" s="34" t="str">
        <f t="shared" si="1"/>
        <v>Lab - Configuring SR-TE Policy</v>
      </c>
      <c r="F653" s="36">
        <v>8.0</v>
      </c>
      <c r="G653" s="34" t="s">
        <v>1330</v>
      </c>
      <c r="H653" s="37" t="s">
        <v>17</v>
      </c>
      <c r="I653" s="37" t="s">
        <v>18</v>
      </c>
      <c r="J653" s="37" t="s">
        <v>101</v>
      </c>
      <c r="K653" s="37"/>
      <c r="L653" s="37" t="s">
        <v>254</v>
      </c>
      <c r="M653" s="37"/>
      <c r="N653" s="37" t="s">
        <v>1328</v>
      </c>
    </row>
    <row r="654">
      <c r="A654" s="34"/>
      <c r="B654" s="35" t="s">
        <v>1331</v>
      </c>
      <c r="C654" s="4" t="s">
        <v>15</v>
      </c>
      <c r="D654" s="25">
        <v>0.006805555555555555</v>
      </c>
      <c r="E654" s="34" t="str">
        <f t="shared" si="1"/>
        <v>Lab - Configuring SR-TE Policy</v>
      </c>
      <c r="F654" s="36">
        <v>9.0</v>
      </c>
      <c r="G654" s="34" t="s">
        <v>1332</v>
      </c>
      <c r="H654" s="37" t="s">
        <v>17</v>
      </c>
      <c r="I654" s="37" t="s">
        <v>18</v>
      </c>
      <c r="J654" s="37" t="s">
        <v>101</v>
      </c>
      <c r="K654" s="37"/>
      <c r="L654" s="37" t="s">
        <v>254</v>
      </c>
      <c r="M654" s="37"/>
      <c r="N654" s="37" t="s">
        <v>1328</v>
      </c>
    </row>
    <row r="655">
      <c r="A655" s="34"/>
      <c r="B655" s="35" t="s">
        <v>1333</v>
      </c>
      <c r="C655" s="4" t="s">
        <v>15</v>
      </c>
      <c r="D655" s="25">
        <v>0.006307870370370371</v>
      </c>
      <c r="E655" s="34" t="str">
        <f t="shared" si="1"/>
        <v>Lab - Configuring SR-TE Policy</v>
      </c>
      <c r="F655" s="36">
        <v>9.0</v>
      </c>
      <c r="G655" s="34" t="s">
        <v>1334</v>
      </c>
      <c r="H655" s="37" t="s">
        <v>17</v>
      </c>
      <c r="I655" s="37" t="s">
        <v>18</v>
      </c>
      <c r="J655" s="37" t="s">
        <v>101</v>
      </c>
      <c r="K655" s="37"/>
      <c r="L655" s="37" t="s">
        <v>254</v>
      </c>
      <c r="M655" s="37"/>
      <c r="N655" s="37" t="s">
        <v>1328</v>
      </c>
    </row>
    <row r="656">
      <c r="A656" s="34"/>
      <c r="B656" s="35" t="s">
        <v>1335</v>
      </c>
      <c r="C656" s="4" t="s">
        <v>15</v>
      </c>
      <c r="D656" s="25">
        <v>0.003981481481481482</v>
      </c>
      <c r="E656" s="34" t="str">
        <f t="shared" si="1"/>
        <v>Lab - Configuring SR-TE Policy</v>
      </c>
      <c r="F656" s="36">
        <v>9.0</v>
      </c>
      <c r="G656" s="34" t="s">
        <v>1336</v>
      </c>
      <c r="H656" s="37" t="s">
        <v>17</v>
      </c>
      <c r="I656" s="37" t="s">
        <v>18</v>
      </c>
      <c r="J656" s="37" t="s">
        <v>101</v>
      </c>
      <c r="K656" s="37"/>
      <c r="L656" s="37" t="s">
        <v>254</v>
      </c>
      <c r="M656" s="37"/>
      <c r="N656" s="37" t="s">
        <v>1328</v>
      </c>
    </row>
    <row r="657">
      <c r="A657" s="34"/>
      <c r="B657" s="35" t="s">
        <v>1337</v>
      </c>
      <c r="C657" s="4" t="s">
        <v>15</v>
      </c>
      <c r="D657" s="25">
        <v>0.018449074074074073</v>
      </c>
      <c r="E657" s="34" t="str">
        <f t="shared" si="1"/>
        <v>Lab - Configuring SR-TE Policy</v>
      </c>
      <c r="F657" s="36">
        <v>10.0</v>
      </c>
      <c r="G657" s="34" t="s">
        <v>1338</v>
      </c>
      <c r="H657" s="37" t="s">
        <v>17</v>
      </c>
      <c r="I657" s="37" t="s">
        <v>18</v>
      </c>
      <c r="J657" s="37" t="s">
        <v>101</v>
      </c>
      <c r="K657" s="37"/>
      <c r="L657" s="37" t="s">
        <v>254</v>
      </c>
      <c r="M657" s="37"/>
      <c r="N657" s="37" t="s">
        <v>1328</v>
      </c>
    </row>
    <row r="658">
      <c r="A658" s="34"/>
      <c r="B658" s="35" t="s">
        <v>1339</v>
      </c>
      <c r="C658" s="4" t="s">
        <v>15</v>
      </c>
      <c r="D658" s="25">
        <v>0.004629629629629629</v>
      </c>
      <c r="E658" s="34" t="str">
        <f t="shared" si="1"/>
        <v>Lab - Configuring SR-TE Policy</v>
      </c>
      <c r="F658" s="36">
        <v>10.0</v>
      </c>
      <c r="G658" s="34" t="s">
        <v>1340</v>
      </c>
      <c r="H658" s="37" t="s">
        <v>17</v>
      </c>
      <c r="I658" s="37" t="s">
        <v>18</v>
      </c>
      <c r="J658" s="37" t="s">
        <v>101</v>
      </c>
      <c r="K658" s="37"/>
      <c r="L658" s="37" t="s">
        <v>254</v>
      </c>
      <c r="M658" s="37"/>
      <c r="N658" s="37" t="s">
        <v>1328</v>
      </c>
    </row>
    <row r="659">
      <c r="A659" s="34"/>
      <c r="B659" s="35" t="s">
        <v>1341</v>
      </c>
      <c r="C659" s="4" t="s">
        <v>100</v>
      </c>
      <c r="D659" s="25">
        <v>0.013888888888888888</v>
      </c>
      <c r="E659" s="34" t="str">
        <f t="shared" si="1"/>
        <v>Lab - Configuring SR-TE Policy</v>
      </c>
      <c r="F659" s="36">
        <v>10.0</v>
      </c>
      <c r="G659" s="34"/>
      <c r="H659" s="37" t="s">
        <v>17</v>
      </c>
      <c r="I659" s="37" t="s">
        <v>18</v>
      </c>
      <c r="J659" s="37" t="s">
        <v>101</v>
      </c>
      <c r="K659" s="37"/>
      <c r="L659" s="37" t="s">
        <v>254</v>
      </c>
      <c r="M659" s="37"/>
      <c r="N659" s="37" t="s">
        <v>1328</v>
      </c>
    </row>
    <row r="660">
      <c r="A660" s="34"/>
      <c r="B660" s="35" t="s">
        <v>1342</v>
      </c>
      <c r="C660" s="4" t="s">
        <v>100</v>
      </c>
      <c r="D660" s="25">
        <v>0.013888888888888888</v>
      </c>
      <c r="E660" s="34" t="str">
        <f t="shared" si="1"/>
        <v>Lab - Configuring SR-TE Policy</v>
      </c>
      <c r="F660" s="25"/>
      <c r="G660" s="34"/>
      <c r="H660" s="37" t="s">
        <v>17</v>
      </c>
      <c r="I660" s="37" t="s">
        <v>18</v>
      </c>
      <c r="J660" s="37" t="s">
        <v>101</v>
      </c>
      <c r="K660" s="37"/>
      <c r="L660" s="37" t="s">
        <v>254</v>
      </c>
      <c r="M660" s="37"/>
      <c r="N660" s="37" t="s">
        <v>1328</v>
      </c>
    </row>
    <row r="661">
      <c r="A661" s="34"/>
      <c r="B661" s="35" t="s">
        <v>1343</v>
      </c>
      <c r="C661" s="4" t="s">
        <v>100</v>
      </c>
      <c r="D661" s="25">
        <v>0.013888888888888888</v>
      </c>
      <c r="E661" s="34" t="str">
        <f t="shared" si="1"/>
        <v>Lab - Configuring SR-TE Policy</v>
      </c>
      <c r="F661" s="25"/>
      <c r="G661" s="34"/>
      <c r="H661" s="37" t="s">
        <v>17</v>
      </c>
      <c r="I661" s="37" t="s">
        <v>18</v>
      </c>
      <c r="J661" s="37" t="s">
        <v>101</v>
      </c>
      <c r="K661" s="37"/>
      <c r="L661" s="37" t="s">
        <v>254</v>
      </c>
      <c r="M661" s="37"/>
      <c r="N661" s="37" t="s">
        <v>1328</v>
      </c>
    </row>
    <row r="662">
      <c r="A662" s="34"/>
      <c r="B662" s="35" t="s">
        <v>1344</v>
      </c>
      <c r="C662" s="4" t="s">
        <v>100</v>
      </c>
      <c r="D662" s="25">
        <v>0.013888888888888888</v>
      </c>
      <c r="E662" s="34" t="str">
        <f t="shared" si="1"/>
        <v>Lab - Configuring SR-TE Policy</v>
      </c>
      <c r="F662" s="25"/>
      <c r="G662" s="34"/>
      <c r="H662" s="37" t="s">
        <v>17</v>
      </c>
      <c r="I662" s="37" t="s">
        <v>18</v>
      </c>
      <c r="J662" s="37" t="s">
        <v>101</v>
      </c>
      <c r="K662" s="37"/>
      <c r="L662" s="37" t="s">
        <v>254</v>
      </c>
      <c r="M662" s="37"/>
      <c r="N662" s="37" t="s">
        <v>1328</v>
      </c>
    </row>
    <row r="663">
      <c r="A663" s="34"/>
      <c r="B663" s="35" t="s">
        <v>1345</v>
      </c>
      <c r="C663" s="4" t="s">
        <v>15</v>
      </c>
      <c r="D663" s="25">
        <v>0.002962962962962963</v>
      </c>
      <c r="E663" s="34" t="str">
        <f t="shared" si="1"/>
        <v>Lab - Color Steering SR-TE Policy</v>
      </c>
      <c r="F663" s="25"/>
      <c r="G663" s="34" t="s">
        <v>1346</v>
      </c>
      <c r="H663" s="37" t="s">
        <v>730</v>
      </c>
      <c r="I663" s="37" t="s">
        <v>18</v>
      </c>
      <c r="J663" s="37" t="s">
        <v>101</v>
      </c>
      <c r="K663" s="37"/>
      <c r="L663" s="37" t="s">
        <v>19</v>
      </c>
      <c r="M663" s="37"/>
      <c r="N663" s="37" t="s">
        <v>1347</v>
      </c>
    </row>
    <row r="664">
      <c r="A664" s="34"/>
      <c r="B664" s="35" t="s">
        <v>1348</v>
      </c>
      <c r="C664" s="4" t="s">
        <v>15</v>
      </c>
      <c r="D664" s="25">
        <v>0.005439814814814815</v>
      </c>
      <c r="E664" s="34" t="str">
        <f t="shared" si="1"/>
        <v>Lab - Color Steering SR-TE Policy</v>
      </c>
      <c r="F664" s="25"/>
      <c r="G664" s="34" t="s">
        <v>1349</v>
      </c>
      <c r="H664" s="37" t="s">
        <v>730</v>
      </c>
      <c r="I664" s="37" t="s">
        <v>18</v>
      </c>
      <c r="J664" s="37" t="s">
        <v>101</v>
      </c>
      <c r="K664" s="37"/>
      <c r="L664" s="37" t="s">
        <v>19</v>
      </c>
      <c r="M664" s="37"/>
      <c r="N664" s="37" t="s">
        <v>1347</v>
      </c>
    </row>
    <row r="665">
      <c r="A665" s="34"/>
      <c r="B665" s="35" t="s">
        <v>1350</v>
      </c>
      <c r="C665" s="4" t="s">
        <v>15</v>
      </c>
      <c r="D665" s="25">
        <v>0.004178240740740741</v>
      </c>
      <c r="E665" s="34" t="str">
        <f t="shared" si="1"/>
        <v>Lab - Color Steering SR-TE Policy</v>
      </c>
      <c r="F665" s="25"/>
      <c r="G665" s="34" t="s">
        <v>1351</v>
      </c>
      <c r="H665" s="37" t="s">
        <v>730</v>
      </c>
      <c r="I665" s="37" t="s">
        <v>18</v>
      </c>
      <c r="J665" s="37" t="s">
        <v>101</v>
      </c>
      <c r="K665" s="37"/>
      <c r="L665" s="37" t="s">
        <v>19</v>
      </c>
      <c r="M665" s="37"/>
      <c r="N665" s="37" t="s">
        <v>1347</v>
      </c>
    </row>
    <row r="666">
      <c r="A666" s="34"/>
      <c r="B666" s="35" t="s">
        <v>1352</v>
      </c>
      <c r="C666" s="4" t="s">
        <v>15</v>
      </c>
      <c r="D666" s="25">
        <v>0.009027777777777777</v>
      </c>
      <c r="E666" s="34" t="str">
        <f t="shared" si="1"/>
        <v>Lab - Color Steering SR-TE Policy</v>
      </c>
      <c r="F666" s="25"/>
      <c r="G666" s="34" t="s">
        <v>1353</v>
      </c>
      <c r="H666" s="37" t="s">
        <v>730</v>
      </c>
      <c r="I666" s="37" t="s">
        <v>18</v>
      </c>
      <c r="J666" s="37" t="s">
        <v>101</v>
      </c>
      <c r="K666" s="37"/>
      <c r="L666" s="37" t="s">
        <v>19</v>
      </c>
      <c r="M666" s="37"/>
      <c r="N666" s="37" t="s">
        <v>1347</v>
      </c>
    </row>
    <row r="667">
      <c r="A667" s="34"/>
      <c r="B667" s="35" t="s">
        <v>1354</v>
      </c>
      <c r="C667" s="4" t="s">
        <v>100</v>
      </c>
      <c r="D667" s="25">
        <v>0.013888888888888888</v>
      </c>
      <c r="E667" s="34" t="str">
        <f t="shared" si="1"/>
        <v>Lab - Color Steering SR-TE Policy</v>
      </c>
      <c r="F667" s="25"/>
      <c r="G667" s="34"/>
      <c r="H667" s="37" t="s">
        <v>689</v>
      </c>
      <c r="I667" s="37" t="s">
        <v>689</v>
      </c>
      <c r="J667" s="37" t="s">
        <v>689</v>
      </c>
      <c r="K667" s="37" t="s">
        <v>689</v>
      </c>
      <c r="L667" s="37" t="s">
        <v>689</v>
      </c>
      <c r="M667" s="37" t="s">
        <v>689</v>
      </c>
      <c r="N667" s="37" t="s">
        <v>1347</v>
      </c>
    </row>
    <row r="668">
      <c r="H668" s="38"/>
      <c r="I668" s="38"/>
      <c r="J668" s="38"/>
      <c r="K668" s="38"/>
      <c r="L668" s="38"/>
      <c r="M668" s="38"/>
      <c r="N668" s="38" t="s">
        <v>689</v>
      </c>
    </row>
    <row r="669">
      <c r="H669" s="38"/>
      <c r="I669" s="38"/>
      <c r="J669" s="38"/>
      <c r="K669" s="38"/>
      <c r="L669" s="38"/>
      <c r="M669" s="38"/>
      <c r="N669" s="38" t="s">
        <v>689</v>
      </c>
    </row>
    <row r="670">
      <c r="H670" s="38"/>
      <c r="I670" s="38"/>
      <c r="J670" s="38"/>
      <c r="K670" s="38"/>
      <c r="L670" s="38"/>
      <c r="M670" s="38"/>
      <c r="N670" s="38" t="s">
        <v>689</v>
      </c>
    </row>
    <row r="671">
      <c r="H671" s="38"/>
      <c r="I671" s="38"/>
      <c r="J671" s="38"/>
      <c r="K671" s="38"/>
      <c r="L671" s="38"/>
      <c r="M671" s="38"/>
      <c r="N671" s="38" t="s">
        <v>689</v>
      </c>
    </row>
    <row r="672">
      <c r="H672" s="38"/>
      <c r="I672" s="38"/>
      <c r="J672" s="38"/>
      <c r="K672" s="38"/>
      <c r="L672" s="38"/>
      <c r="M672" s="38"/>
      <c r="N672" s="38" t="s">
        <v>689</v>
      </c>
    </row>
    <row r="673">
      <c r="H673" s="38"/>
      <c r="I673" s="38"/>
      <c r="J673" s="38"/>
      <c r="K673" s="38"/>
      <c r="L673" s="38"/>
      <c r="M673" s="38"/>
      <c r="N673" s="38" t="s">
        <v>689</v>
      </c>
    </row>
    <row r="674">
      <c r="H674" s="38"/>
      <c r="I674" s="38"/>
      <c r="J674" s="38"/>
      <c r="K674" s="38"/>
      <c r="L674" s="38"/>
      <c r="M674" s="38"/>
      <c r="N674" s="38" t="s">
        <v>689</v>
      </c>
    </row>
    <row r="675">
      <c r="H675" s="38"/>
      <c r="I675" s="38"/>
      <c r="J675" s="38"/>
      <c r="K675" s="38"/>
      <c r="L675" s="38"/>
      <c r="M675" s="38"/>
      <c r="N675" s="38" t="s">
        <v>689</v>
      </c>
    </row>
    <row r="676">
      <c r="H676" s="38"/>
      <c r="I676" s="38"/>
      <c r="J676" s="38"/>
      <c r="K676" s="38"/>
      <c r="L676" s="38"/>
      <c r="M676" s="38"/>
      <c r="N676" s="38" t="s">
        <v>689</v>
      </c>
    </row>
    <row r="677">
      <c r="H677" s="38"/>
      <c r="I677" s="38"/>
      <c r="J677" s="38"/>
      <c r="K677" s="38"/>
      <c r="L677" s="38"/>
      <c r="M677" s="38"/>
      <c r="N677" s="38" t="s">
        <v>689</v>
      </c>
    </row>
    <row r="678">
      <c r="H678" s="38"/>
      <c r="I678" s="38"/>
      <c r="J678" s="38"/>
      <c r="K678" s="38"/>
      <c r="L678" s="38"/>
      <c r="M678" s="38"/>
      <c r="N678" s="38" t="s">
        <v>689</v>
      </c>
    </row>
    <row r="679">
      <c r="H679" s="38"/>
      <c r="I679" s="38"/>
      <c r="J679" s="38"/>
      <c r="K679" s="38"/>
      <c r="L679" s="38"/>
      <c r="M679" s="38"/>
      <c r="N679" s="38" t="s">
        <v>689</v>
      </c>
    </row>
    <row r="680">
      <c r="H680" s="38"/>
      <c r="I680" s="38"/>
      <c r="J680" s="38"/>
      <c r="K680" s="38"/>
      <c r="L680" s="38"/>
      <c r="M680" s="38"/>
      <c r="N680" s="38" t="s">
        <v>689</v>
      </c>
    </row>
    <row r="681">
      <c r="H681" s="38"/>
      <c r="I681" s="38"/>
      <c r="J681" s="38"/>
      <c r="K681" s="38"/>
      <c r="L681" s="38"/>
      <c r="M681" s="38"/>
      <c r="N681" s="38" t="s">
        <v>689</v>
      </c>
    </row>
    <row r="682">
      <c r="H682" s="38"/>
      <c r="I682" s="38"/>
      <c r="J682" s="38"/>
      <c r="K682" s="38"/>
      <c r="L682" s="38"/>
      <c r="M682" s="38"/>
      <c r="N682" s="38" t="s">
        <v>689</v>
      </c>
    </row>
    <row r="683">
      <c r="H683" s="38"/>
      <c r="I683" s="38"/>
      <c r="J683" s="38"/>
      <c r="K683" s="38"/>
      <c r="L683" s="38"/>
      <c r="M683" s="38"/>
      <c r="N683" s="38" t="s">
        <v>689</v>
      </c>
    </row>
    <row r="684">
      <c r="H684" s="38"/>
      <c r="I684" s="38"/>
      <c r="J684" s="38"/>
      <c r="K684" s="38"/>
      <c r="L684" s="38"/>
      <c r="M684" s="38"/>
      <c r="N684" s="38" t="s">
        <v>689</v>
      </c>
    </row>
    <row r="685">
      <c r="H685" s="38"/>
      <c r="I685" s="38"/>
      <c r="J685" s="38"/>
      <c r="K685" s="38"/>
      <c r="L685" s="38"/>
      <c r="M685" s="38"/>
      <c r="N685" s="38" t="s">
        <v>689</v>
      </c>
    </row>
    <row r="686">
      <c r="H686" s="38"/>
      <c r="I686" s="38"/>
      <c r="J686" s="38"/>
      <c r="K686" s="38"/>
      <c r="L686" s="38"/>
      <c r="M686" s="38"/>
      <c r="N686" s="38" t="s">
        <v>689</v>
      </c>
    </row>
    <row r="687">
      <c r="H687" s="38"/>
      <c r="I687" s="38"/>
      <c r="J687" s="38"/>
      <c r="K687" s="38"/>
      <c r="L687" s="38"/>
      <c r="M687" s="38"/>
      <c r="N687" s="38" t="s">
        <v>689</v>
      </c>
    </row>
    <row r="688">
      <c r="H688" s="38"/>
      <c r="I688" s="38"/>
      <c r="J688" s="38"/>
      <c r="K688" s="38"/>
      <c r="L688" s="38"/>
      <c r="M688" s="38"/>
      <c r="N688" s="38" t="s">
        <v>689</v>
      </c>
    </row>
    <row r="689">
      <c r="H689" s="38"/>
      <c r="I689" s="38"/>
      <c r="J689" s="38"/>
      <c r="K689" s="38"/>
      <c r="L689" s="38"/>
      <c r="M689" s="38"/>
      <c r="N689" s="38" t="s">
        <v>689</v>
      </c>
    </row>
    <row r="690">
      <c r="H690" s="38"/>
      <c r="I690" s="38"/>
      <c r="J690" s="38"/>
      <c r="K690" s="38"/>
      <c r="L690" s="38"/>
      <c r="M690" s="38"/>
      <c r="N690" s="38" t="s">
        <v>689</v>
      </c>
    </row>
    <row r="691">
      <c r="H691" s="38"/>
      <c r="I691" s="38"/>
      <c r="J691" s="38"/>
      <c r="K691" s="38"/>
      <c r="L691" s="38"/>
      <c r="M691" s="38"/>
      <c r="N691" s="38" t="s">
        <v>689</v>
      </c>
    </row>
    <row r="692">
      <c r="H692" s="38"/>
      <c r="I692" s="38"/>
      <c r="J692" s="38"/>
      <c r="K692" s="38"/>
      <c r="L692" s="38"/>
      <c r="M692" s="38"/>
      <c r="N692" s="38" t="s">
        <v>689</v>
      </c>
    </row>
    <row r="693">
      <c r="H693" s="38"/>
      <c r="I693" s="38"/>
      <c r="J693" s="38"/>
      <c r="K693" s="38"/>
      <c r="L693" s="38"/>
      <c r="M693" s="38"/>
      <c r="N693" s="38" t="s">
        <v>689</v>
      </c>
    </row>
    <row r="694">
      <c r="H694" s="38"/>
      <c r="I694" s="38"/>
      <c r="J694" s="38"/>
      <c r="K694" s="38"/>
      <c r="L694" s="38"/>
      <c r="M694" s="38"/>
      <c r="N694" s="38" t="s">
        <v>689</v>
      </c>
    </row>
    <row r="695">
      <c r="H695" s="38"/>
      <c r="I695" s="38"/>
      <c r="J695" s="38"/>
      <c r="K695" s="38"/>
      <c r="L695" s="38"/>
      <c r="M695" s="38"/>
      <c r="N695" s="38" t="s">
        <v>689</v>
      </c>
    </row>
    <row r="696">
      <c r="H696" s="38"/>
      <c r="I696" s="38"/>
      <c r="J696" s="38"/>
      <c r="K696" s="38"/>
      <c r="L696" s="38"/>
      <c r="M696" s="38"/>
      <c r="N696" s="38" t="s">
        <v>689</v>
      </c>
    </row>
    <row r="697">
      <c r="H697" s="38"/>
      <c r="I697" s="38"/>
      <c r="J697" s="38"/>
      <c r="K697" s="38"/>
      <c r="L697" s="38"/>
      <c r="M697" s="38"/>
      <c r="N697" s="38" t="s">
        <v>689</v>
      </c>
    </row>
    <row r="698">
      <c r="H698" s="38"/>
      <c r="I698" s="38"/>
      <c r="J698" s="38"/>
      <c r="K698" s="38"/>
      <c r="L698" s="38"/>
      <c r="M698" s="38"/>
      <c r="N698" s="38" t="s">
        <v>689</v>
      </c>
    </row>
    <row r="699">
      <c r="H699" s="38"/>
      <c r="I699" s="38"/>
      <c r="J699" s="38"/>
      <c r="K699" s="38"/>
      <c r="L699" s="38"/>
      <c r="M699" s="38"/>
      <c r="N699" s="38" t="s">
        <v>689</v>
      </c>
    </row>
    <row r="700">
      <c r="H700" s="38"/>
      <c r="I700" s="38"/>
      <c r="J700" s="38"/>
      <c r="K700" s="38"/>
      <c r="L700" s="38"/>
      <c r="M700" s="38"/>
      <c r="N700" s="38" t="s">
        <v>689</v>
      </c>
    </row>
    <row r="701">
      <c r="H701" s="38"/>
      <c r="I701" s="38"/>
      <c r="J701" s="38"/>
      <c r="K701" s="38"/>
      <c r="L701" s="38"/>
      <c r="M701" s="38"/>
      <c r="N701" s="38" t="s">
        <v>689</v>
      </c>
    </row>
    <row r="702">
      <c r="H702" s="38"/>
      <c r="I702" s="38"/>
      <c r="J702" s="38"/>
      <c r="K702" s="38"/>
      <c r="L702" s="38"/>
      <c r="M702" s="38"/>
      <c r="N702" s="38" t="s">
        <v>689</v>
      </c>
    </row>
    <row r="703">
      <c r="H703" s="38"/>
      <c r="I703" s="38"/>
      <c r="J703" s="38"/>
      <c r="K703" s="38"/>
      <c r="L703" s="38"/>
      <c r="M703" s="38"/>
      <c r="N703" s="38" t="s">
        <v>689</v>
      </c>
    </row>
    <row r="704">
      <c r="H704" s="38"/>
      <c r="I704" s="38"/>
      <c r="J704" s="38"/>
      <c r="K704" s="38"/>
      <c r="L704" s="38"/>
      <c r="M704" s="38"/>
      <c r="N704" s="38" t="s">
        <v>689</v>
      </c>
    </row>
    <row r="705">
      <c r="H705" s="38"/>
      <c r="I705" s="38"/>
      <c r="J705" s="38"/>
      <c r="K705" s="38"/>
      <c r="L705" s="38"/>
      <c r="M705" s="38"/>
      <c r="N705" s="38" t="s">
        <v>689</v>
      </c>
    </row>
    <row r="706">
      <c r="H706" s="38"/>
      <c r="I706" s="38"/>
      <c r="J706" s="38"/>
      <c r="K706" s="38"/>
      <c r="L706" s="38"/>
      <c r="M706" s="38"/>
      <c r="N706" s="38" t="s">
        <v>689</v>
      </c>
    </row>
    <row r="707">
      <c r="H707" s="38"/>
      <c r="I707" s="38"/>
      <c r="J707" s="38"/>
      <c r="K707" s="38"/>
      <c r="L707" s="38"/>
      <c r="M707" s="38"/>
      <c r="N707" s="38" t="s">
        <v>689</v>
      </c>
    </row>
    <row r="708">
      <c r="H708" s="38"/>
      <c r="I708" s="38"/>
      <c r="J708" s="38"/>
      <c r="K708" s="38"/>
      <c r="L708" s="38"/>
      <c r="M708" s="38"/>
      <c r="N708" s="38" t="s">
        <v>689</v>
      </c>
    </row>
    <row r="709">
      <c r="H709" s="38"/>
      <c r="I709" s="38"/>
      <c r="J709" s="38"/>
      <c r="K709" s="38"/>
      <c r="L709" s="38"/>
      <c r="M709" s="38"/>
      <c r="N709" s="38" t="s">
        <v>689</v>
      </c>
    </row>
    <row r="710">
      <c r="H710" s="38"/>
      <c r="I710" s="38"/>
      <c r="J710" s="38"/>
      <c r="K710" s="38"/>
      <c r="L710" s="38"/>
      <c r="M710" s="38"/>
      <c r="N710" s="38" t="s">
        <v>689</v>
      </c>
    </row>
    <row r="711">
      <c r="H711" s="38"/>
      <c r="I711" s="38"/>
      <c r="J711" s="38"/>
      <c r="K711" s="38"/>
      <c r="L711" s="38"/>
      <c r="M711" s="38"/>
      <c r="N711" s="38" t="s">
        <v>689</v>
      </c>
    </row>
    <row r="712">
      <c r="H712" s="38"/>
      <c r="I712" s="38"/>
      <c r="J712" s="38"/>
      <c r="K712" s="38"/>
      <c r="L712" s="38"/>
      <c r="M712" s="38"/>
      <c r="N712" s="38" t="s">
        <v>689</v>
      </c>
    </row>
    <row r="713">
      <c r="H713" s="38"/>
      <c r="I713" s="38"/>
      <c r="J713" s="38"/>
      <c r="K713" s="38"/>
      <c r="L713" s="38"/>
      <c r="M713" s="38"/>
      <c r="N713" s="38" t="s">
        <v>689</v>
      </c>
    </row>
    <row r="714">
      <c r="H714" s="38"/>
      <c r="I714" s="38"/>
      <c r="J714" s="38"/>
      <c r="K714" s="38"/>
      <c r="L714" s="38"/>
      <c r="M714" s="38"/>
      <c r="N714" s="38" t="s">
        <v>689</v>
      </c>
    </row>
    <row r="715">
      <c r="H715" s="38"/>
      <c r="I715" s="38"/>
      <c r="J715" s="38"/>
      <c r="K715" s="38"/>
      <c r="L715" s="38"/>
      <c r="M715" s="38"/>
      <c r="N715" s="38" t="s">
        <v>689</v>
      </c>
    </row>
    <row r="716">
      <c r="H716" s="38"/>
      <c r="I716" s="38"/>
      <c r="J716" s="38"/>
      <c r="K716" s="38"/>
      <c r="L716" s="38"/>
      <c r="M716" s="38"/>
      <c r="N716" s="38" t="s">
        <v>689</v>
      </c>
    </row>
    <row r="717">
      <c r="H717" s="38"/>
      <c r="I717" s="38"/>
      <c r="J717" s="38"/>
      <c r="K717" s="38"/>
      <c r="L717" s="38"/>
      <c r="M717" s="38"/>
      <c r="N717" s="38" t="s">
        <v>689</v>
      </c>
    </row>
    <row r="718">
      <c r="H718" s="38"/>
      <c r="I718" s="38"/>
      <c r="J718" s="38"/>
      <c r="K718" s="38"/>
      <c r="L718" s="38"/>
      <c r="M718" s="38"/>
      <c r="N718" s="38" t="s">
        <v>689</v>
      </c>
    </row>
    <row r="719">
      <c r="H719" s="38"/>
      <c r="I719" s="38"/>
      <c r="J719" s="38"/>
      <c r="K719" s="38"/>
      <c r="L719" s="38"/>
      <c r="M719" s="38"/>
      <c r="N719" s="38" t="s">
        <v>689</v>
      </c>
    </row>
    <row r="720">
      <c r="H720" s="38"/>
      <c r="I720" s="38"/>
      <c r="J720" s="38"/>
      <c r="K720" s="38"/>
      <c r="L720" s="38"/>
      <c r="M720" s="38"/>
      <c r="N720" s="38" t="s">
        <v>689</v>
      </c>
    </row>
    <row r="721">
      <c r="H721" s="38"/>
      <c r="I721" s="38"/>
      <c r="J721" s="38"/>
      <c r="K721" s="38"/>
      <c r="L721" s="38"/>
      <c r="M721" s="38"/>
      <c r="N721" s="38" t="s">
        <v>689</v>
      </c>
    </row>
    <row r="722">
      <c r="H722" s="38"/>
      <c r="I722" s="38"/>
      <c r="J722" s="38"/>
      <c r="K722" s="38"/>
      <c r="L722" s="38"/>
      <c r="M722" s="38"/>
      <c r="N722" s="38" t="s">
        <v>689</v>
      </c>
    </row>
    <row r="723">
      <c r="H723" s="38"/>
      <c r="I723" s="38"/>
      <c r="J723" s="38"/>
      <c r="K723" s="38"/>
      <c r="L723" s="38"/>
      <c r="M723" s="38"/>
      <c r="N723" s="38" t="s">
        <v>689</v>
      </c>
    </row>
    <row r="724">
      <c r="H724" s="38"/>
      <c r="I724" s="38"/>
      <c r="J724" s="38"/>
      <c r="K724" s="38"/>
      <c r="L724" s="38"/>
      <c r="M724" s="38"/>
      <c r="N724" s="38" t="s">
        <v>689</v>
      </c>
    </row>
    <row r="725">
      <c r="H725" s="38"/>
      <c r="I725" s="38"/>
      <c r="J725" s="38"/>
      <c r="K725" s="38"/>
      <c r="L725" s="38"/>
      <c r="M725" s="38"/>
      <c r="N725" s="38" t="s">
        <v>689</v>
      </c>
    </row>
    <row r="726">
      <c r="H726" s="38"/>
      <c r="I726" s="38"/>
      <c r="J726" s="38"/>
      <c r="K726" s="38"/>
      <c r="L726" s="38"/>
      <c r="M726" s="38"/>
      <c r="N726" s="38" t="s">
        <v>689</v>
      </c>
    </row>
    <row r="727">
      <c r="H727" s="38"/>
      <c r="I727" s="38"/>
      <c r="J727" s="38"/>
      <c r="K727" s="38"/>
      <c r="L727" s="38"/>
      <c r="M727" s="38"/>
      <c r="N727" s="38" t="s">
        <v>689</v>
      </c>
    </row>
    <row r="728">
      <c r="H728" s="38"/>
      <c r="I728" s="38"/>
      <c r="J728" s="38"/>
      <c r="K728" s="38"/>
      <c r="L728" s="38"/>
      <c r="M728" s="38"/>
      <c r="N728" s="38" t="s">
        <v>689</v>
      </c>
    </row>
    <row r="729">
      <c r="H729" s="38"/>
      <c r="I729" s="38"/>
      <c r="J729" s="38"/>
      <c r="K729" s="38"/>
      <c r="L729" s="38"/>
      <c r="M729" s="38"/>
      <c r="N729" s="38" t="s">
        <v>689</v>
      </c>
    </row>
    <row r="730">
      <c r="H730" s="38"/>
      <c r="I730" s="38"/>
      <c r="J730" s="38"/>
      <c r="K730" s="38"/>
      <c r="L730" s="38"/>
      <c r="M730" s="38"/>
      <c r="N730" s="38" t="s">
        <v>689</v>
      </c>
    </row>
    <row r="731">
      <c r="H731" s="38"/>
      <c r="I731" s="38"/>
      <c r="J731" s="38"/>
      <c r="K731" s="38"/>
      <c r="L731" s="38"/>
      <c r="M731" s="38"/>
      <c r="N731" s="38" t="s">
        <v>689</v>
      </c>
    </row>
    <row r="732">
      <c r="H732" s="38"/>
      <c r="I732" s="38"/>
      <c r="J732" s="38"/>
      <c r="K732" s="38"/>
      <c r="L732" s="38"/>
      <c r="M732" s="38"/>
      <c r="N732" s="38" t="s">
        <v>689</v>
      </c>
    </row>
    <row r="733">
      <c r="H733" s="38"/>
      <c r="I733" s="38"/>
      <c r="J733" s="38"/>
      <c r="K733" s="38"/>
      <c r="L733" s="38"/>
      <c r="M733" s="38"/>
      <c r="N733" s="38" t="s">
        <v>689</v>
      </c>
    </row>
    <row r="734">
      <c r="H734" s="38"/>
      <c r="I734" s="38"/>
      <c r="J734" s="38"/>
      <c r="K734" s="38"/>
      <c r="L734" s="38"/>
      <c r="M734" s="38"/>
      <c r="N734" s="38" t="s">
        <v>689</v>
      </c>
    </row>
    <row r="735">
      <c r="H735" s="38"/>
      <c r="I735" s="38"/>
      <c r="J735" s="38"/>
      <c r="K735" s="38"/>
      <c r="L735" s="38"/>
      <c r="M735" s="38"/>
      <c r="N735" s="38" t="s">
        <v>689</v>
      </c>
    </row>
    <row r="736">
      <c r="H736" s="38"/>
      <c r="I736" s="38"/>
      <c r="J736" s="38"/>
      <c r="K736" s="38"/>
      <c r="L736" s="38"/>
      <c r="M736" s="38"/>
      <c r="N736" s="38" t="s">
        <v>689</v>
      </c>
    </row>
    <row r="737">
      <c r="H737" s="38"/>
      <c r="I737" s="38"/>
      <c r="J737" s="38"/>
      <c r="K737" s="38"/>
      <c r="L737" s="38"/>
      <c r="M737" s="38"/>
      <c r="N737" s="38" t="s">
        <v>689</v>
      </c>
    </row>
    <row r="738">
      <c r="H738" s="38"/>
      <c r="I738" s="38"/>
      <c r="J738" s="38"/>
      <c r="K738" s="38"/>
      <c r="L738" s="38"/>
      <c r="M738" s="38"/>
      <c r="N738" s="38" t="s">
        <v>689</v>
      </c>
    </row>
    <row r="739">
      <c r="H739" s="38"/>
      <c r="I739" s="38"/>
      <c r="J739" s="38"/>
      <c r="K739" s="38"/>
      <c r="L739" s="38"/>
      <c r="M739" s="38"/>
      <c r="N739" s="38" t="s">
        <v>689</v>
      </c>
    </row>
    <row r="740">
      <c r="H740" s="38"/>
      <c r="I740" s="38"/>
      <c r="J740" s="38"/>
      <c r="K740" s="38"/>
      <c r="L740" s="38"/>
      <c r="M740" s="38"/>
      <c r="N740" s="38" t="s">
        <v>689</v>
      </c>
    </row>
    <row r="741">
      <c r="H741" s="38"/>
      <c r="I741" s="38"/>
      <c r="J741" s="38"/>
      <c r="K741" s="38"/>
      <c r="L741" s="38"/>
      <c r="M741" s="38"/>
      <c r="N741" s="38" t="s">
        <v>689</v>
      </c>
    </row>
    <row r="742">
      <c r="H742" s="38"/>
      <c r="I742" s="38"/>
      <c r="J742" s="38"/>
      <c r="K742" s="38"/>
      <c r="L742" s="38"/>
      <c r="M742" s="38"/>
      <c r="N742" s="38" t="s">
        <v>689</v>
      </c>
    </row>
    <row r="743">
      <c r="H743" s="38"/>
      <c r="I743" s="38"/>
      <c r="J743" s="38"/>
      <c r="K743" s="38"/>
      <c r="L743" s="38"/>
      <c r="M743" s="38"/>
      <c r="N743" s="38" t="s">
        <v>689</v>
      </c>
    </row>
    <row r="744">
      <c r="H744" s="38"/>
      <c r="I744" s="38"/>
      <c r="J744" s="38"/>
      <c r="K744" s="38"/>
      <c r="L744" s="38"/>
      <c r="M744" s="38"/>
      <c r="N744" s="38" t="s">
        <v>689</v>
      </c>
    </row>
    <row r="745">
      <c r="H745" s="38"/>
      <c r="I745" s="38"/>
      <c r="J745" s="38"/>
      <c r="K745" s="38"/>
      <c r="L745" s="38"/>
      <c r="M745" s="38"/>
      <c r="N745" s="38" t="s">
        <v>689</v>
      </c>
    </row>
    <row r="746">
      <c r="H746" s="38"/>
      <c r="I746" s="38"/>
      <c r="J746" s="38"/>
      <c r="K746" s="38"/>
      <c r="L746" s="38"/>
      <c r="M746" s="38"/>
      <c r="N746" s="38" t="s">
        <v>689</v>
      </c>
    </row>
    <row r="747">
      <c r="H747" s="38"/>
      <c r="I747" s="38"/>
      <c r="J747" s="38"/>
      <c r="K747" s="38"/>
      <c r="L747" s="38"/>
      <c r="M747" s="38"/>
      <c r="N747" s="38" t="s">
        <v>689</v>
      </c>
    </row>
    <row r="748">
      <c r="H748" s="38"/>
      <c r="I748" s="38"/>
      <c r="J748" s="38"/>
      <c r="K748" s="38"/>
      <c r="L748" s="38"/>
      <c r="M748" s="38"/>
      <c r="N748" s="38" t="s">
        <v>689</v>
      </c>
    </row>
    <row r="749">
      <c r="H749" s="38"/>
      <c r="I749" s="38"/>
      <c r="J749" s="38"/>
      <c r="K749" s="38"/>
      <c r="L749" s="38"/>
      <c r="M749" s="38"/>
      <c r="N749" s="38" t="s">
        <v>689</v>
      </c>
    </row>
    <row r="750">
      <c r="H750" s="38"/>
      <c r="I750" s="38"/>
      <c r="J750" s="38"/>
      <c r="K750" s="38"/>
      <c r="L750" s="38"/>
      <c r="M750" s="38"/>
      <c r="N750" s="38" t="s">
        <v>689</v>
      </c>
    </row>
    <row r="751">
      <c r="H751" s="38"/>
      <c r="I751" s="38"/>
      <c r="J751" s="38"/>
      <c r="K751" s="38"/>
      <c r="L751" s="38"/>
      <c r="M751" s="38"/>
      <c r="N751" s="38" t="s">
        <v>689</v>
      </c>
    </row>
    <row r="752">
      <c r="H752" s="38"/>
      <c r="I752" s="38"/>
      <c r="J752" s="38"/>
      <c r="K752" s="38"/>
      <c r="L752" s="38"/>
      <c r="M752" s="38"/>
      <c r="N752" s="38" t="s">
        <v>689</v>
      </c>
    </row>
    <row r="753">
      <c r="H753" s="38"/>
      <c r="I753" s="38"/>
      <c r="J753" s="38"/>
      <c r="K753" s="38"/>
      <c r="L753" s="38"/>
      <c r="M753" s="38"/>
      <c r="N753" s="38" t="s">
        <v>689</v>
      </c>
    </row>
    <row r="754">
      <c r="H754" s="38"/>
      <c r="I754" s="38"/>
      <c r="J754" s="38"/>
      <c r="K754" s="38"/>
      <c r="L754" s="38"/>
      <c r="M754" s="38"/>
      <c r="N754" s="38" t="s">
        <v>689</v>
      </c>
    </row>
    <row r="755">
      <c r="H755" s="38"/>
      <c r="I755" s="38"/>
      <c r="J755" s="38"/>
      <c r="K755" s="38"/>
      <c r="L755" s="38"/>
      <c r="M755" s="38"/>
      <c r="N755" s="38" t="s">
        <v>689</v>
      </c>
    </row>
    <row r="756">
      <c r="H756" s="38"/>
      <c r="I756" s="38"/>
      <c r="J756" s="38"/>
      <c r="K756" s="38"/>
      <c r="L756" s="38"/>
      <c r="M756" s="38"/>
      <c r="N756" s="38" t="s">
        <v>689</v>
      </c>
    </row>
    <row r="757">
      <c r="H757" s="38"/>
      <c r="I757" s="38"/>
      <c r="J757" s="38"/>
      <c r="K757" s="38"/>
      <c r="L757" s="38"/>
      <c r="M757" s="38"/>
      <c r="N757" s="38" t="s">
        <v>689</v>
      </c>
    </row>
    <row r="758">
      <c r="H758" s="38"/>
      <c r="I758" s="38"/>
      <c r="J758" s="38"/>
      <c r="K758" s="38"/>
      <c r="L758" s="38"/>
      <c r="M758" s="38"/>
      <c r="N758" s="38" t="s">
        <v>689</v>
      </c>
    </row>
    <row r="759">
      <c r="H759" s="38"/>
      <c r="I759" s="38"/>
      <c r="J759" s="38"/>
      <c r="K759" s="38"/>
      <c r="L759" s="38"/>
      <c r="M759" s="38"/>
      <c r="N759" s="38" t="s">
        <v>689</v>
      </c>
    </row>
    <row r="760">
      <c r="H760" s="38"/>
      <c r="I760" s="38"/>
      <c r="J760" s="38"/>
      <c r="K760" s="38"/>
      <c r="L760" s="38"/>
      <c r="M760" s="38"/>
      <c r="N760" s="38" t="s">
        <v>689</v>
      </c>
    </row>
    <row r="761">
      <c r="H761" s="38"/>
      <c r="I761" s="38"/>
      <c r="J761" s="38"/>
      <c r="K761" s="38"/>
      <c r="L761" s="38"/>
      <c r="M761" s="38"/>
      <c r="N761" s="38" t="s">
        <v>689</v>
      </c>
    </row>
    <row r="762">
      <c r="H762" s="38"/>
      <c r="I762" s="38"/>
      <c r="J762" s="38"/>
      <c r="K762" s="38"/>
      <c r="L762" s="38"/>
      <c r="M762" s="38"/>
      <c r="N762" s="38" t="s">
        <v>689</v>
      </c>
    </row>
    <row r="763">
      <c r="H763" s="38"/>
      <c r="I763" s="38"/>
      <c r="J763" s="38"/>
      <c r="K763" s="38"/>
      <c r="L763" s="38"/>
      <c r="M763" s="38"/>
      <c r="N763" s="38" t="s">
        <v>689</v>
      </c>
    </row>
    <row r="764">
      <c r="H764" s="38"/>
      <c r="I764" s="38"/>
      <c r="J764" s="38"/>
      <c r="K764" s="38"/>
      <c r="L764" s="38"/>
      <c r="M764" s="38"/>
      <c r="N764" s="38" t="s">
        <v>689</v>
      </c>
    </row>
    <row r="765">
      <c r="H765" s="38"/>
      <c r="I765" s="38"/>
      <c r="J765" s="38"/>
      <c r="K765" s="38"/>
      <c r="L765" s="38"/>
      <c r="M765" s="38"/>
      <c r="N765" s="38" t="s">
        <v>689</v>
      </c>
    </row>
    <row r="766">
      <c r="H766" s="38"/>
      <c r="I766" s="38"/>
      <c r="J766" s="38"/>
      <c r="K766" s="38"/>
      <c r="L766" s="38"/>
      <c r="M766" s="38"/>
      <c r="N766" s="38" t="s">
        <v>689</v>
      </c>
    </row>
    <row r="767">
      <c r="H767" s="38"/>
      <c r="I767" s="38"/>
      <c r="J767" s="38"/>
      <c r="K767" s="38"/>
      <c r="L767" s="38"/>
      <c r="M767" s="38"/>
      <c r="N767" s="38" t="s">
        <v>689</v>
      </c>
    </row>
    <row r="768">
      <c r="H768" s="38"/>
      <c r="I768" s="38"/>
      <c r="J768" s="38"/>
      <c r="K768" s="38"/>
      <c r="L768" s="38"/>
      <c r="M768" s="38"/>
      <c r="N768" s="38" t="s">
        <v>689</v>
      </c>
    </row>
    <row r="769">
      <c r="H769" s="38"/>
      <c r="I769" s="38"/>
      <c r="J769" s="38"/>
      <c r="K769" s="38"/>
      <c r="L769" s="38"/>
      <c r="M769" s="38"/>
      <c r="N769" s="38" t="s">
        <v>689</v>
      </c>
    </row>
    <row r="770">
      <c r="H770" s="38"/>
      <c r="I770" s="38"/>
      <c r="J770" s="38"/>
      <c r="K770" s="38"/>
      <c r="L770" s="38"/>
      <c r="M770" s="38"/>
      <c r="N770" s="38" t="s">
        <v>689</v>
      </c>
    </row>
    <row r="771">
      <c r="H771" s="38"/>
      <c r="I771" s="38"/>
      <c r="J771" s="38"/>
      <c r="K771" s="38"/>
      <c r="L771" s="38"/>
      <c r="M771" s="38"/>
      <c r="N771" s="38" t="s">
        <v>689</v>
      </c>
    </row>
    <row r="772">
      <c r="H772" s="38"/>
      <c r="I772" s="38"/>
      <c r="J772" s="38"/>
      <c r="K772" s="38"/>
      <c r="L772" s="38"/>
      <c r="M772" s="38"/>
      <c r="N772" s="38" t="s">
        <v>689</v>
      </c>
    </row>
    <row r="773">
      <c r="H773" s="38"/>
      <c r="I773" s="38"/>
      <c r="J773" s="38"/>
      <c r="K773" s="38"/>
      <c r="L773" s="38"/>
      <c r="M773" s="38"/>
      <c r="N773" s="38" t="s">
        <v>689</v>
      </c>
    </row>
    <row r="774">
      <c r="H774" s="38"/>
      <c r="I774" s="38"/>
      <c r="J774" s="38"/>
      <c r="K774" s="38"/>
      <c r="L774" s="38"/>
      <c r="M774" s="38"/>
      <c r="N774" s="38" t="s">
        <v>689</v>
      </c>
    </row>
    <row r="775">
      <c r="H775" s="38"/>
      <c r="I775" s="38"/>
      <c r="J775" s="38"/>
      <c r="K775" s="38"/>
      <c r="L775" s="38"/>
      <c r="M775" s="38"/>
      <c r="N775" s="38" t="s">
        <v>689</v>
      </c>
    </row>
    <row r="776">
      <c r="H776" s="38"/>
      <c r="I776" s="38"/>
      <c r="J776" s="38"/>
      <c r="K776" s="38"/>
      <c r="L776" s="38"/>
      <c r="M776" s="38"/>
      <c r="N776" s="38" t="s">
        <v>689</v>
      </c>
    </row>
    <row r="777">
      <c r="H777" s="38"/>
      <c r="I777" s="38"/>
      <c r="J777" s="38"/>
      <c r="K777" s="38"/>
      <c r="L777" s="38"/>
      <c r="M777" s="38"/>
      <c r="N777" s="38" t="s">
        <v>689</v>
      </c>
    </row>
    <row r="778">
      <c r="H778" s="38"/>
      <c r="I778" s="38"/>
      <c r="J778" s="38"/>
      <c r="K778" s="38"/>
      <c r="L778" s="38"/>
      <c r="M778" s="38"/>
      <c r="N778" s="38" t="s">
        <v>689</v>
      </c>
    </row>
    <row r="779">
      <c r="H779" s="38"/>
      <c r="I779" s="38"/>
      <c r="J779" s="38"/>
      <c r="K779" s="38"/>
      <c r="L779" s="38"/>
      <c r="M779" s="38"/>
      <c r="N779" s="38" t="s">
        <v>689</v>
      </c>
    </row>
    <row r="780">
      <c r="H780" s="38"/>
      <c r="I780" s="38"/>
      <c r="J780" s="38"/>
      <c r="K780" s="38"/>
      <c r="L780" s="38"/>
      <c r="M780" s="38"/>
      <c r="N780" s="38" t="s">
        <v>689</v>
      </c>
    </row>
    <row r="781">
      <c r="H781" s="38"/>
      <c r="I781" s="38"/>
      <c r="J781" s="38"/>
      <c r="K781" s="38"/>
      <c r="L781" s="38"/>
      <c r="M781" s="38"/>
      <c r="N781" s="38" t="s">
        <v>689</v>
      </c>
    </row>
    <row r="782">
      <c r="H782" s="38"/>
      <c r="I782" s="38"/>
      <c r="J782" s="38"/>
      <c r="K782" s="38"/>
      <c r="L782" s="38"/>
      <c r="M782" s="38"/>
      <c r="N782" s="38" t="s">
        <v>689</v>
      </c>
    </row>
    <row r="783">
      <c r="H783" s="38"/>
      <c r="I783" s="38"/>
      <c r="J783" s="38"/>
      <c r="K783" s="38"/>
      <c r="L783" s="38"/>
      <c r="M783" s="38"/>
      <c r="N783" s="38" t="s">
        <v>689</v>
      </c>
    </row>
    <row r="784">
      <c r="H784" s="38"/>
      <c r="I784" s="38"/>
      <c r="J784" s="38"/>
      <c r="K784" s="38"/>
      <c r="L784" s="38"/>
      <c r="M784" s="38"/>
      <c r="N784" s="38" t="s">
        <v>689</v>
      </c>
    </row>
    <row r="785">
      <c r="H785" s="38"/>
      <c r="I785" s="38"/>
      <c r="J785" s="38"/>
      <c r="K785" s="38"/>
      <c r="L785" s="38"/>
      <c r="M785" s="38"/>
      <c r="N785" s="38" t="s">
        <v>689</v>
      </c>
    </row>
    <row r="786">
      <c r="H786" s="38"/>
      <c r="I786" s="38"/>
      <c r="J786" s="38"/>
      <c r="K786" s="38"/>
      <c r="L786" s="38"/>
      <c r="M786" s="38"/>
      <c r="N786" s="38" t="s">
        <v>689</v>
      </c>
    </row>
    <row r="787">
      <c r="H787" s="38"/>
      <c r="I787" s="38"/>
      <c r="J787" s="38"/>
      <c r="K787" s="38"/>
      <c r="L787" s="38"/>
      <c r="M787" s="38"/>
      <c r="N787" s="38" t="s">
        <v>689</v>
      </c>
    </row>
    <row r="788">
      <c r="H788" s="38"/>
      <c r="I788" s="38"/>
      <c r="J788" s="38"/>
      <c r="K788" s="38"/>
      <c r="L788" s="38"/>
      <c r="M788" s="38"/>
      <c r="N788" s="38" t="s">
        <v>689</v>
      </c>
    </row>
    <row r="789">
      <c r="H789" s="38"/>
      <c r="I789" s="38"/>
      <c r="J789" s="38"/>
      <c r="K789" s="38"/>
      <c r="L789" s="38"/>
      <c r="M789" s="38"/>
      <c r="N789" s="38" t="s">
        <v>689</v>
      </c>
    </row>
    <row r="790">
      <c r="H790" s="38"/>
      <c r="I790" s="38"/>
      <c r="J790" s="38"/>
      <c r="K790" s="38"/>
      <c r="L790" s="38"/>
      <c r="M790" s="38"/>
      <c r="N790" s="38" t="s">
        <v>689</v>
      </c>
    </row>
    <row r="791">
      <c r="H791" s="38"/>
      <c r="I791" s="38"/>
      <c r="J791" s="38"/>
      <c r="K791" s="38"/>
      <c r="L791" s="38"/>
      <c r="M791" s="38"/>
      <c r="N791" s="38" t="s">
        <v>689</v>
      </c>
    </row>
    <row r="792">
      <c r="H792" s="38"/>
      <c r="I792" s="38"/>
      <c r="J792" s="38"/>
      <c r="K792" s="38"/>
      <c r="L792" s="38"/>
      <c r="M792" s="38"/>
      <c r="N792" s="38" t="s">
        <v>689</v>
      </c>
    </row>
    <row r="793">
      <c r="H793" s="38"/>
      <c r="I793" s="38"/>
      <c r="J793" s="38"/>
      <c r="K793" s="38"/>
      <c r="L793" s="38"/>
      <c r="M793" s="38"/>
      <c r="N793" s="38" t="s">
        <v>689</v>
      </c>
    </row>
    <row r="794">
      <c r="H794" s="38"/>
      <c r="I794" s="38"/>
      <c r="J794" s="38"/>
      <c r="K794" s="38"/>
      <c r="L794" s="38"/>
      <c r="M794" s="38"/>
      <c r="N794" s="38" t="s">
        <v>689</v>
      </c>
    </row>
    <row r="795">
      <c r="H795" s="38"/>
      <c r="I795" s="38"/>
      <c r="J795" s="38"/>
      <c r="K795" s="38"/>
      <c r="L795" s="38"/>
      <c r="M795" s="38"/>
      <c r="N795" s="38" t="s">
        <v>689</v>
      </c>
    </row>
    <row r="796">
      <c r="H796" s="38"/>
      <c r="I796" s="38"/>
      <c r="J796" s="38"/>
      <c r="K796" s="38"/>
      <c r="L796" s="38"/>
      <c r="M796" s="38"/>
      <c r="N796" s="38" t="s">
        <v>689</v>
      </c>
    </row>
    <row r="797">
      <c r="H797" s="38"/>
      <c r="I797" s="38"/>
      <c r="J797" s="38"/>
      <c r="K797" s="38"/>
      <c r="L797" s="38"/>
      <c r="M797" s="38"/>
      <c r="N797" s="38" t="s">
        <v>689</v>
      </c>
    </row>
    <row r="798">
      <c r="H798" s="38"/>
      <c r="I798" s="38"/>
      <c r="J798" s="38"/>
      <c r="K798" s="38"/>
      <c r="L798" s="38"/>
      <c r="M798" s="38"/>
      <c r="N798" s="38" t="s">
        <v>689</v>
      </c>
    </row>
    <row r="799">
      <c r="H799" s="38"/>
      <c r="I799" s="38"/>
      <c r="J799" s="38"/>
      <c r="K799" s="38"/>
      <c r="L799" s="38"/>
      <c r="M799" s="38"/>
      <c r="N799" s="38" t="s">
        <v>689</v>
      </c>
    </row>
    <row r="800">
      <c r="H800" s="38"/>
      <c r="I800" s="38"/>
      <c r="J800" s="38"/>
      <c r="K800" s="38"/>
      <c r="L800" s="38"/>
      <c r="M800" s="38"/>
      <c r="N800" s="38" t="s">
        <v>689</v>
      </c>
    </row>
    <row r="801">
      <c r="H801" s="38"/>
      <c r="I801" s="38"/>
      <c r="J801" s="38"/>
      <c r="K801" s="38"/>
      <c r="L801" s="38"/>
      <c r="M801" s="38"/>
      <c r="N801" s="38" t="s">
        <v>689</v>
      </c>
    </row>
    <row r="802">
      <c r="H802" s="38"/>
      <c r="I802" s="38"/>
      <c r="J802" s="38"/>
      <c r="K802" s="38"/>
      <c r="L802" s="38"/>
      <c r="M802" s="38"/>
      <c r="N802" s="38" t="s">
        <v>689</v>
      </c>
    </row>
    <row r="803">
      <c r="H803" s="38"/>
      <c r="I803" s="38"/>
      <c r="J803" s="38"/>
      <c r="K803" s="38"/>
      <c r="L803" s="38"/>
      <c r="M803" s="38"/>
      <c r="N803" s="38" t="s">
        <v>689</v>
      </c>
    </row>
    <row r="804">
      <c r="H804" s="38"/>
      <c r="I804" s="38"/>
      <c r="J804" s="38"/>
      <c r="K804" s="38"/>
      <c r="L804" s="38"/>
      <c r="M804" s="38"/>
      <c r="N804" s="38" t="s">
        <v>689</v>
      </c>
    </row>
  </sheetData>
  <conditionalFormatting sqref="B2:B722 D2:D5">
    <cfRule type="containsText" dxfId="0" priority="1" operator="containsText" text="Lab -">
      <formula>NOT(ISERROR(SEARCH(("Lab -"),(B2))))</formula>
    </cfRule>
  </conditionalFormatting>
  <dataValidations>
    <dataValidation type="list" allowBlank="1" showErrorMessage="1" sqref="C2:C667">
      <formula1>"content,video,lab,document"</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6.22"/>
    <col customWidth="1" min="2" max="2" width="23.78"/>
    <col customWidth="1" min="3" max="3" width="6.56"/>
    <col customWidth="1" min="4" max="4" width="21.44"/>
    <col customWidth="1" min="5" max="5" width="37.89"/>
    <col customWidth="1" min="6" max="6" width="6.56"/>
  </cols>
  <sheetData>
    <row r="1" ht="11.25" customHeight="1">
      <c r="A1" s="39" t="s">
        <v>1355</v>
      </c>
      <c r="B1" s="39" t="s">
        <v>1356</v>
      </c>
      <c r="C1" s="40" t="s">
        <v>1357</v>
      </c>
      <c r="D1" s="41" t="s">
        <v>1358</v>
      </c>
      <c r="E1" s="42" t="s">
        <v>1359</v>
      </c>
      <c r="F1" s="40" t="s">
        <v>1360</v>
      </c>
    </row>
    <row r="2" ht="11.25" customHeight="1">
      <c r="A2" s="42" t="s">
        <v>1361</v>
      </c>
      <c r="B2" s="43" t="s">
        <v>1362</v>
      </c>
      <c r="C2" s="44">
        <v>1.0</v>
      </c>
      <c r="D2" s="45" t="s">
        <v>23</v>
      </c>
      <c r="E2" s="45" t="s">
        <v>14</v>
      </c>
      <c r="F2" s="46">
        <v>0.024340277777777777</v>
      </c>
    </row>
    <row r="3" ht="11.25" customHeight="1">
      <c r="A3" s="42" t="s">
        <v>1361</v>
      </c>
      <c r="B3" s="43" t="s">
        <v>1362</v>
      </c>
      <c r="C3" s="44">
        <v>1.0</v>
      </c>
      <c r="D3" s="45" t="s">
        <v>23</v>
      </c>
      <c r="E3" s="47" t="s">
        <v>20</v>
      </c>
      <c r="F3" s="46">
        <v>0.006076388888888889</v>
      </c>
    </row>
    <row r="4" ht="11.25" customHeight="1">
      <c r="A4" s="42" t="s">
        <v>1361</v>
      </c>
      <c r="B4" s="43" t="s">
        <v>1362</v>
      </c>
      <c r="C4" s="44">
        <v>1.0</v>
      </c>
      <c r="D4" s="45" t="s">
        <v>23</v>
      </c>
      <c r="E4" s="47" t="s">
        <v>24</v>
      </c>
      <c r="F4" s="46">
        <v>0.02741898148148148</v>
      </c>
    </row>
    <row r="5" ht="11.25" customHeight="1">
      <c r="A5" s="42" t="s">
        <v>1361</v>
      </c>
      <c r="B5" s="43" t="s">
        <v>1362</v>
      </c>
      <c r="C5" s="44">
        <v>1.0</v>
      </c>
      <c r="D5" s="45" t="s">
        <v>23</v>
      </c>
      <c r="E5" s="47" t="s">
        <v>26</v>
      </c>
      <c r="F5" s="46">
        <v>0.005416666666666667</v>
      </c>
    </row>
    <row r="6" ht="11.25" customHeight="1">
      <c r="A6" s="42" t="s">
        <v>1361</v>
      </c>
      <c r="B6" s="43" t="s">
        <v>1362</v>
      </c>
      <c r="C6" s="44">
        <v>2.0</v>
      </c>
      <c r="D6" s="45" t="s">
        <v>30</v>
      </c>
      <c r="E6" s="47" t="s">
        <v>28</v>
      </c>
      <c r="F6" s="46">
        <v>0.01605324074074074</v>
      </c>
    </row>
    <row r="7" ht="11.25" customHeight="1">
      <c r="A7" s="42" t="s">
        <v>1361</v>
      </c>
      <c r="B7" s="43" t="s">
        <v>1362</v>
      </c>
      <c r="C7" s="44">
        <v>2.0</v>
      </c>
      <c r="D7" s="45" t="s">
        <v>30</v>
      </c>
      <c r="E7" s="47" t="s">
        <v>31</v>
      </c>
      <c r="F7" s="46">
        <v>0.015300925925925926</v>
      </c>
    </row>
    <row r="8" ht="11.25" customHeight="1">
      <c r="A8" s="42" t="s">
        <v>1361</v>
      </c>
      <c r="B8" s="43" t="s">
        <v>1362</v>
      </c>
      <c r="C8" s="44">
        <v>3.0</v>
      </c>
      <c r="D8" s="45" t="s">
        <v>35</v>
      </c>
      <c r="E8" s="47" t="s">
        <v>33</v>
      </c>
      <c r="F8" s="46">
        <v>0.021111111111111112</v>
      </c>
    </row>
    <row r="9" ht="11.25" customHeight="1">
      <c r="A9" s="42" t="s">
        <v>1361</v>
      </c>
      <c r="B9" s="43" t="s">
        <v>1362</v>
      </c>
      <c r="C9" s="44">
        <v>3.0</v>
      </c>
      <c r="D9" s="45" t="s">
        <v>35</v>
      </c>
      <c r="E9" s="45" t="s">
        <v>36</v>
      </c>
      <c r="F9" s="46">
        <v>0.027939814814814813</v>
      </c>
    </row>
    <row r="10" ht="11.25" customHeight="1">
      <c r="A10" s="42" t="s">
        <v>1361</v>
      </c>
      <c r="B10" s="43" t="s">
        <v>1362</v>
      </c>
      <c r="C10" s="44">
        <v>4.0</v>
      </c>
      <c r="D10" s="45" t="s">
        <v>40</v>
      </c>
      <c r="E10" s="47" t="s">
        <v>38</v>
      </c>
      <c r="F10" s="46">
        <v>0.018020833333333333</v>
      </c>
    </row>
    <row r="11" ht="11.25" customHeight="1">
      <c r="A11" s="42" t="s">
        <v>1361</v>
      </c>
      <c r="B11" s="43" t="s">
        <v>1362</v>
      </c>
      <c r="C11" s="44">
        <v>4.0</v>
      </c>
      <c r="D11" s="45" t="s">
        <v>40</v>
      </c>
      <c r="E11" s="45" t="s">
        <v>41</v>
      </c>
      <c r="F11" s="46">
        <v>0.010787037037037038</v>
      </c>
    </row>
    <row r="12" ht="11.25" customHeight="1">
      <c r="A12" s="42" t="s">
        <v>1361</v>
      </c>
      <c r="B12" s="43" t="s">
        <v>1362</v>
      </c>
      <c r="C12" s="44">
        <v>4.0</v>
      </c>
      <c r="D12" s="45" t="s">
        <v>40</v>
      </c>
      <c r="E12" s="45" t="s">
        <v>43</v>
      </c>
      <c r="F12" s="46">
        <v>0.009583333333333333</v>
      </c>
    </row>
    <row r="13" ht="11.25" customHeight="1">
      <c r="A13" s="42" t="s">
        <v>1361</v>
      </c>
      <c r="B13" s="43" t="s">
        <v>1362</v>
      </c>
      <c r="C13" s="44">
        <v>4.0</v>
      </c>
      <c r="D13" s="45" t="s">
        <v>40</v>
      </c>
      <c r="E13" s="45" t="s">
        <v>45</v>
      </c>
      <c r="F13" s="46">
        <v>0.013287037037037036</v>
      </c>
    </row>
    <row r="14" ht="11.25" customHeight="1">
      <c r="A14" s="42" t="s">
        <v>1361</v>
      </c>
      <c r="B14" s="43" t="s">
        <v>1362</v>
      </c>
      <c r="C14" s="44">
        <v>4.0</v>
      </c>
      <c r="D14" s="45" t="s">
        <v>40</v>
      </c>
      <c r="E14" s="45" t="s">
        <v>47</v>
      </c>
      <c r="F14" s="46">
        <v>0.012118055555555556</v>
      </c>
    </row>
    <row r="15" ht="11.25" customHeight="1">
      <c r="A15" s="42" t="s">
        <v>1361</v>
      </c>
      <c r="B15" s="43" t="s">
        <v>1362</v>
      </c>
      <c r="C15" s="44">
        <v>4.0</v>
      </c>
      <c r="D15" s="45" t="s">
        <v>40</v>
      </c>
      <c r="E15" s="45" t="s">
        <v>49</v>
      </c>
      <c r="F15" s="48">
        <v>0.01738425925925926</v>
      </c>
    </row>
    <row r="16" ht="11.25" customHeight="1">
      <c r="A16" s="42" t="s">
        <v>1361</v>
      </c>
      <c r="B16" s="43" t="s">
        <v>1362</v>
      </c>
      <c r="C16" s="44">
        <v>5.0</v>
      </c>
      <c r="D16" s="45" t="s">
        <v>53</v>
      </c>
      <c r="E16" s="47" t="s">
        <v>51</v>
      </c>
      <c r="F16" s="46">
        <v>0.014918981481481481</v>
      </c>
    </row>
    <row r="17" ht="11.25" customHeight="1">
      <c r="A17" s="42" t="s">
        <v>1361</v>
      </c>
      <c r="B17" s="43" t="s">
        <v>1362</v>
      </c>
      <c r="C17" s="44">
        <v>5.0</v>
      </c>
      <c r="D17" s="45" t="s">
        <v>53</v>
      </c>
      <c r="E17" s="45" t="s">
        <v>54</v>
      </c>
      <c r="F17" s="46">
        <v>0.010416666666666666</v>
      </c>
    </row>
    <row r="18" ht="11.25" customHeight="1">
      <c r="A18" s="42" t="s">
        <v>1361</v>
      </c>
      <c r="B18" s="43" t="s">
        <v>1362</v>
      </c>
      <c r="C18" s="44">
        <v>5.0</v>
      </c>
      <c r="D18" s="45" t="s">
        <v>53</v>
      </c>
      <c r="E18" s="45" t="s">
        <v>56</v>
      </c>
      <c r="F18" s="46">
        <v>0.008356481481481482</v>
      </c>
    </row>
    <row r="19" ht="11.25" customHeight="1">
      <c r="A19" s="42" t="s">
        <v>1361</v>
      </c>
      <c r="B19" s="43" t="s">
        <v>1362</v>
      </c>
      <c r="C19" s="44">
        <v>5.0</v>
      </c>
      <c r="D19" s="45" t="s">
        <v>53</v>
      </c>
      <c r="E19" s="45" t="s">
        <v>58</v>
      </c>
      <c r="F19" s="46">
        <v>0.015648148148148147</v>
      </c>
    </row>
    <row r="20" ht="11.25" customHeight="1">
      <c r="A20" s="42" t="s">
        <v>1361</v>
      </c>
      <c r="B20" s="43" t="s">
        <v>1362</v>
      </c>
      <c r="C20" s="44">
        <v>5.0</v>
      </c>
      <c r="D20" s="45" t="s">
        <v>53</v>
      </c>
      <c r="E20" s="45" t="s">
        <v>60</v>
      </c>
      <c r="F20" s="46">
        <v>0.008368055555555556</v>
      </c>
    </row>
    <row r="21" ht="11.25" customHeight="1">
      <c r="A21" s="42" t="s">
        <v>1361</v>
      </c>
      <c r="B21" s="43" t="s">
        <v>1362</v>
      </c>
      <c r="C21" s="44">
        <v>6.0</v>
      </c>
      <c r="D21" s="45" t="s">
        <v>64</v>
      </c>
      <c r="E21" s="45" t="s">
        <v>62</v>
      </c>
      <c r="F21" s="46">
        <v>0.016087962962962964</v>
      </c>
    </row>
    <row r="22" ht="11.25" customHeight="1">
      <c r="A22" s="42" t="s">
        <v>1361</v>
      </c>
      <c r="B22" s="43" t="s">
        <v>1362</v>
      </c>
      <c r="C22" s="44">
        <v>6.0</v>
      </c>
      <c r="D22" s="45" t="s">
        <v>64</v>
      </c>
      <c r="E22" s="47" t="s">
        <v>65</v>
      </c>
      <c r="F22" s="46">
        <v>0.02228009259259259</v>
      </c>
    </row>
    <row r="23" ht="11.25" customHeight="1">
      <c r="A23" s="42" t="s">
        <v>1361</v>
      </c>
      <c r="B23" s="42" t="s">
        <v>1363</v>
      </c>
      <c r="C23" s="44">
        <v>1.0</v>
      </c>
      <c r="D23" s="47" t="s">
        <v>69</v>
      </c>
      <c r="E23" s="47" t="s">
        <v>67</v>
      </c>
      <c r="F23" s="46">
        <v>0.009340277777777777</v>
      </c>
    </row>
    <row r="24" ht="11.25" customHeight="1">
      <c r="A24" s="42" t="s">
        <v>1361</v>
      </c>
      <c r="B24" s="42" t="s">
        <v>1363</v>
      </c>
      <c r="C24" s="44">
        <v>1.0</v>
      </c>
      <c r="D24" s="47" t="s">
        <v>69</v>
      </c>
      <c r="E24" s="45" t="s">
        <v>70</v>
      </c>
      <c r="F24" s="46">
        <v>0.01505787037037037</v>
      </c>
    </row>
    <row r="25" ht="11.25" customHeight="1">
      <c r="A25" s="42" t="s">
        <v>1361</v>
      </c>
      <c r="B25" s="42" t="s">
        <v>1363</v>
      </c>
      <c r="C25" s="44">
        <v>1.0</v>
      </c>
      <c r="D25" s="47" t="s">
        <v>69</v>
      </c>
      <c r="E25" s="45" t="s">
        <v>72</v>
      </c>
      <c r="F25" s="46">
        <v>0.010717592592592593</v>
      </c>
    </row>
    <row r="26" ht="11.25" customHeight="1">
      <c r="A26" s="42" t="s">
        <v>1361</v>
      </c>
      <c r="B26" s="42" t="s">
        <v>1363</v>
      </c>
      <c r="C26" s="44">
        <v>1.0</v>
      </c>
      <c r="D26" s="47" t="s">
        <v>69</v>
      </c>
      <c r="E26" s="47" t="s">
        <v>75</v>
      </c>
      <c r="F26" s="46">
        <v>0.003321759259259259</v>
      </c>
    </row>
    <row r="27" ht="11.25" customHeight="1">
      <c r="A27" s="42" t="s">
        <v>1361</v>
      </c>
      <c r="B27" s="42" t="s">
        <v>1363</v>
      </c>
      <c r="C27" s="44">
        <v>1.0</v>
      </c>
      <c r="D27" s="47" t="s">
        <v>69</v>
      </c>
      <c r="E27" s="47" t="s">
        <v>77</v>
      </c>
      <c r="F27" s="46">
        <v>0.004699074074074074</v>
      </c>
    </row>
    <row r="28" ht="11.25" customHeight="1">
      <c r="A28" s="42" t="s">
        <v>1361</v>
      </c>
      <c r="B28" s="42" t="s">
        <v>1363</v>
      </c>
      <c r="C28" s="44">
        <v>1.0</v>
      </c>
      <c r="D28" s="47" t="s">
        <v>69</v>
      </c>
      <c r="E28" s="47" t="s">
        <v>79</v>
      </c>
      <c r="F28" s="46">
        <v>0.004189814814814815</v>
      </c>
    </row>
    <row r="29" ht="11.25" customHeight="1">
      <c r="A29" s="42" t="s">
        <v>1361</v>
      </c>
      <c r="B29" s="42" t="s">
        <v>1363</v>
      </c>
      <c r="C29" s="44">
        <v>1.0</v>
      </c>
      <c r="D29" s="47" t="s">
        <v>69</v>
      </c>
      <c r="E29" s="47" t="s">
        <v>81</v>
      </c>
      <c r="F29" s="46">
        <v>0.014594907407407407</v>
      </c>
    </row>
    <row r="30" ht="11.25" customHeight="1">
      <c r="A30" s="42" t="s">
        <v>1361</v>
      </c>
      <c r="B30" s="42" t="s">
        <v>1363</v>
      </c>
      <c r="C30" s="44">
        <v>2.0</v>
      </c>
      <c r="D30" s="47" t="s">
        <v>85</v>
      </c>
      <c r="E30" s="47" t="s">
        <v>83</v>
      </c>
      <c r="F30" s="46">
        <v>0.01542824074074074</v>
      </c>
    </row>
    <row r="31" ht="11.25" customHeight="1">
      <c r="A31" s="42" t="s">
        <v>1361</v>
      </c>
      <c r="B31" s="42" t="s">
        <v>1363</v>
      </c>
      <c r="C31" s="44">
        <v>2.0</v>
      </c>
      <c r="D31" s="47" t="s">
        <v>85</v>
      </c>
      <c r="E31" s="47" t="s">
        <v>86</v>
      </c>
      <c r="F31" s="46">
        <v>0.007592592592592593</v>
      </c>
    </row>
    <row r="32" ht="11.25" customHeight="1">
      <c r="A32" s="42" t="s">
        <v>1361</v>
      </c>
      <c r="B32" s="42" t="s">
        <v>1363</v>
      </c>
      <c r="C32" s="44">
        <v>2.0</v>
      </c>
      <c r="D32" s="47" t="s">
        <v>85</v>
      </c>
      <c r="E32" s="45" t="s">
        <v>88</v>
      </c>
      <c r="F32" s="46">
        <v>0.01884259259259259</v>
      </c>
    </row>
    <row r="33" ht="11.25" customHeight="1">
      <c r="A33" s="42" t="s">
        <v>1361</v>
      </c>
      <c r="B33" s="42" t="s">
        <v>1363</v>
      </c>
      <c r="C33" s="44">
        <v>2.0</v>
      </c>
      <c r="D33" s="47" t="s">
        <v>85</v>
      </c>
      <c r="E33" s="45" t="s">
        <v>91</v>
      </c>
      <c r="F33" s="46">
        <v>0.02378472222222222</v>
      </c>
    </row>
    <row r="34" ht="11.25" customHeight="1">
      <c r="A34" s="42" t="s">
        <v>1361</v>
      </c>
      <c r="B34" s="42" t="s">
        <v>1363</v>
      </c>
      <c r="C34" s="44">
        <v>2.0</v>
      </c>
      <c r="D34" s="47" t="s">
        <v>85</v>
      </c>
      <c r="E34" s="45" t="s">
        <v>93</v>
      </c>
      <c r="F34" s="46">
        <v>0.017847222222222223</v>
      </c>
    </row>
    <row r="35" ht="11.25" customHeight="1">
      <c r="A35" s="42" t="s">
        <v>1361</v>
      </c>
      <c r="B35" s="42" t="s">
        <v>1363</v>
      </c>
      <c r="C35" s="44">
        <v>2.0</v>
      </c>
      <c r="D35" s="47" t="s">
        <v>85</v>
      </c>
      <c r="E35" s="47" t="s">
        <v>95</v>
      </c>
      <c r="F35" s="46">
        <v>0.0038310185185185183</v>
      </c>
    </row>
    <row r="36" ht="11.25" customHeight="1">
      <c r="A36" s="42" t="s">
        <v>1361</v>
      </c>
      <c r="B36" s="42" t="s">
        <v>1363</v>
      </c>
      <c r="C36" s="44">
        <v>2.0</v>
      </c>
      <c r="D36" s="47" t="s">
        <v>85</v>
      </c>
      <c r="E36" s="47" t="s">
        <v>97</v>
      </c>
      <c r="F36" s="46">
        <v>0.0035300925925925925</v>
      </c>
    </row>
    <row r="37" ht="11.25" customHeight="1">
      <c r="A37" s="42" t="s">
        <v>1361</v>
      </c>
      <c r="B37" s="42" t="s">
        <v>1363</v>
      </c>
      <c r="C37" s="44">
        <v>2.0</v>
      </c>
      <c r="D37" s="47" t="s">
        <v>85</v>
      </c>
      <c r="E37" s="47" t="s">
        <v>99</v>
      </c>
      <c r="F37" s="49">
        <v>0.05555555555555555</v>
      </c>
    </row>
    <row r="38" ht="11.25" customHeight="1">
      <c r="A38" s="42" t="s">
        <v>1361</v>
      </c>
      <c r="B38" s="42" t="s">
        <v>1363</v>
      </c>
      <c r="C38" s="44">
        <v>2.0</v>
      </c>
      <c r="D38" s="47" t="s">
        <v>85</v>
      </c>
      <c r="E38" s="47" t="s">
        <v>102</v>
      </c>
      <c r="F38" s="49">
        <v>0.05555555555555555</v>
      </c>
    </row>
    <row r="39" ht="11.25" customHeight="1">
      <c r="A39" s="42" t="s">
        <v>1361</v>
      </c>
      <c r="B39" s="42" t="s">
        <v>1363</v>
      </c>
      <c r="C39" s="44">
        <v>2.0</v>
      </c>
      <c r="D39" s="47" t="s">
        <v>85</v>
      </c>
      <c r="E39" s="47" t="s">
        <v>103</v>
      </c>
      <c r="F39" s="49">
        <v>0.05555555555555555</v>
      </c>
    </row>
    <row r="40" ht="11.25" customHeight="1">
      <c r="A40" s="42" t="s">
        <v>1361</v>
      </c>
      <c r="B40" s="43" t="s">
        <v>1364</v>
      </c>
      <c r="C40" s="44">
        <v>1.0</v>
      </c>
      <c r="D40" s="47" t="s">
        <v>106</v>
      </c>
      <c r="E40" s="45" t="s">
        <v>104</v>
      </c>
      <c r="F40" s="46">
        <v>0.018587962962962962</v>
      </c>
    </row>
    <row r="41" ht="11.25" customHeight="1">
      <c r="A41" s="42" t="s">
        <v>1361</v>
      </c>
      <c r="B41" s="43" t="s">
        <v>1364</v>
      </c>
      <c r="C41" s="44">
        <v>1.0</v>
      </c>
      <c r="D41" s="47" t="s">
        <v>106</v>
      </c>
      <c r="E41" s="45" t="s">
        <v>107</v>
      </c>
      <c r="F41" s="46">
        <v>0.006446759259259259</v>
      </c>
    </row>
    <row r="42" ht="11.25" customHeight="1">
      <c r="A42" s="42" t="s">
        <v>1361</v>
      </c>
      <c r="B42" s="43" t="s">
        <v>1364</v>
      </c>
      <c r="C42" s="44">
        <v>1.0</v>
      </c>
      <c r="D42" s="47" t="s">
        <v>106</v>
      </c>
      <c r="E42" s="47" t="s">
        <v>109</v>
      </c>
      <c r="F42" s="49">
        <v>0.05555555555555555</v>
      </c>
    </row>
    <row r="43" ht="11.25" customHeight="1">
      <c r="A43" s="42" t="s">
        <v>1361</v>
      </c>
      <c r="B43" s="43" t="s">
        <v>1364</v>
      </c>
      <c r="C43" s="44">
        <v>2.0</v>
      </c>
      <c r="D43" s="47" t="s">
        <v>113</v>
      </c>
      <c r="E43" s="45"/>
      <c r="F43" s="50"/>
    </row>
    <row r="44" ht="11.25" customHeight="1">
      <c r="A44" s="42" t="s">
        <v>1361</v>
      </c>
      <c r="B44" s="43" t="s">
        <v>1364</v>
      </c>
      <c r="C44" s="44">
        <v>2.0</v>
      </c>
      <c r="D44" s="47" t="s">
        <v>113</v>
      </c>
      <c r="E44" s="47" t="s">
        <v>110</v>
      </c>
      <c r="F44" s="46">
        <v>0.022407407407407407</v>
      </c>
    </row>
    <row r="45" ht="11.25" customHeight="1">
      <c r="A45" s="42" t="s">
        <v>1361</v>
      </c>
      <c r="B45" s="43" t="s">
        <v>1364</v>
      </c>
      <c r="C45" s="44">
        <v>2.0</v>
      </c>
      <c r="D45" s="47" t="s">
        <v>113</v>
      </c>
      <c r="E45" s="45" t="s">
        <v>114</v>
      </c>
      <c r="F45" s="46">
        <v>0.023078703703703702</v>
      </c>
    </row>
    <row r="46" ht="11.25" customHeight="1">
      <c r="A46" s="42" t="s">
        <v>1361</v>
      </c>
      <c r="B46" s="43" t="s">
        <v>1364</v>
      </c>
      <c r="C46" s="44">
        <v>2.0</v>
      </c>
      <c r="D46" s="47" t="s">
        <v>113</v>
      </c>
      <c r="E46" s="45" t="s">
        <v>116</v>
      </c>
      <c r="F46" s="46">
        <v>0.009710648148148149</v>
      </c>
    </row>
    <row r="47" ht="11.25" customHeight="1">
      <c r="A47" s="42" t="s">
        <v>1361</v>
      </c>
      <c r="B47" s="43" t="s">
        <v>1364</v>
      </c>
      <c r="C47" s="44">
        <v>2.0</v>
      </c>
      <c r="D47" s="47" t="s">
        <v>113</v>
      </c>
      <c r="E47" s="45" t="s">
        <v>118</v>
      </c>
      <c r="F47" s="46">
        <v>0.014039351851851851</v>
      </c>
    </row>
    <row r="48" ht="11.25" customHeight="1">
      <c r="A48" s="42" t="s">
        <v>1361</v>
      </c>
      <c r="B48" s="43" t="s">
        <v>1364</v>
      </c>
      <c r="C48" s="44">
        <v>2.0</v>
      </c>
      <c r="D48" s="47" t="s">
        <v>113</v>
      </c>
      <c r="E48" s="45" t="s">
        <v>121</v>
      </c>
      <c r="F48" s="46">
        <v>0.017546296296296296</v>
      </c>
    </row>
    <row r="49" ht="11.25" customHeight="1">
      <c r="A49" s="42" t="s">
        <v>1361</v>
      </c>
      <c r="B49" s="43" t="s">
        <v>1364</v>
      </c>
      <c r="C49" s="44">
        <v>2.0</v>
      </c>
      <c r="D49" s="47" t="s">
        <v>113</v>
      </c>
      <c r="E49" s="45" t="s">
        <v>123</v>
      </c>
      <c r="F49" s="46">
        <v>0.009791666666666667</v>
      </c>
    </row>
    <row r="50" ht="11.25" customHeight="1">
      <c r="A50" s="42" t="s">
        <v>1361</v>
      </c>
      <c r="B50" s="43" t="s">
        <v>1364</v>
      </c>
      <c r="C50" s="44">
        <v>2.0</v>
      </c>
      <c r="D50" s="47" t="s">
        <v>113</v>
      </c>
      <c r="E50" s="47" t="s">
        <v>1365</v>
      </c>
      <c r="F50" s="46">
        <v>0.010752314814814815</v>
      </c>
    </row>
    <row r="51" ht="11.25" customHeight="1">
      <c r="A51" s="42" t="s">
        <v>1361</v>
      </c>
      <c r="B51" s="43" t="s">
        <v>1364</v>
      </c>
      <c r="C51" s="44">
        <v>2.0</v>
      </c>
      <c r="D51" s="47" t="s">
        <v>113</v>
      </c>
      <c r="E51" s="47" t="s">
        <v>125</v>
      </c>
      <c r="F51" s="49">
        <v>0.05555555555555555</v>
      </c>
    </row>
    <row r="52" ht="11.25" customHeight="1">
      <c r="A52" s="42" t="s">
        <v>1361</v>
      </c>
      <c r="B52" s="43" t="s">
        <v>1364</v>
      </c>
      <c r="C52" s="44">
        <v>2.0</v>
      </c>
      <c r="D52" s="47" t="s">
        <v>113</v>
      </c>
      <c r="E52" s="47" t="s">
        <v>126</v>
      </c>
      <c r="F52" s="49">
        <v>0.05555555555555555</v>
      </c>
    </row>
    <row r="53" ht="11.25" customHeight="1">
      <c r="A53" s="42" t="s">
        <v>1361</v>
      </c>
      <c r="B53" s="43" t="s">
        <v>1364</v>
      </c>
      <c r="C53" s="44">
        <v>3.0</v>
      </c>
      <c r="D53" s="45" t="s">
        <v>129</v>
      </c>
      <c r="E53" s="45" t="s">
        <v>127</v>
      </c>
      <c r="F53" s="46">
        <v>0.010115740740740741</v>
      </c>
    </row>
    <row r="54" ht="11.25" customHeight="1">
      <c r="A54" s="42" t="s">
        <v>1361</v>
      </c>
      <c r="B54" s="43" t="s">
        <v>1364</v>
      </c>
      <c r="C54" s="44">
        <v>3.0</v>
      </c>
      <c r="D54" s="45" t="s">
        <v>129</v>
      </c>
      <c r="E54" s="45" t="s">
        <v>130</v>
      </c>
      <c r="F54" s="46">
        <v>0.015127314814814816</v>
      </c>
    </row>
    <row r="55" ht="11.25" customHeight="1">
      <c r="A55" s="42" t="s">
        <v>1361</v>
      </c>
      <c r="B55" s="43" t="s">
        <v>1364</v>
      </c>
      <c r="C55" s="44">
        <v>3.0</v>
      </c>
      <c r="D55" s="45" t="s">
        <v>129</v>
      </c>
      <c r="E55" s="45" t="s">
        <v>1366</v>
      </c>
      <c r="F55" s="46">
        <v>0.005104166666666667</v>
      </c>
    </row>
    <row r="56" ht="11.25" customHeight="1">
      <c r="A56" s="42" t="s">
        <v>1361</v>
      </c>
      <c r="B56" s="43" t="s">
        <v>1364</v>
      </c>
      <c r="C56" s="44">
        <v>3.0</v>
      </c>
      <c r="D56" s="45" t="s">
        <v>129</v>
      </c>
      <c r="E56" s="45" t="s">
        <v>132</v>
      </c>
      <c r="F56" s="46">
        <v>0.015474537037037037</v>
      </c>
    </row>
    <row r="57" ht="11.25" customHeight="1">
      <c r="A57" s="42" t="s">
        <v>1361</v>
      </c>
      <c r="B57" s="43" t="s">
        <v>1364</v>
      </c>
      <c r="C57" s="44">
        <v>3.0</v>
      </c>
      <c r="D57" s="45" t="s">
        <v>129</v>
      </c>
      <c r="E57" s="47" t="s">
        <v>134</v>
      </c>
      <c r="F57" s="49">
        <v>0.05555555555555555</v>
      </c>
    </row>
    <row r="58" ht="11.25" customHeight="1">
      <c r="A58" s="42" t="s">
        <v>1361</v>
      </c>
      <c r="B58" s="43" t="s">
        <v>1364</v>
      </c>
      <c r="C58" s="44">
        <v>4.0</v>
      </c>
      <c r="D58" s="47" t="s">
        <v>137</v>
      </c>
      <c r="E58" s="45"/>
      <c r="F58" s="50"/>
    </row>
    <row r="59" ht="11.25" customHeight="1">
      <c r="A59" s="42" t="s">
        <v>1361</v>
      </c>
      <c r="B59" s="43" t="s">
        <v>1364</v>
      </c>
      <c r="C59" s="44">
        <v>4.0</v>
      </c>
      <c r="D59" s="47" t="s">
        <v>137</v>
      </c>
      <c r="E59" s="45" t="s">
        <v>135</v>
      </c>
      <c r="F59" s="46">
        <v>0.019872685185185184</v>
      </c>
    </row>
    <row r="60" ht="11.25" customHeight="1">
      <c r="A60" s="42" t="s">
        <v>1361</v>
      </c>
      <c r="B60" s="43" t="s">
        <v>1364</v>
      </c>
      <c r="C60" s="44">
        <v>4.0</v>
      </c>
      <c r="D60" s="47" t="s">
        <v>137</v>
      </c>
      <c r="E60" s="45" t="s">
        <v>138</v>
      </c>
      <c r="F60" s="46">
        <v>0.013101851851851852</v>
      </c>
    </row>
    <row r="61" ht="11.25" customHeight="1">
      <c r="A61" s="42" t="s">
        <v>1361</v>
      </c>
      <c r="B61" s="43" t="s">
        <v>1364</v>
      </c>
      <c r="C61" s="44">
        <v>4.0</v>
      </c>
      <c r="D61" s="47" t="s">
        <v>137</v>
      </c>
      <c r="E61" s="45" t="s">
        <v>140</v>
      </c>
      <c r="F61" s="46">
        <v>0.011550925925925926</v>
      </c>
    </row>
    <row r="62" ht="11.25" customHeight="1">
      <c r="A62" s="42" t="s">
        <v>1361</v>
      </c>
      <c r="B62" s="43" t="s">
        <v>1364</v>
      </c>
      <c r="C62" s="44">
        <v>4.0</v>
      </c>
      <c r="D62" s="47" t="s">
        <v>137</v>
      </c>
      <c r="E62" s="47" t="s">
        <v>142</v>
      </c>
      <c r="F62" s="49">
        <v>0.05555555555555555</v>
      </c>
    </row>
    <row r="63" ht="11.25" customHeight="1">
      <c r="A63" s="42" t="s">
        <v>1361</v>
      </c>
      <c r="B63" s="43" t="s">
        <v>1367</v>
      </c>
      <c r="C63" s="44">
        <v>1.0</v>
      </c>
      <c r="D63" s="45" t="s">
        <v>144</v>
      </c>
      <c r="E63" s="45"/>
      <c r="F63" s="50"/>
    </row>
    <row r="64" ht="11.25" customHeight="1">
      <c r="A64" s="42" t="s">
        <v>1361</v>
      </c>
      <c r="B64" s="43" t="s">
        <v>1367</v>
      </c>
      <c r="C64" s="44">
        <v>1.0</v>
      </c>
      <c r="D64" s="45" t="s">
        <v>144</v>
      </c>
      <c r="E64" s="47" t="s">
        <v>144</v>
      </c>
      <c r="F64" s="46">
        <v>0.018368055555555554</v>
      </c>
    </row>
    <row r="65" ht="11.25" customHeight="1">
      <c r="A65" s="42" t="s">
        <v>1361</v>
      </c>
      <c r="B65" s="43" t="s">
        <v>1367</v>
      </c>
      <c r="C65" s="44">
        <v>1.0</v>
      </c>
      <c r="D65" s="45" t="s">
        <v>144</v>
      </c>
      <c r="E65" s="45" t="s">
        <v>1368</v>
      </c>
      <c r="F65" s="46">
        <v>0.008043981481481482</v>
      </c>
    </row>
    <row r="66" ht="11.25" customHeight="1">
      <c r="A66" s="42" t="s">
        <v>1361</v>
      </c>
      <c r="B66" s="43" t="s">
        <v>1367</v>
      </c>
      <c r="C66" s="44">
        <v>1.0</v>
      </c>
      <c r="D66" s="45" t="s">
        <v>144</v>
      </c>
      <c r="E66" s="47" t="s">
        <v>143</v>
      </c>
      <c r="F66" s="49">
        <v>0.05555555555555555</v>
      </c>
    </row>
    <row r="67" ht="11.25" customHeight="1">
      <c r="A67" s="42" t="s">
        <v>1361</v>
      </c>
      <c r="B67" s="43" t="s">
        <v>1367</v>
      </c>
      <c r="C67" s="44">
        <v>2.0</v>
      </c>
      <c r="D67" s="45" t="s">
        <v>147</v>
      </c>
      <c r="E67" s="45"/>
      <c r="F67" s="50"/>
    </row>
    <row r="68" ht="11.25" customHeight="1">
      <c r="A68" s="42" t="s">
        <v>1361</v>
      </c>
      <c r="B68" s="43" t="s">
        <v>1367</v>
      </c>
      <c r="C68" s="44">
        <v>2.0</v>
      </c>
      <c r="D68" s="45" t="s">
        <v>147</v>
      </c>
      <c r="E68" s="45" t="s">
        <v>1369</v>
      </c>
      <c r="F68" s="46">
        <v>0.0128125</v>
      </c>
    </row>
    <row r="69" ht="11.25" customHeight="1">
      <c r="A69" s="42" t="s">
        <v>1361</v>
      </c>
      <c r="B69" s="43" t="s">
        <v>1367</v>
      </c>
      <c r="C69" s="44">
        <v>2.0</v>
      </c>
      <c r="D69" s="45" t="s">
        <v>147</v>
      </c>
      <c r="E69" s="47" t="s">
        <v>145</v>
      </c>
      <c r="F69" s="46">
        <v>0.019467592592592592</v>
      </c>
    </row>
    <row r="70" ht="11.25" customHeight="1">
      <c r="A70" s="42" t="s">
        <v>1361</v>
      </c>
      <c r="B70" s="43" t="s">
        <v>1367</v>
      </c>
      <c r="C70" s="44">
        <v>2.0</v>
      </c>
      <c r="D70" s="45" t="s">
        <v>147</v>
      </c>
      <c r="E70" s="47" t="s">
        <v>148</v>
      </c>
      <c r="F70" s="49">
        <v>0.05555555555555555</v>
      </c>
    </row>
    <row r="71" ht="11.25" customHeight="1">
      <c r="A71" s="42" t="s">
        <v>1361</v>
      </c>
      <c r="B71" s="43" t="s">
        <v>1367</v>
      </c>
      <c r="C71" s="44">
        <v>2.0</v>
      </c>
      <c r="D71" s="45" t="s">
        <v>147</v>
      </c>
      <c r="E71" s="47" t="s">
        <v>1370</v>
      </c>
      <c r="F71" s="46">
        <v>0.02003472222222222</v>
      </c>
    </row>
    <row r="72" ht="11.25" customHeight="1">
      <c r="A72" s="42" t="s">
        <v>1361</v>
      </c>
      <c r="B72" s="43" t="s">
        <v>1367</v>
      </c>
      <c r="C72" s="44">
        <v>2.0</v>
      </c>
      <c r="D72" s="45" t="s">
        <v>147</v>
      </c>
      <c r="E72" s="47" t="s">
        <v>1371</v>
      </c>
      <c r="F72" s="46">
        <v>0.007893518518518518</v>
      </c>
    </row>
    <row r="73" ht="11.25" customHeight="1">
      <c r="A73" s="42" t="s">
        <v>1361</v>
      </c>
      <c r="B73" s="43" t="s">
        <v>1367</v>
      </c>
      <c r="C73" s="44">
        <v>2.0</v>
      </c>
      <c r="D73" s="45" t="s">
        <v>147</v>
      </c>
      <c r="E73" s="45" t="s">
        <v>149</v>
      </c>
      <c r="F73" s="46">
        <v>0.014247685185185184</v>
      </c>
    </row>
    <row r="74" ht="11.25" customHeight="1">
      <c r="A74" s="42" t="s">
        <v>1361</v>
      </c>
      <c r="B74" s="43" t="s">
        <v>1367</v>
      </c>
      <c r="C74" s="44">
        <v>2.0</v>
      </c>
      <c r="D74" s="45" t="s">
        <v>147</v>
      </c>
      <c r="E74" s="47" t="s">
        <v>151</v>
      </c>
      <c r="F74" s="46">
        <v>0.021979166666666668</v>
      </c>
    </row>
    <row r="75" ht="11.25" customHeight="1">
      <c r="A75" s="42" t="s">
        <v>1361</v>
      </c>
      <c r="B75" s="43" t="s">
        <v>1367</v>
      </c>
      <c r="C75" s="44">
        <v>2.0</v>
      </c>
      <c r="D75" s="45" t="s">
        <v>147</v>
      </c>
      <c r="E75" s="45" t="s">
        <v>153</v>
      </c>
      <c r="F75" s="46">
        <v>0.013506944444444445</v>
      </c>
    </row>
    <row r="76" ht="11.25" customHeight="1">
      <c r="A76" s="42" t="s">
        <v>1361</v>
      </c>
      <c r="B76" s="43" t="s">
        <v>1367</v>
      </c>
      <c r="C76" s="44">
        <v>2.0</v>
      </c>
      <c r="D76" s="45" t="s">
        <v>147</v>
      </c>
      <c r="E76" s="47" t="s">
        <v>155</v>
      </c>
      <c r="F76" s="46">
        <v>0.026828703703703705</v>
      </c>
    </row>
    <row r="77" ht="11.25" customHeight="1">
      <c r="A77" s="42" t="s">
        <v>1361</v>
      </c>
      <c r="B77" s="43" t="s">
        <v>1367</v>
      </c>
      <c r="C77" s="44">
        <v>2.0</v>
      </c>
      <c r="D77" s="45" t="s">
        <v>147</v>
      </c>
      <c r="E77" s="47" t="s">
        <v>157</v>
      </c>
      <c r="F77" s="49">
        <v>0.05555555555555555</v>
      </c>
    </row>
    <row r="78" ht="11.25" customHeight="1">
      <c r="A78" s="42" t="s">
        <v>1361</v>
      </c>
      <c r="B78" s="43" t="s">
        <v>1367</v>
      </c>
      <c r="C78" s="44">
        <v>3.0</v>
      </c>
      <c r="D78" s="45" t="s">
        <v>160</v>
      </c>
      <c r="E78" s="47" t="s">
        <v>158</v>
      </c>
      <c r="F78" s="46">
        <v>0.012256944444444445</v>
      </c>
    </row>
    <row r="79" ht="11.25" customHeight="1">
      <c r="A79" s="42" t="s">
        <v>1361</v>
      </c>
      <c r="B79" s="43" t="s">
        <v>1367</v>
      </c>
      <c r="C79" s="44">
        <v>3.0</v>
      </c>
      <c r="D79" s="45" t="s">
        <v>160</v>
      </c>
      <c r="E79" s="45" t="s">
        <v>161</v>
      </c>
      <c r="F79" s="46">
        <v>0.025949074074074076</v>
      </c>
    </row>
    <row r="80" ht="11.25" customHeight="1">
      <c r="A80" s="42" t="s">
        <v>1361</v>
      </c>
      <c r="B80" s="43" t="s">
        <v>1372</v>
      </c>
      <c r="C80" s="44">
        <v>1.0</v>
      </c>
      <c r="D80" s="45" t="s">
        <v>165</v>
      </c>
      <c r="E80" s="45" t="s">
        <v>163</v>
      </c>
      <c r="F80" s="46">
        <v>0.016979166666666667</v>
      </c>
    </row>
    <row r="81" ht="11.25" customHeight="1">
      <c r="A81" s="42" t="s">
        <v>1361</v>
      </c>
      <c r="B81" s="43" t="s">
        <v>1372</v>
      </c>
      <c r="C81" s="44">
        <v>1.0</v>
      </c>
      <c r="D81" s="45" t="s">
        <v>165</v>
      </c>
      <c r="E81" s="45" t="s">
        <v>166</v>
      </c>
      <c r="F81" s="46">
        <v>0.0165625</v>
      </c>
    </row>
    <row r="82" ht="11.25" customHeight="1">
      <c r="A82" s="42" t="s">
        <v>1361</v>
      </c>
      <c r="B82" s="43" t="s">
        <v>1372</v>
      </c>
      <c r="C82" s="44">
        <v>1.0</v>
      </c>
      <c r="D82" s="45" t="s">
        <v>165</v>
      </c>
      <c r="E82" s="45" t="s">
        <v>1373</v>
      </c>
      <c r="F82" s="46">
        <v>0.011921296296296296</v>
      </c>
    </row>
    <row r="83" ht="11.25" customHeight="1">
      <c r="A83" s="42" t="s">
        <v>1361</v>
      </c>
      <c r="B83" s="43" t="s">
        <v>1372</v>
      </c>
      <c r="C83" s="44">
        <v>1.0</v>
      </c>
      <c r="D83" s="45" t="s">
        <v>165</v>
      </c>
      <c r="E83" s="45" t="s">
        <v>168</v>
      </c>
      <c r="F83" s="46">
        <v>0.006724537037037037</v>
      </c>
    </row>
    <row r="84" ht="11.25" customHeight="1">
      <c r="A84" s="42" t="s">
        <v>1361</v>
      </c>
      <c r="B84" s="43" t="s">
        <v>1372</v>
      </c>
      <c r="C84" s="44">
        <v>1.0</v>
      </c>
      <c r="D84" s="45" t="s">
        <v>165</v>
      </c>
      <c r="E84" s="47" t="s">
        <v>170</v>
      </c>
      <c r="F84" s="46">
        <v>0.014201388888888888</v>
      </c>
    </row>
    <row r="85" ht="11.25" customHeight="1">
      <c r="A85" s="42" t="s">
        <v>1361</v>
      </c>
      <c r="B85" s="43" t="s">
        <v>1372</v>
      </c>
      <c r="C85" s="44">
        <v>1.0</v>
      </c>
      <c r="D85" s="45" t="s">
        <v>165</v>
      </c>
      <c r="E85" s="47" t="s">
        <v>172</v>
      </c>
      <c r="F85" s="49">
        <v>0.05555555555555555</v>
      </c>
    </row>
    <row r="86" ht="11.25" customHeight="1">
      <c r="A86" s="42" t="s">
        <v>1361</v>
      </c>
      <c r="B86" s="43" t="s">
        <v>1372</v>
      </c>
      <c r="C86" s="44">
        <v>1.0</v>
      </c>
      <c r="D86" s="45" t="s">
        <v>165</v>
      </c>
      <c r="E86" s="47" t="s">
        <v>173</v>
      </c>
      <c r="F86" s="49">
        <v>0.05555555555555555</v>
      </c>
    </row>
    <row r="87" ht="11.25" customHeight="1">
      <c r="A87" s="42" t="s">
        <v>1361</v>
      </c>
      <c r="B87" s="43" t="s">
        <v>1372</v>
      </c>
      <c r="C87" s="44">
        <v>2.0</v>
      </c>
      <c r="D87" s="45" t="s">
        <v>176</v>
      </c>
      <c r="E87" s="45" t="s">
        <v>174</v>
      </c>
      <c r="F87" s="46">
        <v>0.013020833333333334</v>
      </c>
    </row>
    <row r="88" ht="11.25" customHeight="1">
      <c r="A88" s="42" t="s">
        <v>1361</v>
      </c>
      <c r="B88" s="43" t="s">
        <v>1372</v>
      </c>
      <c r="C88" s="44">
        <v>2.0</v>
      </c>
      <c r="D88" s="45" t="s">
        <v>176</v>
      </c>
      <c r="E88" s="47" t="s">
        <v>177</v>
      </c>
      <c r="F88" s="46">
        <v>0.019212962962962963</v>
      </c>
    </row>
    <row r="89" ht="11.25" customHeight="1">
      <c r="A89" s="42" t="s">
        <v>1361</v>
      </c>
      <c r="B89" s="43" t="s">
        <v>1372</v>
      </c>
      <c r="C89" s="44">
        <v>2.0</v>
      </c>
      <c r="D89" s="45" t="s">
        <v>176</v>
      </c>
      <c r="E89" s="45" t="s">
        <v>179</v>
      </c>
      <c r="F89" s="46">
        <v>0.01292824074074074</v>
      </c>
    </row>
    <row r="90" ht="11.25" customHeight="1">
      <c r="A90" s="42" t="s">
        <v>1361</v>
      </c>
      <c r="B90" s="43" t="s">
        <v>1372</v>
      </c>
      <c r="C90" s="44">
        <v>2.0</v>
      </c>
      <c r="D90" s="45" t="s">
        <v>176</v>
      </c>
      <c r="E90" s="45" t="s">
        <v>1374</v>
      </c>
      <c r="F90" s="46">
        <v>0.01361111111111111</v>
      </c>
    </row>
    <row r="91" ht="11.25" customHeight="1">
      <c r="A91" s="42" t="s">
        <v>1361</v>
      </c>
      <c r="B91" s="43" t="s">
        <v>1372</v>
      </c>
      <c r="C91" s="44">
        <v>2.0</v>
      </c>
      <c r="D91" s="45" t="s">
        <v>176</v>
      </c>
      <c r="E91" s="47" t="s">
        <v>1375</v>
      </c>
      <c r="F91" s="50"/>
    </row>
    <row r="92" ht="11.25" customHeight="1">
      <c r="A92" s="42" t="s">
        <v>1361</v>
      </c>
      <c r="B92" s="43" t="s">
        <v>1372</v>
      </c>
      <c r="C92" s="44">
        <v>3.0</v>
      </c>
      <c r="D92" s="45" t="s">
        <v>183</v>
      </c>
      <c r="E92" s="47" t="s">
        <v>181</v>
      </c>
      <c r="F92" s="46">
        <v>0.017685185185185186</v>
      </c>
    </row>
    <row r="93" ht="11.25" customHeight="1">
      <c r="A93" s="42" t="s">
        <v>1361</v>
      </c>
      <c r="B93" s="43" t="s">
        <v>1372</v>
      </c>
      <c r="C93" s="44">
        <v>3.0</v>
      </c>
      <c r="D93" s="45" t="s">
        <v>186</v>
      </c>
      <c r="E93" s="45" t="s">
        <v>184</v>
      </c>
      <c r="F93" s="46">
        <v>0.01726851851851852</v>
      </c>
    </row>
    <row r="94" ht="11.25" customHeight="1">
      <c r="A94" s="42" t="s">
        <v>1361</v>
      </c>
      <c r="B94" s="43" t="s">
        <v>1372</v>
      </c>
      <c r="C94" s="44">
        <v>3.0</v>
      </c>
      <c r="D94" s="45" t="s">
        <v>188</v>
      </c>
      <c r="E94" s="47" t="s">
        <v>187</v>
      </c>
      <c r="F94" s="49">
        <v>0.05555555555555555</v>
      </c>
    </row>
    <row r="95" ht="11.25" customHeight="1">
      <c r="A95" s="42" t="s">
        <v>1361</v>
      </c>
      <c r="B95" s="43" t="s">
        <v>1372</v>
      </c>
      <c r="C95" s="44">
        <v>4.0</v>
      </c>
      <c r="D95" s="45" t="s">
        <v>191</v>
      </c>
      <c r="E95" s="45" t="s">
        <v>189</v>
      </c>
      <c r="F95" s="46">
        <v>0.016527777777777777</v>
      </c>
    </row>
    <row r="96" ht="11.25" customHeight="1">
      <c r="A96" s="42" t="s">
        <v>1361</v>
      </c>
      <c r="B96" s="43" t="s">
        <v>1372</v>
      </c>
      <c r="C96" s="44">
        <v>4.0</v>
      </c>
      <c r="D96" s="45" t="s">
        <v>191</v>
      </c>
      <c r="E96" s="47" t="s">
        <v>192</v>
      </c>
      <c r="F96" s="46">
        <v>0.011064814814814816</v>
      </c>
    </row>
    <row r="97" ht="11.25" customHeight="1">
      <c r="A97" s="42" t="s">
        <v>1361</v>
      </c>
      <c r="B97" s="43" t="s">
        <v>1372</v>
      </c>
      <c r="C97" s="44">
        <v>4.0</v>
      </c>
      <c r="D97" s="45" t="s">
        <v>191</v>
      </c>
      <c r="E97" s="45" t="s">
        <v>194</v>
      </c>
      <c r="F97" s="46">
        <v>0.013912037037037037</v>
      </c>
    </row>
    <row r="98" ht="11.25" customHeight="1">
      <c r="A98" s="42" t="s">
        <v>1361</v>
      </c>
      <c r="B98" s="43" t="s">
        <v>1372</v>
      </c>
      <c r="C98" s="44">
        <v>4.0</v>
      </c>
      <c r="D98" s="45" t="s">
        <v>191</v>
      </c>
      <c r="E98" s="45" t="s">
        <v>196</v>
      </c>
      <c r="F98" s="49">
        <v>0.05555555555555555</v>
      </c>
    </row>
  </sheetData>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0.0"/>
    <col customWidth="1" min="2" max="2" width="11.11"/>
    <col customWidth="1" min="3" max="3" width="32.0"/>
    <col customWidth="1" min="4" max="4" width="7.56"/>
    <col customWidth="1" min="5" max="5" width="31.67"/>
    <col customWidth="1" min="6" max="6" width="52.56"/>
    <col customWidth="1" min="7" max="7" width="6.33"/>
  </cols>
  <sheetData>
    <row r="1" ht="14.25" customHeight="1">
      <c r="A1" s="51" t="s">
        <v>1355</v>
      </c>
      <c r="B1" s="51" t="s">
        <v>1376</v>
      </c>
      <c r="C1" s="52" t="s">
        <v>1356</v>
      </c>
      <c r="D1" s="53" t="s">
        <v>1357</v>
      </c>
      <c r="E1" s="52" t="s">
        <v>1358</v>
      </c>
      <c r="F1" s="52" t="s">
        <v>1359</v>
      </c>
      <c r="G1" s="52" t="s">
        <v>1360</v>
      </c>
    </row>
    <row r="2" ht="14.25" customHeight="1">
      <c r="A2" s="54" t="s">
        <v>1377</v>
      </c>
      <c r="B2" s="54" t="s">
        <v>1378</v>
      </c>
      <c r="C2" s="55" t="s">
        <v>1379</v>
      </c>
      <c r="D2" s="56">
        <v>1.0</v>
      </c>
      <c r="E2" s="57" t="s">
        <v>200</v>
      </c>
      <c r="F2" s="57" t="s">
        <v>197</v>
      </c>
      <c r="G2" s="58">
        <v>0.010243055555555556</v>
      </c>
    </row>
    <row r="3" ht="14.25" customHeight="1">
      <c r="A3" s="54" t="s">
        <v>1377</v>
      </c>
      <c r="B3" s="54" t="s">
        <v>1378</v>
      </c>
      <c r="C3" s="55" t="s">
        <v>1379</v>
      </c>
      <c r="D3" s="56">
        <v>1.0</v>
      </c>
      <c r="E3" s="57" t="s">
        <v>200</v>
      </c>
      <c r="F3" s="57" t="s">
        <v>201</v>
      </c>
      <c r="G3" s="58">
        <v>0.012800925925925926</v>
      </c>
    </row>
    <row r="4" ht="14.25" customHeight="1">
      <c r="A4" s="54" t="s">
        <v>1377</v>
      </c>
      <c r="B4" s="54" t="s">
        <v>1378</v>
      </c>
      <c r="C4" s="55" t="s">
        <v>1379</v>
      </c>
      <c r="D4" s="56">
        <v>1.0</v>
      </c>
      <c r="E4" s="57" t="s">
        <v>200</v>
      </c>
      <c r="F4" s="57" t="s">
        <v>203</v>
      </c>
      <c r="G4" s="58">
        <v>0.01619212962962963</v>
      </c>
    </row>
    <row r="5" ht="14.25" customHeight="1">
      <c r="A5" s="54" t="s">
        <v>1377</v>
      </c>
      <c r="B5" s="54" t="s">
        <v>1378</v>
      </c>
      <c r="C5" s="55" t="s">
        <v>1380</v>
      </c>
      <c r="D5" s="56">
        <v>1.0</v>
      </c>
      <c r="E5" s="57" t="s">
        <v>207</v>
      </c>
      <c r="F5" s="57" t="s">
        <v>205</v>
      </c>
      <c r="G5" s="58">
        <v>0.012094907407407407</v>
      </c>
    </row>
    <row r="6" ht="14.25" customHeight="1">
      <c r="A6" s="54" t="s">
        <v>1377</v>
      </c>
      <c r="B6" s="54" t="s">
        <v>1378</v>
      </c>
      <c r="C6" s="55" t="s">
        <v>1380</v>
      </c>
      <c r="D6" s="56">
        <v>1.0</v>
      </c>
      <c r="E6" s="57" t="s">
        <v>207</v>
      </c>
      <c r="F6" s="57" t="s">
        <v>208</v>
      </c>
      <c r="G6" s="58">
        <v>0.015497685185185186</v>
      </c>
    </row>
    <row r="7" ht="14.25" customHeight="1">
      <c r="A7" s="54" t="s">
        <v>1377</v>
      </c>
      <c r="B7" s="54" t="s">
        <v>1378</v>
      </c>
      <c r="C7" s="55" t="s">
        <v>1380</v>
      </c>
      <c r="D7" s="56">
        <v>1.0</v>
      </c>
      <c r="E7" s="57" t="s">
        <v>207</v>
      </c>
      <c r="F7" s="57" t="s">
        <v>210</v>
      </c>
      <c r="G7" s="58">
        <v>0.003553240740740741</v>
      </c>
    </row>
    <row r="8" ht="14.25" customHeight="1">
      <c r="A8" s="54" t="s">
        <v>1377</v>
      </c>
      <c r="B8" s="54" t="s">
        <v>1378</v>
      </c>
      <c r="C8" s="55" t="s">
        <v>1380</v>
      </c>
      <c r="D8" s="56">
        <v>1.0</v>
      </c>
      <c r="E8" s="57" t="s">
        <v>207</v>
      </c>
      <c r="F8" s="57" t="s">
        <v>656</v>
      </c>
      <c r="G8" s="58">
        <v>0.004733796296296297</v>
      </c>
    </row>
    <row r="9" ht="14.25" customHeight="1">
      <c r="A9" s="54" t="s">
        <v>1377</v>
      </c>
      <c r="B9" s="54" t="s">
        <v>1378</v>
      </c>
      <c r="C9" s="55" t="s">
        <v>1380</v>
      </c>
      <c r="D9" s="56">
        <v>1.0</v>
      </c>
      <c r="E9" s="57" t="s">
        <v>207</v>
      </c>
      <c r="F9" s="57" t="s">
        <v>658</v>
      </c>
      <c r="G9" s="58">
        <v>0.004016203703703704</v>
      </c>
    </row>
    <row r="10" ht="14.25" customHeight="1">
      <c r="A10" s="54" t="s">
        <v>1377</v>
      </c>
      <c r="B10" s="54" t="s">
        <v>1378</v>
      </c>
      <c r="C10" s="55" t="s">
        <v>1380</v>
      </c>
      <c r="D10" s="56">
        <v>1.0</v>
      </c>
      <c r="E10" s="57" t="s">
        <v>207</v>
      </c>
      <c r="F10" s="57" t="s">
        <v>212</v>
      </c>
      <c r="G10" s="58">
        <v>0.010590277777777778</v>
      </c>
    </row>
    <row r="11" ht="14.25" customHeight="1">
      <c r="A11" s="54" t="s">
        <v>1377</v>
      </c>
      <c r="B11" s="54" t="s">
        <v>1378</v>
      </c>
      <c r="C11" s="55" t="s">
        <v>1380</v>
      </c>
      <c r="D11" s="56">
        <v>2.0</v>
      </c>
      <c r="E11" s="57" t="s">
        <v>216</v>
      </c>
      <c r="F11" s="57" t="s">
        <v>214</v>
      </c>
      <c r="G11" s="58">
        <v>0.01607638888888889</v>
      </c>
    </row>
    <row r="12" ht="14.25" customHeight="1">
      <c r="A12" s="54" t="s">
        <v>1377</v>
      </c>
      <c r="B12" s="54" t="s">
        <v>1378</v>
      </c>
      <c r="C12" s="55" t="s">
        <v>1380</v>
      </c>
      <c r="D12" s="56">
        <v>2.0</v>
      </c>
      <c r="E12" s="57" t="s">
        <v>216</v>
      </c>
      <c r="F12" s="57" t="s">
        <v>217</v>
      </c>
      <c r="G12" s="58">
        <v>0.013668981481481482</v>
      </c>
    </row>
    <row r="13" ht="14.25" customHeight="1">
      <c r="A13" s="54" t="s">
        <v>1377</v>
      </c>
      <c r="B13" s="54" t="s">
        <v>1378</v>
      </c>
      <c r="C13" s="55" t="s">
        <v>1380</v>
      </c>
      <c r="D13" s="56">
        <v>2.0</v>
      </c>
      <c r="E13" s="57" t="s">
        <v>216</v>
      </c>
      <c r="F13" s="57" t="s">
        <v>219</v>
      </c>
      <c r="G13" s="58">
        <v>0.010868055555555556</v>
      </c>
    </row>
    <row r="14" ht="14.25" customHeight="1">
      <c r="A14" s="54" t="s">
        <v>1377</v>
      </c>
      <c r="B14" s="54" t="s">
        <v>1378</v>
      </c>
      <c r="C14" s="55" t="s">
        <v>1380</v>
      </c>
      <c r="D14" s="56">
        <v>2.0</v>
      </c>
      <c r="E14" s="57" t="s">
        <v>216</v>
      </c>
      <c r="F14" s="57" t="s">
        <v>221</v>
      </c>
      <c r="G14" s="58">
        <v>0.005300925925925926</v>
      </c>
    </row>
    <row r="15" ht="14.25" customHeight="1">
      <c r="A15" s="54" t="s">
        <v>1377</v>
      </c>
      <c r="B15" s="54" t="s">
        <v>1378</v>
      </c>
      <c r="C15" s="55" t="s">
        <v>1380</v>
      </c>
      <c r="D15" s="56">
        <v>2.0</v>
      </c>
      <c r="E15" s="57" t="s">
        <v>216</v>
      </c>
      <c r="F15" s="54" t="s">
        <v>223</v>
      </c>
      <c r="G15" s="58">
        <v>0.05555555555555555</v>
      </c>
    </row>
    <row r="16" ht="14.25" customHeight="1">
      <c r="A16" s="54" t="s">
        <v>1377</v>
      </c>
      <c r="B16" s="54" t="s">
        <v>1378</v>
      </c>
      <c r="C16" s="55" t="s">
        <v>1380</v>
      </c>
      <c r="D16" s="56">
        <v>2.0</v>
      </c>
      <c r="E16" s="57" t="s">
        <v>216</v>
      </c>
      <c r="F16" s="54" t="s">
        <v>1381</v>
      </c>
      <c r="G16" s="58">
        <v>0.05555555555555555</v>
      </c>
    </row>
    <row r="17" ht="14.25" customHeight="1">
      <c r="A17" s="54" t="s">
        <v>1377</v>
      </c>
      <c r="B17" s="54" t="s">
        <v>1378</v>
      </c>
      <c r="C17" s="55" t="s">
        <v>1380</v>
      </c>
      <c r="D17" s="56">
        <v>3.0</v>
      </c>
      <c r="E17" s="57" t="s">
        <v>226</v>
      </c>
      <c r="F17" s="57" t="s">
        <v>224</v>
      </c>
      <c r="G17" s="58">
        <v>0.022337962962962962</v>
      </c>
    </row>
    <row r="18" ht="14.25" customHeight="1">
      <c r="A18" s="54" t="s">
        <v>1377</v>
      </c>
      <c r="B18" s="54" t="s">
        <v>1378</v>
      </c>
      <c r="C18" s="55" t="s">
        <v>1380</v>
      </c>
      <c r="D18" s="56">
        <v>3.0</v>
      </c>
      <c r="E18" s="57" t="s">
        <v>226</v>
      </c>
      <c r="F18" s="57" t="s">
        <v>227</v>
      </c>
      <c r="G18" s="58">
        <v>0.01758101851851852</v>
      </c>
    </row>
    <row r="19" ht="14.25" customHeight="1">
      <c r="A19" s="54" t="s">
        <v>1377</v>
      </c>
      <c r="B19" s="54" t="s">
        <v>1378</v>
      </c>
      <c r="C19" s="55" t="s">
        <v>1380</v>
      </c>
      <c r="D19" s="56">
        <v>3.0</v>
      </c>
      <c r="E19" s="57" t="s">
        <v>226</v>
      </c>
      <c r="F19" s="57" t="s">
        <v>229</v>
      </c>
      <c r="G19" s="58">
        <v>0.014618055555555556</v>
      </c>
    </row>
    <row r="20" ht="14.25" customHeight="1">
      <c r="A20" s="54" t="s">
        <v>1377</v>
      </c>
      <c r="B20" s="54" t="s">
        <v>1378</v>
      </c>
      <c r="C20" s="55" t="s">
        <v>1380</v>
      </c>
      <c r="D20" s="56">
        <v>4.0</v>
      </c>
      <c r="E20" s="57" t="s">
        <v>233</v>
      </c>
      <c r="F20" s="57" t="s">
        <v>231</v>
      </c>
      <c r="G20" s="58">
        <v>0.025208333333333333</v>
      </c>
    </row>
    <row r="21" ht="14.25" customHeight="1">
      <c r="A21" s="54" t="s">
        <v>1377</v>
      </c>
      <c r="B21" s="54" t="s">
        <v>1378</v>
      </c>
      <c r="C21" s="55" t="s">
        <v>1380</v>
      </c>
      <c r="D21" s="56">
        <v>4.0</v>
      </c>
      <c r="E21" s="57" t="s">
        <v>233</v>
      </c>
      <c r="F21" s="57" t="s">
        <v>234</v>
      </c>
      <c r="G21" s="58">
        <v>0.015</v>
      </c>
    </row>
    <row r="22" ht="14.25" customHeight="1">
      <c r="A22" s="54" t="s">
        <v>1377</v>
      </c>
      <c r="B22" s="54" t="s">
        <v>1378</v>
      </c>
      <c r="C22" s="55" t="s">
        <v>1380</v>
      </c>
      <c r="D22" s="56">
        <v>4.0</v>
      </c>
      <c r="E22" s="57" t="s">
        <v>233</v>
      </c>
      <c r="F22" s="57" t="s">
        <v>663</v>
      </c>
      <c r="G22" s="58">
        <v>0.01255787037037037</v>
      </c>
    </row>
    <row r="23" ht="14.25" customHeight="1">
      <c r="A23" s="54" t="s">
        <v>1377</v>
      </c>
      <c r="B23" s="54" t="s">
        <v>1378</v>
      </c>
      <c r="C23" s="55" t="s">
        <v>1380</v>
      </c>
      <c r="D23" s="56">
        <v>4.0</v>
      </c>
      <c r="E23" s="57" t="s">
        <v>233</v>
      </c>
      <c r="F23" s="57" t="s">
        <v>236</v>
      </c>
      <c r="G23" s="58">
        <v>0.05555555555555555</v>
      </c>
    </row>
    <row r="24" ht="14.25" customHeight="1">
      <c r="A24" s="54" t="s">
        <v>1377</v>
      </c>
      <c r="B24" s="54" t="s">
        <v>1378</v>
      </c>
      <c r="C24" s="55" t="s">
        <v>1380</v>
      </c>
      <c r="D24" s="56">
        <v>4.0</v>
      </c>
      <c r="E24" s="57" t="s">
        <v>233</v>
      </c>
      <c r="F24" s="57" t="s">
        <v>237</v>
      </c>
      <c r="G24" s="58">
        <v>0.05555555555555555</v>
      </c>
    </row>
    <row r="25" ht="14.25" customHeight="1">
      <c r="A25" s="54" t="s">
        <v>1377</v>
      </c>
      <c r="B25" s="54" t="s">
        <v>1378</v>
      </c>
      <c r="C25" s="55" t="s">
        <v>1380</v>
      </c>
      <c r="D25" s="56">
        <v>5.0</v>
      </c>
      <c r="E25" s="57" t="s">
        <v>240</v>
      </c>
      <c r="F25" s="57" t="s">
        <v>238</v>
      </c>
      <c r="G25" s="58">
        <v>0.007743055555555556</v>
      </c>
    </row>
    <row r="26" ht="14.25" customHeight="1">
      <c r="A26" s="54" t="s">
        <v>1377</v>
      </c>
      <c r="B26" s="54" t="s">
        <v>1378</v>
      </c>
      <c r="C26" s="55" t="s">
        <v>1380</v>
      </c>
      <c r="D26" s="56">
        <v>5.0</v>
      </c>
      <c r="E26" s="57" t="s">
        <v>240</v>
      </c>
      <c r="F26" s="57" t="s">
        <v>241</v>
      </c>
      <c r="G26" s="58">
        <v>0.00974537037037037</v>
      </c>
    </row>
    <row r="27" ht="14.25" customHeight="1">
      <c r="A27" s="54" t="s">
        <v>1377</v>
      </c>
      <c r="B27" s="54" t="s">
        <v>1378</v>
      </c>
      <c r="C27" s="55" t="s">
        <v>1380</v>
      </c>
      <c r="D27" s="56">
        <v>5.0</v>
      </c>
      <c r="E27" s="57" t="s">
        <v>240</v>
      </c>
      <c r="F27" s="57" t="s">
        <v>243</v>
      </c>
      <c r="G27" s="58">
        <v>0.008067129629629629</v>
      </c>
    </row>
    <row r="28" ht="14.25" customHeight="1">
      <c r="A28" s="54" t="s">
        <v>1377</v>
      </c>
      <c r="B28" s="54" t="s">
        <v>1378</v>
      </c>
      <c r="C28" s="55" t="s">
        <v>1382</v>
      </c>
      <c r="D28" s="56">
        <v>1.0</v>
      </c>
      <c r="E28" s="57" t="s">
        <v>247</v>
      </c>
      <c r="F28" s="57" t="s">
        <v>245</v>
      </c>
      <c r="G28" s="58">
        <v>0.027511574074074074</v>
      </c>
    </row>
    <row r="29" ht="14.25" customHeight="1">
      <c r="A29" s="54" t="s">
        <v>1377</v>
      </c>
      <c r="B29" s="54" t="s">
        <v>1378</v>
      </c>
      <c r="C29" s="55" t="s">
        <v>1382</v>
      </c>
      <c r="D29" s="56">
        <v>1.0</v>
      </c>
      <c r="E29" s="57" t="s">
        <v>247</v>
      </c>
      <c r="F29" s="57" t="s">
        <v>248</v>
      </c>
      <c r="G29" s="58">
        <v>0.0625</v>
      </c>
    </row>
    <row r="30" ht="14.25" customHeight="1">
      <c r="A30" s="54" t="s">
        <v>1377</v>
      </c>
      <c r="B30" s="54" t="s">
        <v>1378</v>
      </c>
      <c r="C30" s="55" t="s">
        <v>1382</v>
      </c>
      <c r="D30" s="56">
        <v>2.0</v>
      </c>
      <c r="E30" s="57" t="s">
        <v>251</v>
      </c>
      <c r="F30" s="57" t="s">
        <v>249</v>
      </c>
      <c r="G30" s="58">
        <v>0.020023148148148148</v>
      </c>
    </row>
    <row r="31" ht="14.25" customHeight="1">
      <c r="A31" s="54" t="s">
        <v>1377</v>
      </c>
      <c r="B31" s="54" t="s">
        <v>1378</v>
      </c>
      <c r="C31" s="55" t="s">
        <v>1382</v>
      </c>
      <c r="D31" s="56">
        <v>2.0</v>
      </c>
      <c r="E31" s="57" t="s">
        <v>251</v>
      </c>
      <c r="F31" s="57" t="s">
        <v>252</v>
      </c>
      <c r="G31" s="58">
        <v>0.01570601851851852</v>
      </c>
    </row>
    <row r="32" ht="14.25" customHeight="1">
      <c r="A32" s="54" t="s">
        <v>1377</v>
      </c>
      <c r="B32" s="54" t="s">
        <v>1378</v>
      </c>
      <c r="C32" s="55" t="s">
        <v>1383</v>
      </c>
      <c r="D32" s="56">
        <v>1.0</v>
      </c>
      <c r="E32" s="57" t="s">
        <v>258</v>
      </c>
      <c r="F32" s="57" t="s">
        <v>255</v>
      </c>
      <c r="G32" s="58">
        <v>0.020231481481481482</v>
      </c>
    </row>
    <row r="33" ht="14.25" customHeight="1">
      <c r="A33" s="54" t="s">
        <v>1377</v>
      </c>
      <c r="B33" s="54" t="s">
        <v>1378</v>
      </c>
      <c r="C33" s="55" t="s">
        <v>1383</v>
      </c>
      <c r="D33" s="56">
        <v>1.0</v>
      </c>
      <c r="E33" s="57" t="s">
        <v>258</v>
      </c>
      <c r="F33" s="57" t="s">
        <v>259</v>
      </c>
      <c r="G33" s="58">
        <v>0.01204861111111111</v>
      </c>
    </row>
    <row r="34" ht="14.25" customHeight="1">
      <c r="A34" s="54" t="s">
        <v>1377</v>
      </c>
      <c r="B34" s="54" t="s">
        <v>1378</v>
      </c>
      <c r="C34" s="55" t="s">
        <v>1383</v>
      </c>
      <c r="D34" s="56">
        <v>2.0</v>
      </c>
      <c r="E34" s="57" t="s">
        <v>263</v>
      </c>
      <c r="F34" s="57" t="s">
        <v>681</v>
      </c>
      <c r="G34" s="58">
        <v>0.010069444444444445</v>
      </c>
    </row>
    <row r="35" ht="14.25" customHeight="1">
      <c r="A35" s="54" t="s">
        <v>1377</v>
      </c>
      <c r="B35" s="54" t="s">
        <v>1378</v>
      </c>
      <c r="C35" s="55" t="s">
        <v>1383</v>
      </c>
      <c r="D35" s="56">
        <v>2.0</v>
      </c>
      <c r="E35" s="57" t="s">
        <v>263</v>
      </c>
      <c r="F35" s="57" t="s">
        <v>683</v>
      </c>
      <c r="G35" s="58">
        <v>0.012199074074074074</v>
      </c>
    </row>
    <row r="36" ht="14.25" customHeight="1">
      <c r="A36" s="54" t="s">
        <v>1377</v>
      </c>
      <c r="B36" s="54" t="s">
        <v>1378</v>
      </c>
      <c r="C36" s="55" t="s">
        <v>1383</v>
      </c>
      <c r="D36" s="56">
        <v>2.0</v>
      </c>
      <c r="E36" s="57" t="s">
        <v>263</v>
      </c>
      <c r="F36" s="57" t="s">
        <v>261</v>
      </c>
      <c r="G36" s="58">
        <v>0.0038773148148148148</v>
      </c>
    </row>
    <row r="37" ht="14.25" customHeight="1">
      <c r="A37" s="54" t="s">
        <v>1377</v>
      </c>
      <c r="B37" s="54" t="s">
        <v>1378</v>
      </c>
      <c r="C37" s="55" t="s">
        <v>1384</v>
      </c>
      <c r="D37" s="56">
        <v>1.0</v>
      </c>
      <c r="E37" s="57" t="s">
        <v>266</v>
      </c>
      <c r="F37" s="57" t="s">
        <v>264</v>
      </c>
      <c r="G37" s="58">
        <v>0.007245370370370371</v>
      </c>
    </row>
    <row r="38" ht="14.25" customHeight="1">
      <c r="A38" s="54" t="s">
        <v>1377</v>
      </c>
      <c r="B38" s="54" t="s">
        <v>1378</v>
      </c>
      <c r="C38" s="55" t="s">
        <v>1384</v>
      </c>
      <c r="D38" s="56">
        <v>1.0</v>
      </c>
      <c r="E38" s="57" t="s">
        <v>266</v>
      </c>
      <c r="F38" s="57" t="s">
        <v>267</v>
      </c>
      <c r="G38" s="58">
        <v>0.0171875</v>
      </c>
    </row>
    <row r="39" ht="14.25" customHeight="1">
      <c r="A39" s="54" t="s">
        <v>1377</v>
      </c>
      <c r="B39" s="54" t="s">
        <v>1378</v>
      </c>
      <c r="C39" s="55" t="s">
        <v>1384</v>
      </c>
      <c r="D39" s="56">
        <v>1.0</v>
      </c>
      <c r="E39" s="57" t="s">
        <v>266</v>
      </c>
      <c r="F39" s="57" t="s">
        <v>269</v>
      </c>
      <c r="G39" s="58">
        <v>0.01474537037037037</v>
      </c>
    </row>
    <row r="40" ht="14.25" customHeight="1">
      <c r="A40" s="54" t="s">
        <v>1377</v>
      </c>
      <c r="B40" s="54" t="s">
        <v>1378</v>
      </c>
      <c r="C40" s="55" t="s">
        <v>1384</v>
      </c>
      <c r="D40" s="56">
        <v>1.0</v>
      </c>
      <c r="E40" s="57" t="s">
        <v>266</v>
      </c>
      <c r="F40" s="57" t="s">
        <v>271</v>
      </c>
      <c r="G40" s="58">
        <v>0.012060185185185186</v>
      </c>
    </row>
    <row r="41" ht="14.25" customHeight="1">
      <c r="A41" s="54" t="s">
        <v>1377</v>
      </c>
      <c r="B41" s="54" t="s">
        <v>1378</v>
      </c>
      <c r="C41" s="55" t="s">
        <v>1384</v>
      </c>
      <c r="D41" s="56">
        <v>1.0</v>
      </c>
      <c r="E41" s="57" t="s">
        <v>266</v>
      </c>
      <c r="F41" s="57" t="s">
        <v>1385</v>
      </c>
      <c r="G41" s="58">
        <v>0.05555555555555555</v>
      </c>
    </row>
    <row r="42" ht="14.25" customHeight="1">
      <c r="A42" s="54" t="s">
        <v>1377</v>
      </c>
      <c r="B42" s="54" t="s">
        <v>1378</v>
      </c>
      <c r="C42" s="55" t="s">
        <v>1384</v>
      </c>
      <c r="D42" s="56">
        <v>2.0</v>
      </c>
      <c r="E42" s="57" t="s">
        <v>275</v>
      </c>
      <c r="F42" s="57" t="s">
        <v>273</v>
      </c>
      <c r="G42" s="58">
        <v>0.017534722222222222</v>
      </c>
    </row>
    <row r="43" ht="14.25" customHeight="1">
      <c r="A43" s="54" t="s">
        <v>1377</v>
      </c>
      <c r="B43" s="54" t="s">
        <v>1378</v>
      </c>
      <c r="C43" s="55" t="s">
        <v>1384</v>
      </c>
      <c r="D43" s="56">
        <v>2.0</v>
      </c>
      <c r="E43" s="57" t="s">
        <v>275</v>
      </c>
      <c r="F43" s="57" t="s">
        <v>276</v>
      </c>
      <c r="G43" s="58">
        <v>0.01269675925925926</v>
      </c>
    </row>
    <row r="44" ht="14.25" customHeight="1">
      <c r="A44" s="54" t="s">
        <v>1377</v>
      </c>
      <c r="B44" s="54" t="s">
        <v>1378</v>
      </c>
      <c r="C44" s="55" t="s">
        <v>1384</v>
      </c>
      <c r="D44" s="56">
        <v>3.0</v>
      </c>
      <c r="E44" s="57" t="s">
        <v>280</v>
      </c>
      <c r="F44" s="57" t="s">
        <v>278</v>
      </c>
      <c r="G44" s="58">
        <v>0.0171875</v>
      </c>
    </row>
    <row r="45" ht="14.25" customHeight="1">
      <c r="A45" s="54" t="s">
        <v>1377</v>
      </c>
      <c r="B45" s="54" t="s">
        <v>1378</v>
      </c>
      <c r="C45" s="55" t="s">
        <v>1384</v>
      </c>
      <c r="D45" s="56">
        <v>3.0</v>
      </c>
      <c r="E45" s="57" t="s">
        <v>280</v>
      </c>
      <c r="F45" s="57" t="s">
        <v>281</v>
      </c>
      <c r="G45" s="58">
        <v>0.01642361111111111</v>
      </c>
    </row>
    <row r="46" ht="14.25" customHeight="1">
      <c r="A46" s="54" t="s">
        <v>1377</v>
      </c>
      <c r="B46" s="54" t="s">
        <v>1378</v>
      </c>
      <c r="C46" s="55" t="s">
        <v>1384</v>
      </c>
      <c r="D46" s="56">
        <v>3.0</v>
      </c>
      <c r="E46" s="57" t="s">
        <v>280</v>
      </c>
      <c r="F46" s="57" t="s">
        <v>283</v>
      </c>
      <c r="G46" s="58">
        <v>0.01662037037037037</v>
      </c>
    </row>
    <row r="47" ht="14.25" customHeight="1">
      <c r="A47" s="54" t="s">
        <v>1377</v>
      </c>
      <c r="B47" s="54" t="s">
        <v>1378</v>
      </c>
      <c r="C47" s="55" t="s">
        <v>1384</v>
      </c>
      <c r="D47" s="56">
        <v>3.0</v>
      </c>
      <c r="E47" s="57" t="s">
        <v>280</v>
      </c>
      <c r="F47" s="57" t="s">
        <v>686</v>
      </c>
      <c r="G47" s="58">
        <v>0.010266203703703704</v>
      </c>
    </row>
    <row r="48" ht="14.25" customHeight="1">
      <c r="A48" s="54" t="s">
        <v>1377</v>
      </c>
      <c r="B48" s="54" t="s">
        <v>1378</v>
      </c>
      <c r="C48" s="55" t="s">
        <v>1384</v>
      </c>
      <c r="D48" s="56">
        <v>4.0</v>
      </c>
      <c r="E48" s="57" t="s">
        <v>287</v>
      </c>
      <c r="F48" s="57" t="s">
        <v>285</v>
      </c>
      <c r="G48" s="58">
        <v>0.014444444444444444</v>
      </c>
    </row>
    <row r="49" ht="14.25" customHeight="1">
      <c r="A49" s="54" t="s">
        <v>1377</v>
      </c>
      <c r="B49" s="54" t="s">
        <v>1378</v>
      </c>
      <c r="C49" s="55" t="s">
        <v>1384</v>
      </c>
      <c r="D49" s="56">
        <v>4.0</v>
      </c>
      <c r="E49" s="57" t="s">
        <v>287</v>
      </c>
      <c r="F49" s="57" t="s">
        <v>288</v>
      </c>
      <c r="G49" s="58">
        <v>0.0077546296296296295</v>
      </c>
    </row>
    <row r="50" ht="14.25" customHeight="1">
      <c r="A50" s="54" t="s">
        <v>1377</v>
      </c>
      <c r="B50" s="54" t="s">
        <v>1378</v>
      </c>
      <c r="C50" s="55" t="s">
        <v>1384</v>
      </c>
      <c r="D50" s="56">
        <v>4.0</v>
      </c>
      <c r="E50" s="57" t="s">
        <v>287</v>
      </c>
      <c r="F50" s="57" t="s">
        <v>290</v>
      </c>
      <c r="G50" s="58">
        <v>0.012905092592592593</v>
      </c>
    </row>
    <row r="51" ht="14.25" customHeight="1">
      <c r="A51" s="54" t="s">
        <v>1377</v>
      </c>
      <c r="B51" s="54" t="s">
        <v>1378</v>
      </c>
      <c r="C51" s="55" t="s">
        <v>1384</v>
      </c>
      <c r="D51" s="56">
        <v>5.0</v>
      </c>
      <c r="E51" s="57" t="s">
        <v>294</v>
      </c>
      <c r="F51" s="57" t="s">
        <v>292</v>
      </c>
      <c r="G51" s="58">
        <v>0.009976851851851851</v>
      </c>
    </row>
    <row r="52" ht="14.25" customHeight="1">
      <c r="A52" s="54" t="s">
        <v>1377</v>
      </c>
      <c r="B52" s="54" t="s">
        <v>1378</v>
      </c>
      <c r="C52" s="55" t="s">
        <v>1384</v>
      </c>
      <c r="D52" s="56">
        <v>5.0</v>
      </c>
      <c r="E52" s="57" t="s">
        <v>294</v>
      </c>
      <c r="F52" s="57" t="s">
        <v>690</v>
      </c>
      <c r="G52" s="58">
        <v>0.014513888888888889</v>
      </c>
    </row>
    <row r="53" ht="14.25" customHeight="1">
      <c r="A53" s="54" t="s">
        <v>1377</v>
      </c>
      <c r="B53" s="54" t="s">
        <v>1378</v>
      </c>
      <c r="C53" s="55" t="s">
        <v>1384</v>
      </c>
      <c r="D53" s="56">
        <v>5.0</v>
      </c>
      <c r="E53" s="57" t="s">
        <v>294</v>
      </c>
      <c r="F53" s="57" t="s">
        <v>295</v>
      </c>
      <c r="G53" s="58">
        <v>0.05555555555555555</v>
      </c>
    </row>
    <row r="54" ht="14.25" customHeight="1">
      <c r="A54" s="54" t="s">
        <v>1377</v>
      </c>
      <c r="B54" s="54" t="s">
        <v>1378</v>
      </c>
      <c r="C54" s="55" t="s">
        <v>1386</v>
      </c>
      <c r="D54" s="56">
        <v>1.0</v>
      </c>
      <c r="E54" s="57" t="s">
        <v>299</v>
      </c>
      <c r="F54" s="57" t="s">
        <v>296</v>
      </c>
      <c r="G54" s="58">
        <v>0.012893518518518518</v>
      </c>
    </row>
    <row r="55" ht="14.25" customHeight="1">
      <c r="A55" s="54" t="s">
        <v>1377</v>
      </c>
      <c r="B55" s="54" t="s">
        <v>1378</v>
      </c>
      <c r="C55" s="55" t="s">
        <v>1386</v>
      </c>
      <c r="D55" s="56">
        <v>1.0</v>
      </c>
      <c r="E55" s="57" t="s">
        <v>299</v>
      </c>
      <c r="F55" s="57" t="s">
        <v>300</v>
      </c>
      <c r="G55" s="58">
        <v>0.008252314814814815</v>
      </c>
    </row>
    <row r="56" ht="14.25" customHeight="1">
      <c r="A56" s="54" t="s">
        <v>1377</v>
      </c>
      <c r="B56" s="54" t="s">
        <v>1378</v>
      </c>
      <c r="C56" s="55" t="s">
        <v>1386</v>
      </c>
      <c r="D56" s="56">
        <v>2.0</v>
      </c>
      <c r="E56" s="57" t="s">
        <v>304</v>
      </c>
      <c r="F56" s="57" t="s">
        <v>302</v>
      </c>
      <c r="G56" s="58">
        <v>0.005555555555555556</v>
      </c>
    </row>
    <row r="57" ht="14.25" customHeight="1">
      <c r="A57" s="54" t="s">
        <v>1377</v>
      </c>
      <c r="B57" s="54" t="s">
        <v>1378</v>
      </c>
      <c r="C57" s="55" t="s">
        <v>1386</v>
      </c>
      <c r="D57" s="56">
        <v>2.0</v>
      </c>
      <c r="E57" s="57" t="s">
        <v>304</v>
      </c>
      <c r="F57" s="57" t="s">
        <v>693</v>
      </c>
      <c r="G57" s="58">
        <v>0.013229166666666667</v>
      </c>
    </row>
    <row r="58" ht="14.25" customHeight="1">
      <c r="A58" s="54" t="s">
        <v>1377</v>
      </c>
      <c r="B58" s="54" t="s">
        <v>1378</v>
      </c>
      <c r="C58" s="55" t="s">
        <v>1386</v>
      </c>
      <c r="D58" s="56">
        <v>2.0</v>
      </c>
      <c r="E58" s="57" t="s">
        <v>304</v>
      </c>
      <c r="F58" s="57" t="s">
        <v>305</v>
      </c>
      <c r="G58" s="58">
        <v>0.011041666666666667</v>
      </c>
    </row>
    <row r="59" ht="14.25" customHeight="1">
      <c r="A59" s="54" t="s">
        <v>1377</v>
      </c>
      <c r="B59" s="54" t="s">
        <v>1378</v>
      </c>
      <c r="C59" s="55" t="s">
        <v>1386</v>
      </c>
      <c r="D59" s="56">
        <v>2.0</v>
      </c>
      <c r="E59" s="57" t="s">
        <v>304</v>
      </c>
      <c r="F59" s="57" t="s">
        <v>307</v>
      </c>
      <c r="G59" s="58">
        <v>0.02136574074074074</v>
      </c>
    </row>
    <row r="60" ht="14.25" customHeight="1">
      <c r="A60" s="54" t="s">
        <v>1377</v>
      </c>
      <c r="B60" s="54" t="s">
        <v>1378</v>
      </c>
      <c r="C60" s="55" t="s">
        <v>1386</v>
      </c>
      <c r="D60" s="56">
        <v>2.0</v>
      </c>
      <c r="E60" s="57" t="s">
        <v>304</v>
      </c>
      <c r="F60" s="57" t="s">
        <v>309</v>
      </c>
      <c r="G60" s="58">
        <v>0.013414351851851853</v>
      </c>
    </row>
    <row r="61" ht="14.25" customHeight="1">
      <c r="A61" s="54" t="s">
        <v>1377</v>
      </c>
      <c r="B61" s="54" t="s">
        <v>1378</v>
      </c>
      <c r="C61" s="55" t="s">
        <v>1386</v>
      </c>
      <c r="D61" s="56">
        <v>2.0</v>
      </c>
      <c r="E61" s="57" t="s">
        <v>304</v>
      </c>
      <c r="F61" s="57" t="s">
        <v>311</v>
      </c>
      <c r="G61" s="58">
        <v>0.018703703703703705</v>
      </c>
    </row>
    <row r="62" ht="14.25" customHeight="1">
      <c r="A62" s="54" t="s">
        <v>1377</v>
      </c>
      <c r="B62" s="54" t="s">
        <v>1378</v>
      </c>
      <c r="C62" s="55" t="s">
        <v>1386</v>
      </c>
      <c r="D62" s="56">
        <v>2.0</v>
      </c>
      <c r="E62" s="57" t="s">
        <v>304</v>
      </c>
      <c r="F62" s="57" t="s">
        <v>313</v>
      </c>
      <c r="G62" s="58">
        <v>0.05555555555555555</v>
      </c>
    </row>
    <row r="63" ht="14.25" customHeight="1">
      <c r="A63" s="54" t="s">
        <v>1377</v>
      </c>
      <c r="B63" s="54" t="s">
        <v>1378</v>
      </c>
      <c r="C63" s="55" t="s">
        <v>1386</v>
      </c>
      <c r="D63" s="56">
        <v>3.0</v>
      </c>
      <c r="E63" s="57" t="s">
        <v>316</v>
      </c>
      <c r="F63" s="57" t="s">
        <v>314</v>
      </c>
      <c r="G63" s="58">
        <v>0.023078703703703702</v>
      </c>
    </row>
    <row r="64" ht="14.25" customHeight="1">
      <c r="A64" s="54" t="s">
        <v>1377</v>
      </c>
      <c r="B64" s="54" t="s">
        <v>1378</v>
      </c>
      <c r="C64" s="55" t="s">
        <v>1386</v>
      </c>
      <c r="D64" s="56">
        <v>3.0</v>
      </c>
      <c r="E64" s="57" t="s">
        <v>316</v>
      </c>
      <c r="F64" s="57" t="s">
        <v>317</v>
      </c>
      <c r="G64" s="58">
        <v>0.029097222222222222</v>
      </c>
    </row>
    <row r="65" ht="14.25" customHeight="1">
      <c r="A65" s="54" t="s">
        <v>1377</v>
      </c>
      <c r="B65" s="54" t="s">
        <v>1378</v>
      </c>
      <c r="C65" s="55" t="s">
        <v>1386</v>
      </c>
      <c r="D65" s="56">
        <v>4.0</v>
      </c>
      <c r="E65" s="57" t="s">
        <v>321</v>
      </c>
      <c r="F65" s="57" t="s">
        <v>319</v>
      </c>
      <c r="G65" s="58">
        <v>0.012847222222222222</v>
      </c>
    </row>
    <row r="66" ht="14.25" customHeight="1">
      <c r="A66" s="54" t="s">
        <v>1377</v>
      </c>
      <c r="B66" s="54" t="s">
        <v>1378</v>
      </c>
      <c r="C66" s="55" t="s">
        <v>1386</v>
      </c>
      <c r="D66" s="56">
        <v>4.0</v>
      </c>
      <c r="E66" s="57" t="s">
        <v>321</v>
      </c>
      <c r="F66" s="57" t="s">
        <v>322</v>
      </c>
      <c r="G66" s="58">
        <v>0.015439814814814814</v>
      </c>
    </row>
    <row r="67" ht="14.25" customHeight="1">
      <c r="A67" s="54" t="s">
        <v>1377</v>
      </c>
      <c r="B67" s="54" t="s">
        <v>1378</v>
      </c>
      <c r="C67" s="55" t="s">
        <v>1386</v>
      </c>
      <c r="D67" s="56">
        <v>5.0</v>
      </c>
      <c r="E67" s="57" t="s">
        <v>326</v>
      </c>
      <c r="F67" s="57" t="s">
        <v>324</v>
      </c>
      <c r="G67" s="58">
        <v>0.01704861111111111</v>
      </c>
    </row>
    <row r="68" ht="14.25" customHeight="1">
      <c r="A68" s="54" t="s">
        <v>1377</v>
      </c>
      <c r="B68" s="54" t="s">
        <v>1378</v>
      </c>
      <c r="C68" s="55" t="s">
        <v>1387</v>
      </c>
      <c r="D68" s="56">
        <v>1.0</v>
      </c>
      <c r="E68" s="57" t="s">
        <v>329</v>
      </c>
      <c r="F68" s="57" t="s">
        <v>327</v>
      </c>
      <c r="G68" s="58">
        <v>0.015625</v>
      </c>
    </row>
    <row r="69" ht="14.25" customHeight="1">
      <c r="A69" s="54" t="s">
        <v>1377</v>
      </c>
      <c r="B69" s="54" t="s">
        <v>1378</v>
      </c>
      <c r="C69" s="55" t="s">
        <v>1387</v>
      </c>
      <c r="D69" s="56">
        <v>1.0</v>
      </c>
      <c r="E69" s="57" t="s">
        <v>329</v>
      </c>
      <c r="F69" s="57" t="s">
        <v>330</v>
      </c>
      <c r="G69" s="58">
        <v>0.018692129629629628</v>
      </c>
    </row>
    <row r="70" ht="14.25" customHeight="1">
      <c r="A70" s="54" t="s">
        <v>1377</v>
      </c>
      <c r="B70" s="54" t="s">
        <v>1378</v>
      </c>
      <c r="C70" s="55" t="s">
        <v>1387</v>
      </c>
      <c r="D70" s="56">
        <v>1.0</v>
      </c>
      <c r="E70" s="57" t="s">
        <v>329</v>
      </c>
      <c r="F70" s="57" t="s">
        <v>332</v>
      </c>
      <c r="G70" s="58">
        <v>0.016030092592592592</v>
      </c>
    </row>
    <row r="71" ht="14.25" customHeight="1">
      <c r="A71" s="54" t="s">
        <v>1377</v>
      </c>
      <c r="B71" s="54" t="s">
        <v>1378</v>
      </c>
      <c r="C71" s="55" t="s">
        <v>1387</v>
      </c>
      <c r="D71" s="56">
        <v>1.0</v>
      </c>
      <c r="E71" s="57" t="s">
        <v>329</v>
      </c>
      <c r="F71" s="57" t="s">
        <v>334</v>
      </c>
      <c r="G71" s="58">
        <v>0.011458333333333333</v>
      </c>
    </row>
    <row r="72" ht="14.25" customHeight="1">
      <c r="A72" s="54" t="s">
        <v>1377</v>
      </c>
      <c r="B72" s="54" t="s">
        <v>1378</v>
      </c>
      <c r="C72" s="55" t="s">
        <v>1387</v>
      </c>
      <c r="D72" s="56">
        <v>1.0</v>
      </c>
      <c r="E72" s="57" t="s">
        <v>329</v>
      </c>
      <c r="F72" s="57" t="s">
        <v>336</v>
      </c>
      <c r="G72" s="58">
        <v>0.018194444444444444</v>
      </c>
    </row>
    <row r="73" ht="14.25" customHeight="1">
      <c r="A73" s="54" t="s">
        <v>1377</v>
      </c>
      <c r="B73" s="54" t="s">
        <v>1378</v>
      </c>
      <c r="C73" s="55" t="s">
        <v>1387</v>
      </c>
      <c r="D73" s="56">
        <v>1.0</v>
      </c>
      <c r="E73" s="57" t="s">
        <v>329</v>
      </c>
      <c r="F73" s="57" t="s">
        <v>338</v>
      </c>
      <c r="G73" s="58">
        <v>0.014548611111111111</v>
      </c>
    </row>
    <row r="74" ht="14.25" customHeight="1">
      <c r="A74" s="54" t="s">
        <v>1377</v>
      </c>
      <c r="B74" s="54" t="s">
        <v>1378</v>
      </c>
      <c r="C74" s="55" t="s">
        <v>1387</v>
      </c>
      <c r="D74" s="56">
        <v>1.0</v>
      </c>
      <c r="E74" s="57" t="s">
        <v>329</v>
      </c>
      <c r="F74" s="57" t="s">
        <v>340</v>
      </c>
      <c r="G74" s="58">
        <v>0.019363425925925926</v>
      </c>
    </row>
    <row r="75" ht="14.25" customHeight="1">
      <c r="A75" s="54" t="s">
        <v>1377</v>
      </c>
      <c r="B75" s="54" t="s">
        <v>1378</v>
      </c>
      <c r="C75" s="55" t="s">
        <v>1387</v>
      </c>
      <c r="D75" s="56">
        <v>1.0</v>
      </c>
      <c r="E75" s="57" t="s">
        <v>329</v>
      </c>
      <c r="F75" s="57" t="s">
        <v>342</v>
      </c>
      <c r="G75" s="58">
        <v>0.015902777777777776</v>
      </c>
    </row>
    <row r="76" ht="14.25" customHeight="1">
      <c r="A76" s="54" t="s">
        <v>1377</v>
      </c>
      <c r="B76" s="54" t="s">
        <v>1378</v>
      </c>
      <c r="C76" s="55" t="s">
        <v>1387</v>
      </c>
      <c r="D76" s="56">
        <v>1.0</v>
      </c>
      <c r="E76" s="57" t="s">
        <v>329</v>
      </c>
      <c r="F76" s="57" t="s">
        <v>695</v>
      </c>
      <c r="G76" s="58">
        <v>0.013738425925925926</v>
      </c>
    </row>
    <row r="77" ht="14.25" customHeight="1">
      <c r="A77" s="54" t="s">
        <v>1377</v>
      </c>
      <c r="B77" s="54" t="s">
        <v>1378</v>
      </c>
      <c r="C77" s="55" t="s">
        <v>1387</v>
      </c>
      <c r="D77" s="56">
        <v>1.0</v>
      </c>
      <c r="E77" s="57" t="s">
        <v>329</v>
      </c>
      <c r="F77" s="57" t="s">
        <v>697</v>
      </c>
      <c r="G77" s="58">
        <v>0.08333333333333333</v>
      </c>
    </row>
    <row r="78" ht="14.25" customHeight="1">
      <c r="A78" s="54" t="s">
        <v>1377</v>
      </c>
      <c r="B78" s="54" t="s">
        <v>1378</v>
      </c>
      <c r="C78" s="55" t="s">
        <v>1387</v>
      </c>
      <c r="D78" s="56">
        <v>2.0</v>
      </c>
      <c r="E78" s="57" t="s">
        <v>346</v>
      </c>
      <c r="F78" s="57" t="s">
        <v>698</v>
      </c>
      <c r="G78" s="58">
        <v>0.015543981481481482</v>
      </c>
    </row>
    <row r="79" ht="14.25" customHeight="1">
      <c r="A79" s="54" t="s">
        <v>1377</v>
      </c>
      <c r="B79" s="54" t="s">
        <v>1378</v>
      </c>
      <c r="C79" s="55" t="s">
        <v>1387</v>
      </c>
      <c r="D79" s="56">
        <v>2.0</v>
      </c>
      <c r="E79" s="57" t="s">
        <v>346</v>
      </c>
      <c r="F79" s="57" t="s">
        <v>700</v>
      </c>
      <c r="G79" s="58">
        <v>0.014664351851851852</v>
      </c>
    </row>
    <row r="80" ht="14.25" customHeight="1">
      <c r="A80" s="54" t="s">
        <v>1377</v>
      </c>
      <c r="B80" s="54" t="s">
        <v>1378</v>
      </c>
      <c r="C80" s="55" t="s">
        <v>1387</v>
      </c>
      <c r="D80" s="56">
        <v>2.0</v>
      </c>
      <c r="E80" s="57" t="s">
        <v>346</v>
      </c>
      <c r="F80" s="57" t="s">
        <v>344</v>
      </c>
      <c r="G80" s="58">
        <v>0.013738425925925926</v>
      </c>
    </row>
    <row r="81" ht="14.25" customHeight="1">
      <c r="A81" s="54" t="s">
        <v>1377</v>
      </c>
      <c r="B81" s="54" t="s">
        <v>1378</v>
      </c>
      <c r="C81" s="55" t="s">
        <v>1387</v>
      </c>
      <c r="D81" s="56">
        <v>2.0</v>
      </c>
      <c r="E81" s="57" t="s">
        <v>346</v>
      </c>
      <c r="F81" s="57" t="s">
        <v>702</v>
      </c>
      <c r="G81" s="58">
        <v>0.013958333333333333</v>
      </c>
    </row>
    <row r="82" ht="14.25" customHeight="1">
      <c r="A82" s="54" t="s">
        <v>1377</v>
      </c>
      <c r="B82" s="54" t="s">
        <v>1378</v>
      </c>
      <c r="C82" s="55" t="s">
        <v>1387</v>
      </c>
      <c r="D82" s="56">
        <v>2.0</v>
      </c>
      <c r="E82" s="57" t="s">
        <v>346</v>
      </c>
      <c r="F82" s="57" t="s">
        <v>347</v>
      </c>
      <c r="G82" s="58">
        <v>0.010428240740740741</v>
      </c>
    </row>
    <row r="83" ht="14.25" customHeight="1">
      <c r="A83" s="54" t="s">
        <v>1377</v>
      </c>
      <c r="B83" s="54" t="s">
        <v>1378</v>
      </c>
      <c r="C83" s="55" t="s">
        <v>1387</v>
      </c>
      <c r="D83" s="56">
        <v>2.0</v>
      </c>
      <c r="E83" s="57" t="s">
        <v>346</v>
      </c>
      <c r="F83" s="57" t="s">
        <v>349</v>
      </c>
      <c r="G83" s="58">
        <v>0.020613425925925927</v>
      </c>
    </row>
    <row r="84" ht="14.25" customHeight="1">
      <c r="A84" s="54" t="s">
        <v>1377</v>
      </c>
      <c r="B84" s="54" t="s">
        <v>1378</v>
      </c>
      <c r="C84" s="55" t="s">
        <v>1387</v>
      </c>
      <c r="D84" s="56">
        <v>2.0</v>
      </c>
      <c r="E84" s="57" t="s">
        <v>346</v>
      </c>
      <c r="F84" s="57" t="s">
        <v>351</v>
      </c>
      <c r="G84" s="58">
        <v>0.0203125</v>
      </c>
    </row>
    <row r="85" ht="14.25" customHeight="1">
      <c r="A85" s="54" t="s">
        <v>1377</v>
      </c>
      <c r="B85" s="54" t="s">
        <v>1378</v>
      </c>
      <c r="C85" s="55" t="s">
        <v>1387</v>
      </c>
      <c r="D85" s="56">
        <v>2.0</v>
      </c>
      <c r="E85" s="57" t="s">
        <v>346</v>
      </c>
      <c r="F85" s="57" t="s">
        <v>1388</v>
      </c>
      <c r="G85" s="58">
        <v>0.0625</v>
      </c>
    </row>
    <row r="86" ht="14.25" customHeight="1">
      <c r="A86" s="54" t="s">
        <v>1377</v>
      </c>
      <c r="B86" s="54" t="s">
        <v>1378</v>
      </c>
      <c r="C86" s="55" t="s">
        <v>1387</v>
      </c>
      <c r="D86" s="56">
        <v>2.0</v>
      </c>
      <c r="E86" s="57" t="s">
        <v>346</v>
      </c>
      <c r="F86" s="57" t="s">
        <v>353</v>
      </c>
      <c r="G86" s="58">
        <v>0.0625</v>
      </c>
    </row>
    <row r="87" ht="14.25" customHeight="1">
      <c r="A87" s="54" t="s">
        <v>1377</v>
      </c>
      <c r="B87" s="54" t="s">
        <v>1378</v>
      </c>
      <c r="C87" s="55" t="s">
        <v>1387</v>
      </c>
      <c r="D87" s="56">
        <v>3.0</v>
      </c>
      <c r="E87" s="57" t="s">
        <v>356</v>
      </c>
      <c r="F87" s="57" t="s">
        <v>354</v>
      </c>
      <c r="G87" s="58">
        <v>0.015856481481481482</v>
      </c>
    </row>
    <row r="88" ht="14.25" customHeight="1">
      <c r="A88" s="54" t="s">
        <v>1377</v>
      </c>
      <c r="B88" s="54" t="s">
        <v>1378</v>
      </c>
      <c r="C88" s="55" t="s">
        <v>1387</v>
      </c>
      <c r="D88" s="56">
        <v>3.0</v>
      </c>
      <c r="E88" s="57" t="s">
        <v>356</v>
      </c>
      <c r="F88" s="57" t="s">
        <v>357</v>
      </c>
      <c r="G88" s="58">
        <v>0.009965277777777778</v>
      </c>
    </row>
    <row r="89" ht="14.25" customHeight="1">
      <c r="A89" s="54" t="s">
        <v>1377</v>
      </c>
      <c r="B89" s="54" t="s">
        <v>1378</v>
      </c>
      <c r="C89" s="55" t="s">
        <v>1387</v>
      </c>
      <c r="D89" s="56">
        <v>3.0</v>
      </c>
      <c r="E89" s="57" t="s">
        <v>356</v>
      </c>
      <c r="F89" s="57" t="s">
        <v>359</v>
      </c>
      <c r="G89" s="58">
        <v>0.01982638888888889</v>
      </c>
    </row>
    <row r="90" ht="14.25" customHeight="1">
      <c r="A90" s="54" t="s">
        <v>1377</v>
      </c>
      <c r="B90" s="54" t="s">
        <v>1378</v>
      </c>
      <c r="C90" s="55" t="s">
        <v>1387</v>
      </c>
      <c r="D90" s="56">
        <v>3.0</v>
      </c>
      <c r="E90" s="57" t="s">
        <v>356</v>
      </c>
      <c r="F90" s="57" t="s">
        <v>361</v>
      </c>
      <c r="G90" s="58">
        <v>0.017418981481481483</v>
      </c>
    </row>
    <row r="91" ht="14.25" customHeight="1">
      <c r="A91" s="54" t="s">
        <v>1377</v>
      </c>
      <c r="B91" s="54" t="s">
        <v>1378</v>
      </c>
      <c r="C91" s="55" t="s">
        <v>1387</v>
      </c>
      <c r="D91" s="56">
        <v>3.0</v>
      </c>
      <c r="E91" s="57" t="s">
        <v>356</v>
      </c>
      <c r="F91" s="57" t="s">
        <v>363</v>
      </c>
      <c r="G91" s="58">
        <v>0.05555555555555555</v>
      </c>
    </row>
    <row r="92" ht="14.25" customHeight="1">
      <c r="A92" s="54" t="s">
        <v>1377</v>
      </c>
      <c r="B92" s="54" t="s">
        <v>1378</v>
      </c>
      <c r="C92" s="55" t="s">
        <v>1387</v>
      </c>
      <c r="D92" s="56">
        <v>4.0</v>
      </c>
      <c r="E92" s="57" t="s">
        <v>366</v>
      </c>
      <c r="F92" s="57" t="s">
        <v>364</v>
      </c>
      <c r="G92" s="58">
        <v>0.015729166666666666</v>
      </c>
    </row>
    <row r="93" ht="14.25" customHeight="1">
      <c r="A93" s="54" t="s">
        <v>1377</v>
      </c>
      <c r="B93" s="54" t="s">
        <v>1378</v>
      </c>
      <c r="C93" s="55" t="s">
        <v>1387</v>
      </c>
      <c r="D93" s="56">
        <v>4.0</v>
      </c>
      <c r="E93" s="57" t="s">
        <v>366</v>
      </c>
      <c r="F93" s="57" t="s">
        <v>367</v>
      </c>
      <c r="G93" s="58">
        <v>0.016238425925925927</v>
      </c>
    </row>
    <row r="94" ht="14.25" customHeight="1">
      <c r="A94" s="54" t="s">
        <v>1377</v>
      </c>
      <c r="B94" s="54" t="s">
        <v>1378</v>
      </c>
      <c r="C94" s="55" t="s">
        <v>1387</v>
      </c>
      <c r="D94" s="56">
        <v>5.0</v>
      </c>
      <c r="E94" s="57" t="s">
        <v>371</v>
      </c>
      <c r="F94" s="57" t="s">
        <v>449</v>
      </c>
      <c r="G94" s="58">
        <v>0.0096875</v>
      </c>
    </row>
    <row r="95" ht="14.25" customHeight="1">
      <c r="A95" s="54" t="s">
        <v>1377</v>
      </c>
      <c r="B95" s="54" t="s">
        <v>1378</v>
      </c>
      <c r="C95" s="55" t="s">
        <v>1387</v>
      </c>
      <c r="D95" s="56">
        <v>5.0</v>
      </c>
      <c r="E95" s="57" t="s">
        <v>371</v>
      </c>
      <c r="F95" s="57" t="s">
        <v>369</v>
      </c>
      <c r="G95" s="58">
        <v>0.010891203703703703</v>
      </c>
    </row>
    <row r="96" ht="14.25" customHeight="1">
      <c r="A96" s="54" t="s">
        <v>1377</v>
      </c>
      <c r="B96" s="54" t="s">
        <v>1378</v>
      </c>
      <c r="C96" s="55" t="s">
        <v>1387</v>
      </c>
      <c r="D96" s="56">
        <v>5.0</v>
      </c>
      <c r="E96" s="57" t="s">
        <v>371</v>
      </c>
      <c r="F96" s="57" t="s">
        <v>372</v>
      </c>
      <c r="G96" s="58">
        <v>0.05555555555555555</v>
      </c>
    </row>
    <row r="97" ht="14.25" customHeight="1">
      <c r="A97" s="54" t="s">
        <v>1377</v>
      </c>
      <c r="B97" s="54" t="s">
        <v>1389</v>
      </c>
      <c r="C97" s="55" t="s">
        <v>1390</v>
      </c>
      <c r="D97" s="56">
        <v>1.0</v>
      </c>
      <c r="E97" s="57" t="s">
        <v>375</v>
      </c>
      <c r="F97" s="57" t="s">
        <v>373</v>
      </c>
      <c r="G97" s="58">
        <v>0.014004629629629629</v>
      </c>
    </row>
    <row r="98" ht="14.25" customHeight="1">
      <c r="A98" s="54" t="s">
        <v>1377</v>
      </c>
      <c r="B98" s="54" t="s">
        <v>1389</v>
      </c>
      <c r="C98" s="55" t="s">
        <v>1390</v>
      </c>
      <c r="D98" s="56">
        <v>1.0</v>
      </c>
      <c r="E98" s="57" t="s">
        <v>375</v>
      </c>
      <c r="F98" s="57" t="s">
        <v>710</v>
      </c>
      <c r="G98" s="58">
        <v>0.00400462962962963</v>
      </c>
    </row>
    <row r="99" ht="14.25" customHeight="1">
      <c r="A99" s="54" t="s">
        <v>1377</v>
      </c>
      <c r="B99" s="54" t="s">
        <v>1389</v>
      </c>
      <c r="C99" s="55" t="s">
        <v>1390</v>
      </c>
      <c r="D99" s="56">
        <v>1.0</v>
      </c>
      <c r="E99" s="57" t="s">
        <v>375</v>
      </c>
      <c r="F99" s="57" t="s">
        <v>194</v>
      </c>
      <c r="G99" s="58">
        <v>0.014548611111111111</v>
      </c>
    </row>
    <row r="100" ht="14.25" customHeight="1">
      <c r="A100" s="54" t="s">
        <v>1377</v>
      </c>
      <c r="B100" s="54" t="s">
        <v>1389</v>
      </c>
      <c r="C100" s="55" t="s">
        <v>1390</v>
      </c>
      <c r="D100" s="56">
        <v>1.0</v>
      </c>
      <c r="E100" s="57" t="s">
        <v>375</v>
      </c>
      <c r="F100" s="57" t="s">
        <v>376</v>
      </c>
      <c r="G100" s="58">
        <v>0.008310185185185184</v>
      </c>
    </row>
    <row r="101" ht="14.25" customHeight="1">
      <c r="A101" s="54" t="s">
        <v>1377</v>
      </c>
      <c r="B101" s="54" t="s">
        <v>1389</v>
      </c>
      <c r="C101" s="55" t="s">
        <v>1390</v>
      </c>
      <c r="D101" s="56">
        <v>2.0</v>
      </c>
      <c r="E101" s="57" t="s">
        <v>380</v>
      </c>
      <c r="F101" s="57" t="s">
        <v>378</v>
      </c>
      <c r="G101" s="58">
        <v>0.00829861111111111</v>
      </c>
    </row>
    <row r="102" ht="14.25" customHeight="1">
      <c r="A102" s="54" t="s">
        <v>1377</v>
      </c>
      <c r="B102" s="54" t="s">
        <v>1389</v>
      </c>
      <c r="C102" s="55" t="s">
        <v>1390</v>
      </c>
      <c r="D102" s="56">
        <v>2.0</v>
      </c>
      <c r="E102" s="57" t="s">
        <v>380</v>
      </c>
      <c r="F102" s="57" t="s">
        <v>381</v>
      </c>
      <c r="G102" s="58">
        <v>0.01849537037037037</v>
      </c>
    </row>
    <row r="103" ht="14.25" customHeight="1">
      <c r="A103" s="54" t="s">
        <v>1377</v>
      </c>
      <c r="B103" s="54" t="s">
        <v>1389</v>
      </c>
      <c r="C103" s="55" t="s">
        <v>1390</v>
      </c>
      <c r="D103" s="56">
        <v>2.0</v>
      </c>
      <c r="E103" s="57" t="s">
        <v>380</v>
      </c>
      <c r="F103" s="57" t="s">
        <v>713</v>
      </c>
      <c r="G103" s="58">
        <v>0.0025</v>
      </c>
    </row>
    <row r="104" ht="14.25" customHeight="1">
      <c r="A104" s="54" t="s">
        <v>1377</v>
      </c>
      <c r="B104" s="54" t="s">
        <v>1389</v>
      </c>
      <c r="C104" s="55" t="s">
        <v>1390</v>
      </c>
      <c r="D104" s="56">
        <v>2.0</v>
      </c>
      <c r="E104" s="57" t="s">
        <v>380</v>
      </c>
      <c r="F104" s="57" t="s">
        <v>715</v>
      </c>
      <c r="G104" s="58">
        <v>0.016516203703703703</v>
      </c>
    </row>
    <row r="105" ht="14.25" customHeight="1">
      <c r="A105" s="54" t="s">
        <v>1377</v>
      </c>
      <c r="B105" s="54" t="s">
        <v>1389</v>
      </c>
      <c r="C105" s="55" t="s">
        <v>1390</v>
      </c>
      <c r="D105" s="56">
        <v>2.0</v>
      </c>
      <c r="E105" s="57" t="s">
        <v>380</v>
      </c>
      <c r="F105" s="57" t="s">
        <v>383</v>
      </c>
      <c r="G105" s="58">
        <v>0.012534722222222221</v>
      </c>
    </row>
    <row r="106" ht="14.25" customHeight="1">
      <c r="A106" s="54" t="s">
        <v>1377</v>
      </c>
      <c r="B106" s="54" t="s">
        <v>1389</v>
      </c>
      <c r="C106" s="55" t="s">
        <v>1390</v>
      </c>
      <c r="D106" s="56">
        <v>2.0</v>
      </c>
      <c r="E106" s="57" t="s">
        <v>380</v>
      </c>
      <c r="F106" s="57" t="s">
        <v>385</v>
      </c>
      <c r="G106" s="58">
        <v>0.01638888888888889</v>
      </c>
    </row>
    <row r="107" ht="14.25" customHeight="1">
      <c r="A107" s="54" t="s">
        <v>1377</v>
      </c>
      <c r="B107" s="54" t="s">
        <v>1389</v>
      </c>
      <c r="C107" s="55" t="s">
        <v>1390</v>
      </c>
      <c r="D107" s="56">
        <v>2.0</v>
      </c>
      <c r="E107" s="57" t="s">
        <v>380</v>
      </c>
      <c r="F107" s="57" t="s">
        <v>387</v>
      </c>
      <c r="G107" s="58">
        <v>0.0018171296296296297</v>
      </c>
    </row>
    <row r="108" ht="14.25" customHeight="1">
      <c r="A108" s="54" t="s">
        <v>1377</v>
      </c>
      <c r="B108" s="54" t="s">
        <v>1389</v>
      </c>
      <c r="C108" s="55" t="s">
        <v>1390</v>
      </c>
      <c r="D108" s="56">
        <v>2.0</v>
      </c>
      <c r="E108" s="57" t="s">
        <v>380</v>
      </c>
      <c r="F108" s="57" t="s">
        <v>389</v>
      </c>
      <c r="G108" s="58">
        <v>0.0011689814814814816</v>
      </c>
    </row>
    <row r="109" ht="14.25" customHeight="1">
      <c r="A109" s="54" t="s">
        <v>1377</v>
      </c>
      <c r="B109" s="54" t="s">
        <v>1389</v>
      </c>
      <c r="C109" s="55" t="s">
        <v>1390</v>
      </c>
      <c r="D109" s="56">
        <v>2.0</v>
      </c>
      <c r="E109" s="57" t="s">
        <v>380</v>
      </c>
      <c r="F109" s="57" t="s">
        <v>391</v>
      </c>
      <c r="G109" s="58">
        <v>6.365740740740741E-4</v>
      </c>
    </row>
    <row r="110" ht="14.25" customHeight="1">
      <c r="A110" s="54" t="s">
        <v>1377</v>
      </c>
      <c r="B110" s="54" t="s">
        <v>1389</v>
      </c>
      <c r="C110" s="55" t="s">
        <v>1390</v>
      </c>
      <c r="D110" s="56">
        <v>2.0</v>
      </c>
      <c r="E110" s="57" t="s">
        <v>380</v>
      </c>
      <c r="F110" s="57" t="s">
        <v>393</v>
      </c>
      <c r="G110" s="58">
        <v>0.05555555555555555</v>
      </c>
    </row>
    <row r="111" ht="14.25" customHeight="1">
      <c r="A111" s="54" t="s">
        <v>1377</v>
      </c>
      <c r="B111" s="54" t="s">
        <v>1389</v>
      </c>
      <c r="C111" s="55" t="s">
        <v>1391</v>
      </c>
      <c r="D111" s="56">
        <v>1.0</v>
      </c>
      <c r="E111" s="57" t="s">
        <v>396</v>
      </c>
      <c r="F111" s="57" t="s">
        <v>394</v>
      </c>
      <c r="G111" s="58">
        <v>0.009965277777777778</v>
      </c>
    </row>
    <row r="112" ht="14.25" customHeight="1">
      <c r="A112" s="54" t="s">
        <v>1377</v>
      </c>
      <c r="B112" s="54" t="s">
        <v>1389</v>
      </c>
      <c r="C112" s="55" t="s">
        <v>1391</v>
      </c>
      <c r="D112" s="56">
        <v>1.0</v>
      </c>
      <c r="E112" s="57" t="s">
        <v>396</v>
      </c>
      <c r="F112" s="57" t="s">
        <v>1392</v>
      </c>
      <c r="G112" s="58">
        <v>0.006655092592592593</v>
      </c>
    </row>
    <row r="113" ht="14.25" customHeight="1">
      <c r="A113" s="54" t="s">
        <v>1377</v>
      </c>
      <c r="B113" s="54" t="s">
        <v>1389</v>
      </c>
      <c r="C113" s="55" t="s">
        <v>1391</v>
      </c>
      <c r="D113" s="56">
        <v>2.0</v>
      </c>
      <c r="E113" s="57" t="s">
        <v>399</v>
      </c>
      <c r="F113" s="57" t="s">
        <v>397</v>
      </c>
      <c r="G113" s="58">
        <v>0.002685185185185185</v>
      </c>
    </row>
    <row r="114" ht="14.25" customHeight="1">
      <c r="A114" s="54" t="s">
        <v>1377</v>
      </c>
      <c r="B114" s="54" t="s">
        <v>1389</v>
      </c>
      <c r="C114" s="55" t="s">
        <v>1391</v>
      </c>
      <c r="D114" s="56">
        <v>2.0</v>
      </c>
      <c r="E114" s="57" t="s">
        <v>399</v>
      </c>
      <c r="F114" s="57" t="s">
        <v>400</v>
      </c>
      <c r="G114" s="58">
        <v>0.0030671296296296297</v>
      </c>
    </row>
    <row r="115" ht="14.25" customHeight="1">
      <c r="A115" s="54" t="s">
        <v>1377</v>
      </c>
      <c r="B115" s="54" t="s">
        <v>1389</v>
      </c>
      <c r="C115" s="55" t="s">
        <v>1391</v>
      </c>
      <c r="D115" s="56">
        <v>2.0</v>
      </c>
      <c r="E115" s="57" t="s">
        <v>399</v>
      </c>
      <c r="F115" s="57" t="s">
        <v>402</v>
      </c>
      <c r="G115" s="58">
        <v>0.003969907407407407</v>
      </c>
    </row>
    <row r="116" ht="14.25" customHeight="1">
      <c r="A116" s="54" t="s">
        <v>1377</v>
      </c>
      <c r="B116" s="54" t="s">
        <v>1389</v>
      </c>
      <c r="C116" s="55" t="s">
        <v>1391</v>
      </c>
      <c r="D116" s="56">
        <v>2.0</v>
      </c>
      <c r="E116" s="57" t="s">
        <v>399</v>
      </c>
      <c r="F116" s="57" t="s">
        <v>404</v>
      </c>
      <c r="G116" s="58">
        <v>0.009375</v>
      </c>
    </row>
    <row r="117" ht="14.25" customHeight="1">
      <c r="A117" s="54" t="s">
        <v>1377</v>
      </c>
      <c r="B117" s="54" t="s">
        <v>1389</v>
      </c>
      <c r="C117" s="55" t="s">
        <v>1391</v>
      </c>
      <c r="D117" s="56">
        <v>2.0</v>
      </c>
      <c r="E117" s="57" t="s">
        <v>399</v>
      </c>
      <c r="F117" s="57" t="s">
        <v>406</v>
      </c>
      <c r="G117" s="58">
        <v>0.014027777777777778</v>
      </c>
    </row>
    <row r="118" ht="14.25" customHeight="1">
      <c r="A118" s="54" t="s">
        <v>1377</v>
      </c>
      <c r="B118" s="54" t="s">
        <v>1389</v>
      </c>
      <c r="C118" s="55" t="s">
        <v>1391</v>
      </c>
      <c r="D118" s="56">
        <v>2.0</v>
      </c>
      <c r="E118" s="57" t="s">
        <v>399</v>
      </c>
      <c r="F118" s="57" t="s">
        <v>1393</v>
      </c>
      <c r="G118" s="58">
        <v>0.005752314814814815</v>
      </c>
    </row>
    <row r="119" ht="14.25" customHeight="1">
      <c r="A119" s="54" t="s">
        <v>1377</v>
      </c>
      <c r="B119" s="54" t="s">
        <v>1389</v>
      </c>
      <c r="C119" s="55" t="s">
        <v>1391</v>
      </c>
      <c r="D119" s="56">
        <v>2.0</v>
      </c>
      <c r="E119" s="57" t="s">
        <v>399</v>
      </c>
      <c r="F119" s="57" t="s">
        <v>408</v>
      </c>
      <c r="G119" s="58">
        <v>0.0036226851851851854</v>
      </c>
    </row>
    <row r="120" ht="14.25" customHeight="1">
      <c r="A120" s="54" t="s">
        <v>1377</v>
      </c>
      <c r="B120" s="54" t="s">
        <v>1389</v>
      </c>
      <c r="C120" s="55" t="s">
        <v>1391</v>
      </c>
      <c r="D120" s="56">
        <v>2.0</v>
      </c>
      <c r="E120" s="57" t="s">
        <v>399</v>
      </c>
      <c r="F120" s="57" t="s">
        <v>410</v>
      </c>
      <c r="G120" s="58">
        <v>0.05555555555555555</v>
      </c>
    </row>
    <row r="121" ht="14.25" customHeight="1">
      <c r="A121" s="54" t="s">
        <v>1377</v>
      </c>
      <c r="B121" s="54" t="s">
        <v>1389</v>
      </c>
      <c r="C121" s="55" t="s">
        <v>1391</v>
      </c>
      <c r="D121" s="56">
        <v>2.0</v>
      </c>
      <c r="E121" s="57" t="s">
        <v>399</v>
      </c>
      <c r="F121" s="57" t="s">
        <v>411</v>
      </c>
      <c r="G121" s="58">
        <v>0.01025462962962963</v>
      </c>
    </row>
    <row r="122" ht="14.25" customHeight="1">
      <c r="A122" s="54" t="s">
        <v>1377</v>
      </c>
      <c r="B122" s="54" t="s">
        <v>1389</v>
      </c>
      <c r="C122" s="55" t="s">
        <v>1391</v>
      </c>
      <c r="D122" s="56">
        <v>2.0</v>
      </c>
      <c r="E122" s="57" t="s">
        <v>399</v>
      </c>
      <c r="F122" s="57" t="s">
        <v>718</v>
      </c>
      <c r="G122" s="58">
        <v>0.0021296296296296298</v>
      </c>
    </row>
    <row r="123" ht="14.25" customHeight="1">
      <c r="A123" s="54" t="s">
        <v>1377</v>
      </c>
      <c r="B123" s="54" t="s">
        <v>1389</v>
      </c>
      <c r="C123" s="55" t="s">
        <v>1391</v>
      </c>
      <c r="D123" s="56">
        <v>2.0</v>
      </c>
      <c r="E123" s="57" t="s">
        <v>399</v>
      </c>
      <c r="F123" s="57" t="s">
        <v>413</v>
      </c>
      <c r="G123" s="58">
        <v>0.004189814814814815</v>
      </c>
    </row>
    <row r="124" ht="14.25" customHeight="1">
      <c r="A124" s="54" t="s">
        <v>1377</v>
      </c>
      <c r="B124" s="54" t="s">
        <v>1389</v>
      </c>
      <c r="C124" s="55" t="s">
        <v>1391</v>
      </c>
      <c r="D124" s="56">
        <v>2.0</v>
      </c>
      <c r="E124" s="57" t="s">
        <v>399</v>
      </c>
      <c r="F124" s="57" t="s">
        <v>415</v>
      </c>
      <c r="G124" s="58">
        <v>0.05555555555555555</v>
      </c>
    </row>
    <row r="125" ht="14.25" customHeight="1">
      <c r="A125" s="54" t="s">
        <v>1377</v>
      </c>
      <c r="B125" s="54" t="s">
        <v>1389</v>
      </c>
      <c r="C125" s="55" t="s">
        <v>1391</v>
      </c>
      <c r="D125" s="56">
        <v>2.0</v>
      </c>
      <c r="E125" s="57" t="s">
        <v>399</v>
      </c>
      <c r="F125" s="57" t="s">
        <v>416</v>
      </c>
      <c r="G125" s="58">
        <v>0.05555555555555555</v>
      </c>
    </row>
    <row r="126" ht="14.25" customHeight="1">
      <c r="A126" s="54" t="s">
        <v>1377</v>
      </c>
      <c r="B126" s="54" t="s">
        <v>1389</v>
      </c>
      <c r="C126" s="55" t="s">
        <v>1391</v>
      </c>
      <c r="D126" s="56">
        <v>2.0</v>
      </c>
      <c r="E126" s="57" t="s">
        <v>399</v>
      </c>
      <c r="F126" s="57" t="s">
        <v>417</v>
      </c>
      <c r="G126" s="58">
        <v>0.020694444444444446</v>
      </c>
    </row>
    <row r="127" ht="14.25" customHeight="1">
      <c r="A127" s="54" t="s">
        <v>1377</v>
      </c>
      <c r="B127" s="54" t="s">
        <v>1389</v>
      </c>
      <c r="C127" s="55" t="s">
        <v>1391</v>
      </c>
      <c r="D127" s="56">
        <v>2.0</v>
      </c>
      <c r="E127" s="57" t="s">
        <v>399</v>
      </c>
      <c r="F127" s="57" t="s">
        <v>1394</v>
      </c>
      <c r="G127" s="58">
        <v>0.05555555555555555</v>
      </c>
    </row>
    <row r="128" ht="14.25" customHeight="1">
      <c r="A128" s="54" t="s">
        <v>1377</v>
      </c>
      <c r="B128" s="54" t="s">
        <v>1389</v>
      </c>
      <c r="C128" s="55" t="s">
        <v>1391</v>
      </c>
      <c r="D128" s="56">
        <v>2.0</v>
      </c>
      <c r="E128" s="57" t="s">
        <v>399</v>
      </c>
      <c r="F128" s="57" t="s">
        <v>419</v>
      </c>
      <c r="G128" s="58">
        <v>0.010289351851851852</v>
      </c>
    </row>
    <row r="129" ht="14.25" customHeight="1">
      <c r="A129" s="54" t="s">
        <v>1377</v>
      </c>
      <c r="B129" s="54" t="s">
        <v>1389</v>
      </c>
      <c r="C129" s="55" t="s">
        <v>1391</v>
      </c>
      <c r="D129" s="56">
        <v>3.0</v>
      </c>
      <c r="E129" s="57" t="s">
        <v>423</v>
      </c>
      <c r="F129" s="57" t="s">
        <v>421</v>
      </c>
      <c r="G129" s="58">
        <v>0.017418981481481483</v>
      </c>
    </row>
    <row r="130" ht="14.25" customHeight="1">
      <c r="A130" s="54" t="s">
        <v>1377</v>
      </c>
      <c r="B130" s="54" t="s">
        <v>1389</v>
      </c>
      <c r="C130" s="55" t="s">
        <v>1391</v>
      </c>
      <c r="D130" s="56">
        <v>3.0</v>
      </c>
      <c r="E130" s="57" t="s">
        <v>423</v>
      </c>
      <c r="F130" s="57" t="s">
        <v>424</v>
      </c>
      <c r="G130" s="58">
        <v>0.01659722222222222</v>
      </c>
    </row>
    <row r="131" ht="14.25" customHeight="1">
      <c r="A131" s="54" t="s">
        <v>1377</v>
      </c>
      <c r="B131" s="54" t="s">
        <v>1389</v>
      </c>
      <c r="C131" s="55" t="s">
        <v>1391</v>
      </c>
      <c r="D131" s="56">
        <v>3.0</v>
      </c>
      <c r="E131" s="57" t="s">
        <v>423</v>
      </c>
      <c r="F131" s="57" t="s">
        <v>426</v>
      </c>
      <c r="G131" s="58">
        <v>0.006307870370370371</v>
      </c>
    </row>
    <row r="132" ht="14.25" customHeight="1">
      <c r="A132" s="54" t="s">
        <v>1377</v>
      </c>
      <c r="B132" s="54" t="s">
        <v>1389</v>
      </c>
      <c r="C132" s="55" t="s">
        <v>1391</v>
      </c>
      <c r="D132" s="56">
        <v>3.0</v>
      </c>
      <c r="E132" s="57" t="s">
        <v>423</v>
      </c>
      <c r="F132" s="57" t="s">
        <v>719</v>
      </c>
      <c r="G132" s="58">
        <v>0.008715277777777778</v>
      </c>
    </row>
    <row r="133" ht="14.25" customHeight="1">
      <c r="A133" s="54" t="s">
        <v>1377</v>
      </c>
      <c r="B133" s="54" t="s">
        <v>1389</v>
      </c>
      <c r="C133" s="55" t="s">
        <v>1395</v>
      </c>
      <c r="D133" s="56">
        <v>1.0</v>
      </c>
      <c r="E133" s="57" t="s">
        <v>430</v>
      </c>
      <c r="F133" s="57" t="s">
        <v>428</v>
      </c>
      <c r="G133" s="58">
        <v>0.014826388888888889</v>
      </c>
    </row>
    <row r="134" ht="14.25" customHeight="1">
      <c r="A134" s="54" t="s">
        <v>1377</v>
      </c>
      <c r="B134" s="54" t="s">
        <v>1389</v>
      </c>
      <c r="C134" s="55" t="s">
        <v>1395</v>
      </c>
      <c r="D134" s="56">
        <v>1.0</v>
      </c>
      <c r="E134" s="57" t="s">
        <v>430</v>
      </c>
      <c r="F134" s="57" t="s">
        <v>431</v>
      </c>
      <c r="G134" s="58">
        <v>0.00738425925925926</v>
      </c>
    </row>
    <row r="135" ht="14.25" customHeight="1">
      <c r="A135" s="54" t="s">
        <v>1377</v>
      </c>
      <c r="B135" s="54" t="s">
        <v>1389</v>
      </c>
      <c r="C135" s="55" t="s">
        <v>1395</v>
      </c>
      <c r="D135" s="56">
        <v>1.0</v>
      </c>
      <c r="E135" s="57" t="s">
        <v>430</v>
      </c>
      <c r="F135" s="57" t="s">
        <v>433</v>
      </c>
      <c r="G135" s="58">
        <v>0.01678240740740741</v>
      </c>
    </row>
    <row r="136" ht="14.25" customHeight="1">
      <c r="A136" s="54" t="s">
        <v>1377</v>
      </c>
      <c r="B136" s="54" t="s">
        <v>1389</v>
      </c>
      <c r="C136" s="55" t="s">
        <v>1395</v>
      </c>
      <c r="D136" s="56">
        <v>1.0</v>
      </c>
      <c r="E136" s="57" t="s">
        <v>430</v>
      </c>
      <c r="F136" s="57" t="s">
        <v>435</v>
      </c>
      <c r="G136" s="58">
        <v>0.05555555555555555</v>
      </c>
    </row>
    <row r="137" ht="14.25" customHeight="1">
      <c r="A137" s="54" t="s">
        <v>1377</v>
      </c>
      <c r="B137" s="54" t="s">
        <v>1389</v>
      </c>
      <c r="C137" s="55" t="s">
        <v>1395</v>
      </c>
      <c r="D137" s="56">
        <v>1.0</v>
      </c>
      <c r="E137" s="57" t="s">
        <v>430</v>
      </c>
      <c r="F137" s="57" t="s">
        <v>436</v>
      </c>
      <c r="G137" s="58">
        <v>0.020833333333333332</v>
      </c>
    </row>
    <row r="138" ht="14.25" customHeight="1">
      <c r="A138" s="54" t="s">
        <v>1377</v>
      </c>
      <c r="B138" s="54" t="s">
        <v>1389</v>
      </c>
      <c r="C138" s="55" t="s">
        <v>1395</v>
      </c>
      <c r="D138" s="56">
        <v>2.0</v>
      </c>
      <c r="E138" s="57" t="s">
        <v>439</v>
      </c>
      <c r="F138" s="57" t="s">
        <v>437</v>
      </c>
      <c r="G138" s="58">
        <v>0.0025</v>
      </c>
    </row>
    <row r="139" ht="14.25" customHeight="1">
      <c r="A139" s="54" t="s">
        <v>1377</v>
      </c>
      <c r="B139" s="54" t="s">
        <v>1389</v>
      </c>
      <c r="C139" s="55" t="s">
        <v>1395</v>
      </c>
      <c r="D139" s="56">
        <v>2.0</v>
      </c>
      <c r="E139" s="57" t="s">
        <v>439</v>
      </c>
      <c r="F139" s="57" t="s">
        <v>440</v>
      </c>
      <c r="G139" s="58">
        <v>0.0019328703703703704</v>
      </c>
    </row>
    <row r="140" ht="14.25" customHeight="1">
      <c r="A140" s="54" t="s">
        <v>1377</v>
      </c>
      <c r="B140" s="54" t="s">
        <v>1389</v>
      </c>
      <c r="C140" s="55" t="s">
        <v>1395</v>
      </c>
      <c r="D140" s="56">
        <v>2.0</v>
      </c>
      <c r="E140" s="57" t="s">
        <v>439</v>
      </c>
      <c r="F140" s="57" t="s">
        <v>442</v>
      </c>
      <c r="G140" s="58">
        <v>0.0020486111111111113</v>
      </c>
    </row>
    <row r="141" ht="14.25" customHeight="1">
      <c r="A141" s="54" t="s">
        <v>1377</v>
      </c>
      <c r="B141" s="54" t="s">
        <v>1389</v>
      </c>
      <c r="C141" s="55" t="s">
        <v>1395</v>
      </c>
      <c r="D141" s="56">
        <v>2.0</v>
      </c>
      <c r="E141" s="57" t="s">
        <v>439</v>
      </c>
      <c r="F141" s="57" t="s">
        <v>444</v>
      </c>
      <c r="G141" s="58">
        <v>0.0030555555555555557</v>
      </c>
    </row>
    <row r="142" ht="14.25" customHeight="1">
      <c r="A142" s="54" t="s">
        <v>1377</v>
      </c>
      <c r="B142" s="54" t="s">
        <v>1389</v>
      </c>
      <c r="C142" s="55" t="s">
        <v>1395</v>
      </c>
      <c r="D142" s="56">
        <v>2.0</v>
      </c>
      <c r="E142" s="57" t="s">
        <v>439</v>
      </c>
      <c r="F142" s="57" t="s">
        <v>723</v>
      </c>
      <c r="G142" s="58">
        <v>0.0018287037037037037</v>
      </c>
    </row>
    <row r="143" ht="14.25" customHeight="1">
      <c r="A143" s="54" t="s">
        <v>1377</v>
      </c>
      <c r="B143" s="54" t="s">
        <v>1389</v>
      </c>
      <c r="C143" s="55" t="s">
        <v>1395</v>
      </c>
      <c r="D143" s="56">
        <v>2.0</v>
      </c>
      <c r="E143" s="57" t="s">
        <v>439</v>
      </c>
      <c r="F143" s="57" t="s">
        <v>725</v>
      </c>
      <c r="G143" s="58">
        <v>0.003576388888888889</v>
      </c>
    </row>
    <row r="144" ht="14.25" customHeight="1">
      <c r="A144" s="54" t="s">
        <v>1377</v>
      </c>
      <c r="B144" s="54" t="s">
        <v>1389</v>
      </c>
      <c r="C144" s="55" t="s">
        <v>1395</v>
      </c>
      <c r="D144" s="56">
        <v>2.0</v>
      </c>
      <c r="E144" s="57" t="s">
        <v>439</v>
      </c>
      <c r="F144" s="57" t="s">
        <v>446</v>
      </c>
      <c r="G144" s="58">
        <v>0.0031018518518518517</v>
      </c>
    </row>
    <row r="145" ht="14.25" customHeight="1">
      <c r="A145" s="54" t="s">
        <v>1377</v>
      </c>
      <c r="B145" s="54" t="s">
        <v>1389</v>
      </c>
      <c r="C145" s="55" t="s">
        <v>1395</v>
      </c>
      <c r="D145" s="56">
        <v>2.0</v>
      </c>
      <c r="E145" s="57" t="s">
        <v>439</v>
      </c>
      <c r="F145" s="57" t="s">
        <v>448</v>
      </c>
      <c r="G145" s="58">
        <v>0.012303240740740741</v>
      </c>
    </row>
    <row r="146" ht="14.25" customHeight="1">
      <c r="A146" s="54" t="s">
        <v>1377</v>
      </c>
      <c r="B146" s="54" t="s">
        <v>1389</v>
      </c>
      <c r="C146" s="55" t="s">
        <v>1395</v>
      </c>
      <c r="D146" s="56">
        <v>2.0</v>
      </c>
      <c r="E146" s="57" t="s">
        <v>439</v>
      </c>
      <c r="F146" s="57" t="s">
        <v>727</v>
      </c>
      <c r="G146" s="58">
        <v>0.05555555555555555</v>
      </c>
    </row>
    <row r="147" ht="14.25" customHeight="1">
      <c r="A147" s="54" t="s">
        <v>1377</v>
      </c>
      <c r="B147" s="54" t="s">
        <v>1389</v>
      </c>
      <c r="C147" s="55" t="s">
        <v>1395</v>
      </c>
      <c r="D147" s="56">
        <v>3.0</v>
      </c>
      <c r="E147" s="57" t="s">
        <v>371</v>
      </c>
      <c r="F147" s="57" t="s">
        <v>449</v>
      </c>
      <c r="G147" s="58">
        <v>0.0096875</v>
      </c>
    </row>
    <row r="148" ht="14.25" customHeight="1">
      <c r="A148" s="54" t="s">
        <v>1377</v>
      </c>
      <c r="B148" s="54" t="s">
        <v>1389</v>
      </c>
      <c r="C148" s="55" t="s">
        <v>1395</v>
      </c>
      <c r="D148" s="56">
        <v>3.0</v>
      </c>
      <c r="E148" s="57" t="s">
        <v>371</v>
      </c>
      <c r="F148" s="57" t="s">
        <v>369</v>
      </c>
      <c r="G148" s="58">
        <v>0.010891203703703703</v>
      </c>
    </row>
    <row r="149" ht="14.25" customHeight="1">
      <c r="A149" s="54" t="s">
        <v>1377</v>
      </c>
      <c r="B149" s="54" t="s">
        <v>1389</v>
      </c>
      <c r="C149" s="55" t="s">
        <v>1395</v>
      </c>
      <c r="D149" s="56">
        <v>3.0</v>
      </c>
      <c r="E149" s="57" t="s">
        <v>371</v>
      </c>
      <c r="F149" s="57" t="s">
        <v>372</v>
      </c>
      <c r="G149" s="58">
        <v>0.05555555555555555</v>
      </c>
    </row>
    <row r="150" ht="14.25" customHeight="1">
      <c r="A150" s="54" t="s">
        <v>1377</v>
      </c>
      <c r="B150" s="54" t="s">
        <v>1389</v>
      </c>
      <c r="C150" s="55" t="s">
        <v>1395</v>
      </c>
      <c r="D150" s="56">
        <v>3.0</v>
      </c>
      <c r="E150" s="57" t="s">
        <v>371</v>
      </c>
      <c r="F150" s="57" t="s">
        <v>1396</v>
      </c>
      <c r="G150" s="58">
        <v>0.05555555555555555</v>
      </c>
    </row>
    <row r="151" ht="14.25" customHeight="1">
      <c r="A151" s="54" t="s">
        <v>1377</v>
      </c>
      <c r="B151" s="54" t="s">
        <v>1389</v>
      </c>
      <c r="C151" s="55" t="s">
        <v>1397</v>
      </c>
      <c r="D151" s="56">
        <v>1.0</v>
      </c>
      <c r="E151" s="57" t="s">
        <v>453</v>
      </c>
      <c r="F151" s="57" t="s">
        <v>451</v>
      </c>
      <c r="G151" s="58">
        <v>0.002662037037037037</v>
      </c>
    </row>
    <row r="152" ht="14.25" customHeight="1">
      <c r="A152" s="54" t="s">
        <v>1377</v>
      </c>
      <c r="B152" s="54" t="s">
        <v>1389</v>
      </c>
      <c r="C152" s="55" t="s">
        <v>1397</v>
      </c>
      <c r="D152" s="56">
        <v>1.0</v>
      </c>
      <c r="E152" s="57" t="s">
        <v>453</v>
      </c>
      <c r="F152" s="57" t="s">
        <v>454</v>
      </c>
      <c r="G152" s="58">
        <v>7.986111111111112E-4</v>
      </c>
    </row>
    <row r="153" ht="14.25" customHeight="1">
      <c r="A153" s="54" t="s">
        <v>1377</v>
      </c>
      <c r="B153" s="54" t="s">
        <v>1389</v>
      </c>
      <c r="C153" s="55" t="s">
        <v>1397</v>
      </c>
      <c r="D153" s="56">
        <v>1.0</v>
      </c>
      <c r="E153" s="57" t="s">
        <v>453</v>
      </c>
      <c r="F153" s="57" t="s">
        <v>456</v>
      </c>
      <c r="G153" s="58">
        <v>0.008611111111111111</v>
      </c>
    </row>
    <row r="154" ht="14.25" customHeight="1">
      <c r="A154" s="54" t="s">
        <v>1377</v>
      </c>
      <c r="B154" s="54" t="s">
        <v>1389</v>
      </c>
      <c r="C154" s="55" t="s">
        <v>1397</v>
      </c>
      <c r="D154" s="56">
        <v>1.0</v>
      </c>
      <c r="E154" s="57" t="s">
        <v>453</v>
      </c>
      <c r="F154" s="57" t="s">
        <v>458</v>
      </c>
      <c r="G154" s="58">
        <v>7.986111111111112E-4</v>
      </c>
    </row>
    <row r="155" ht="14.25" customHeight="1">
      <c r="A155" s="54" t="s">
        <v>1377</v>
      </c>
      <c r="B155" s="54" t="s">
        <v>1389</v>
      </c>
      <c r="C155" s="55" t="s">
        <v>1397</v>
      </c>
      <c r="D155" s="56">
        <v>2.0</v>
      </c>
      <c r="E155" s="57" t="s">
        <v>462</v>
      </c>
      <c r="F155" s="57" t="s">
        <v>462</v>
      </c>
      <c r="G155" s="58">
        <v>0.005127314814814815</v>
      </c>
    </row>
    <row r="156" ht="14.25" customHeight="1">
      <c r="A156" s="54" t="s">
        <v>1377</v>
      </c>
      <c r="B156" s="54" t="s">
        <v>1389</v>
      </c>
      <c r="C156" s="55" t="s">
        <v>1397</v>
      </c>
      <c r="D156" s="56">
        <v>2.0</v>
      </c>
      <c r="E156" s="57" t="s">
        <v>462</v>
      </c>
      <c r="F156" s="57" t="s">
        <v>460</v>
      </c>
      <c r="G156" s="58">
        <v>9.375E-4</v>
      </c>
    </row>
    <row r="157" ht="14.25" customHeight="1">
      <c r="A157" s="54" t="s">
        <v>1377</v>
      </c>
      <c r="B157" s="54" t="s">
        <v>1389</v>
      </c>
      <c r="C157" s="55" t="s">
        <v>1397</v>
      </c>
      <c r="D157" s="56">
        <v>2.0</v>
      </c>
      <c r="E157" s="57" t="s">
        <v>462</v>
      </c>
      <c r="F157" s="57" t="s">
        <v>463</v>
      </c>
      <c r="G157" s="58">
        <v>0.001863425925925926</v>
      </c>
    </row>
    <row r="158" ht="14.25" customHeight="1">
      <c r="A158" s="54" t="s">
        <v>1377</v>
      </c>
      <c r="B158" s="54" t="s">
        <v>1389</v>
      </c>
      <c r="C158" s="55" t="s">
        <v>1397</v>
      </c>
      <c r="D158" s="56">
        <v>2.0</v>
      </c>
      <c r="E158" s="57" t="s">
        <v>462</v>
      </c>
      <c r="F158" s="57" t="s">
        <v>465</v>
      </c>
      <c r="G158" s="58">
        <v>6.828703703703704E-4</v>
      </c>
    </row>
    <row r="159" ht="14.25" customHeight="1">
      <c r="A159" s="54" t="s">
        <v>1377</v>
      </c>
      <c r="B159" s="54" t="s">
        <v>1389</v>
      </c>
      <c r="C159" s="55" t="s">
        <v>1397</v>
      </c>
      <c r="D159" s="56">
        <v>2.0</v>
      </c>
      <c r="E159" s="57" t="s">
        <v>462</v>
      </c>
      <c r="F159" s="57" t="s">
        <v>762</v>
      </c>
      <c r="G159" s="58">
        <v>7.407407407407407E-4</v>
      </c>
    </row>
    <row r="160" ht="14.25" customHeight="1">
      <c r="A160" s="54" t="s">
        <v>1377</v>
      </c>
      <c r="B160" s="54" t="s">
        <v>1389</v>
      </c>
      <c r="C160" s="55" t="s">
        <v>1397</v>
      </c>
      <c r="D160" s="56">
        <v>2.0</v>
      </c>
      <c r="E160" s="57" t="s">
        <v>462</v>
      </c>
      <c r="F160" s="57" t="s">
        <v>467</v>
      </c>
      <c r="G160" s="58">
        <v>6.134259259259259E-4</v>
      </c>
    </row>
    <row r="161" ht="14.25" customHeight="1">
      <c r="A161" s="54" t="s">
        <v>1377</v>
      </c>
      <c r="B161" s="54" t="s">
        <v>1389</v>
      </c>
      <c r="C161" s="55" t="s">
        <v>1397</v>
      </c>
      <c r="D161" s="56">
        <v>2.0</v>
      </c>
      <c r="E161" s="57" t="s">
        <v>462</v>
      </c>
      <c r="F161" s="57" t="s">
        <v>469</v>
      </c>
      <c r="G161" s="58">
        <v>9.953703703703704E-4</v>
      </c>
    </row>
    <row r="162" ht="14.25" customHeight="1">
      <c r="A162" s="54" t="s">
        <v>1377</v>
      </c>
      <c r="B162" s="54" t="s">
        <v>1389</v>
      </c>
      <c r="C162" s="55" t="s">
        <v>1397</v>
      </c>
      <c r="D162" s="56">
        <v>3.0</v>
      </c>
      <c r="E162" s="57" t="s">
        <v>471</v>
      </c>
      <c r="F162" s="57" t="s">
        <v>471</v>
      </c>
      <c r="G162" s="58">
        <v>0.0069560185185185185</v>
      </c>
    </row>
    <row r="163" ht="14.25" customHeight="1">
      <c r="A163" s="54" t="s">
        <v>1377</v>
      </c>
      <c r="B163" s="54" t="s">
        <v>1389</v>
      </c>
      <c r="C163" s="55" t="s">
        <v>1397</v>
      </c>
      <c r="D163" s="56">
        <v>3.0</v>
      </c>
      <c r="E163" s="57" t="s">
        <v>471</v>
      </c>
      <c r="F163" s="57" t="s">
        <v>764</v>
      </c>
      <c r="G163" s="58">
        <v>5.555555555555556E-4</v>
      </c>
    </row>
    <row r="164" ht="14.25" customHeight="1">
      <c r="A164" s="54" t="s">
        <v>1377</v>
      </c>
      <c r="B164" s="54" t="s">
        <v>1389</v>
      </c>
      <c r="C164" s="55" t="s">
        <v>1397</v>
      </c>
      <c r="D164" s="56">
        <v>3.0</v>
      </c>
      <c r="E164" s="57" t="s">
        <v>471</v>
      </c>
      <c r="F164" s="57" t="s">
        <v>473</v>
      </c>
      <c r="G164" s="58">
        <v>0.0015393518518518519</v>
      </c>
    </row>
    <row r="165" ht="14.25" customHeight="1">
      <c r="A165" s="54" t="s">
        <v>1377</v>
      </c>
      <c r="B165" s="54" t="s">
        <v>1389</v>
      </c>
      <c r="C165" s="55" t="s">
        <v>1397</v>
      </c>
      <c r="D165" s="56">
        <v>3.0</v>
      </c>
      <c r="E165" s="57" t="s">
        <v>471</v>
      </c>
      <c r="F165" s="57" t="s">
        <v>475</v>
      </c>
      <c r="G165" s="58">
        <v>5.671296296296297E-4</v>
      </c>
    </row>
    <row r="166" ht="14.25" customHeight="1">
      <c r="A166" s="54" t="s">
        <v>1377</v>
      </c>
      <c r="B166" s="54" t="s">
        <v>1389</v>
      </c>
      <c r="C166" s="55" t="s">
        <v>1397</v>
      </c>
      <c r="D166" s="56">
        <v>3.0</v>
      </c>
      <c r="E166" s="57" t="s">
        <v>471</v>
      </c>
      <c r="F166" s="57" t="s">
        <v>1398</v>
      </c>
      <c r="G166" s="58">
        <v>0.0016319444444444445</v>
      </c>
    </row>
    <row r="167" ht="14.25" customHeight="1">
      <c r="A167" s="54" t="s">
        <v>1377</v>
      </c>
      <c r="B167" s="54" t="s">
        <v>1389</v>
      </c>
      <c r="C167" s="55" t="s">
        <v>1397</v>
      </c>
      <c r="D167" s="56">
        <v>3.0</v>
      </c>
      <c r="E167" s="57" t="s">
        <v>471</v>
      </c>
      <c r="F167" s="57" t="s">
        <v>477</v>
      </c>
      <c r="G167" s="58">
        <v>0.05555555555555555</v>
      </c>
    </row>
    <row r="168" ht="14.25" customHeight="1">
      <c r="A168" s="54" t="s">
        <v>1377</v>
      </c>
      <c r="B168" s="54" t="s">
        <v>1389</v>
      </c>
      <c r="C168" s="55" t="s">
        <v>1397</v>
      </c>
      <c r="D168" s="56">
        <v>4.0</v>
      </c>
      <c r="E168" s="57" t="s">
        <v>480</v>
      </c>
      <c r="F168" s="57" t="s">
        <v>478</v>
      </c>
      <c r="G168" s="58">
        <v>0.004074074074074074</v>
      </c>
    </row>
    <row r="169" ht="14.25" customHeight="1">
      <c r="A169" s="54" t="s">
        <v>1377</v>
      </c>
      <c r="B169" s="54" t="s">
        <v>1389</v>
      </c>
      <c r="C169" s="55" t="s">
        <v>1397</v>
      </c>
      <c r="D169" s="56">
        <v>4.0</v>
      </c>
      <c r="E169" s="57" t="s">
        <v>480</v>
      </c>
      <c r="F169" s="57" t="s">
        <v>481</v>
      </c>
      <c r="G169" s="58">
        <v>0.014212962962962964</v>
      </c>
    </row>
    <row r="170" ht="14.25" customHeight="1">
      <c r="A170" s="54" t="s">
        <v>1377</v>
      </c>
      <c r="B170" s="54" t="s">
        <v>1389</v>
      </c>
      <c r="C170" s="55" t="s">
        <v>1397</v>
      </c>
      <c r="D170" s="56">
        <v>4.0</v>
      </c>
      <c r="E170" s="57" t="s">
        <v>480</v>
      </c>
      <c r="F170" s="57" t="s">
        <v>483</v>
      </c>
      <c r="G170" s="58">
        <v>0.0015277777777777779</v>
      </c>
    </row>
    <row r="171" ht="14.25" customHeight="1">
      <c r="A171" s="54" t="s">
        <v>1377</v>
      </c>
      <c r="B171" s="54" t="s">
        <v>1389</v>
      </c>
      <c r="C171" s="55" t="s">
        <v>1397</v>
      </c>
      <c r="D171" s="56">
        <v>4.0</v>
      </c>
      <c r="E171" s="57" t="s">
        <v>480</v>
      </c>
      <c r="F171" s="57" t="s">
        <v>485</v>
      </c>
      <c r="G171" s="58">
        <v>0.0010648148148148149</v>
      </c>
    </row>
    <row r="172" ht="14.25" customHeight="1">
      <c r="A172" s="54" t="s">
        <v>1377</v>
      </c>
      <c r="B172" s="54" t="s">
        <v>1389</v>
      </c>
      <c r="C172" s="55" t="s">
        <v>1397</v>
      </c>
      <c r="D172" s="56">
        <v>4.0</v>
      </c>
      <c r="E172" s="57" t="s">
        <v>480</v>
      </c>
      <c r="F172" s="57" t="s">
        <v>487</v>
      </c>
      <c r="G172" s="58">
        <v>0.0013541666666666667</v>
      </c>
    </row>
    <row r="173" ht="14.25" customHeight="1">
      <c r="A173" s="54" t="s">
        <v>1377</v>
      </c>
      <c r="B173" s="54" t="s">
        <v>1389</v>
      </c>
      <c r="C173" s="55" t="s">
        <v>1397</v>
      </c>
      <c r="D173" s="56">
        <v>4.0</v>
      </c>
      <c r="E173" s="57" t="s">
        <v>480</v>
      </c>
      <c r="F173" s="57" t="s">
        <v>489</v>
      </c>
      <c r="G173" s="58">
        <v>0.05555555555555555</v>
      </c>
    </row>
    <row r="174" ht="14.25" customHeight="1">
      <c r="A174" s="54" t="s">
        <v>1377</v>
      </c>
      <c r="B174" s="54" t="s">
        <v>1389</v>
      </c>
      <c r="C174" s="55" t="s">
        <v>1399</v>
      </c>
      <c r="D174" s="56">
        <v>1.0</v>
      </c>
      <c r="E174" s="57" t="s">
        <v>493</v>
      </c>
      <c r="F174" s="57" t="s">
        <v>766</v>
      </c>
      <c r="G174" s="58">
        <v>0.005462962962962963</v>
      </c>
    </row>
    <row r="175" ht="14.25" customHeight="1">
      <c r="A175" s="54" t="s">
        <v>1377</v>
      </c>
      <c r="B175" s="54" t="s">
        <v>1389</v>
      </c>
      <c r="C175" s="55" t="s">
        <v>1399</v>
      </c>
      <c r="D175" s="56">
        <v>1.0</v>
      </c>
      <c r="E175" s="57" t="s">
        <v>493</v>
      </c>
      <c r="F175" s="57" t="s">
        <v>490</v>
      </c>
      <c r="G175" s="58">
        <v>0.0026967592592592594</v>
      </c>
    </row>
    <row r="176" ht="14.25" customHeight="1">
      <c r="A176" s="54" t="s">
        <v>1377</v>
      </c>
      <c r="B176" s="54" t="s">
        <v>1389</v>
      </c>
      <c r="C176" s="55" t="s">
        <v>1399</v>
      </c>
      <c r="D176" s="56">
        <v>1.0</v>
      </c>
      <c r="E176" s="57" t="s">
        <v>493</v>
      </c>
      <c r="F176" s="57" t="s">
        <v>494</v>
      </c>
      <c r="G176" s="58">
        <v>0.015439814814814814</v>
      </c>
    </row>
    <row r="177" ht="14.25" customHeight="1">
      <c r="A177" s="54" t="s">
        <v>1377</v>
      </c>
      <c r="B177" s="54" t="s">
        <v>1389</v>
      </c>
      <c r="C177" s="55" t="s">
        <v>1399</v>
      </c>
      <c r="D177" s="56">
        <v>1.0</v>
      </c>
      <c r="E177" s="57" t="s">
        <v>493</v>
      </c>
      <c r="F177" s="57" t="s">
        <v>1400</v>
      </c>
      <c r="G177" s="58">
        <v>0.028819444444444446</v>
      </c>
    </row>
    <row r="178" ht="14.25" customHeight="1">
      <c r="A178" s="54" t="s">
        <v>1377</v>
      </c>
      <c r="B178" s="54" t="s">
        <v>1389</v>
      </c>
      <c r="C178" s="55" t="s">
        <v>1399</v>
      </c>
      <c r="D178" s="56">
        <v>1.0</v>
      </c>
      <c r="E178" s="57" t="s">
        <v>493</v>
      </c>
      <c r="F178" s="57" t="s">
        <v>496</v>
      </c>
      <c r="G178" s="58">
        <v>0.010324074074074074</v>
      </c>
    </row>
    <row r="179" ht="14.25" customHeight="1">
      <c r="A179" s="54" t="s">
        <v>1377</v>
      </c>
      <c r="B179" s="54" t="s">
        <v>1389</v>
      </c>
      <c r="C179" s="55" t="s">
        <v>1399</v>
      </c>
      <c r="D179" s="56">
        <v>1.0</v>
      </c>
      <c r="E179" s="57" t="s">
        <v>493</v>
      </c>
      <c r="F179" s="57" t="s">
        <v>498</v>
      </c>
      <c r="G179" s="58">
        <v>0.013761574074074074</v>
      </c>
    </row>
    <row r="180" ht="14.25" customHeight="1">
      <c r="A180" s="54" t="s">
        <v>1377</v>
      </c>
      <c r="B180" s="54" t="s">
        <v>1389</v>
      </c>
      <c r="C180" s="55" t="s">
        <v>1399</v>
      </c>
      <c r="D180" s="56">
        <v>1.0</v>
      </c>
      <c r="E180" s="57" t="s">
        <v>493</v>
      </c>
      <c r="F180" s="57" t="s">
        <v>768</v>
      </c>
      <c r="G180" s="58">
        <v>0.00883101851851852</v>
      </c>
    </row>
    <row r="181" ht="14.25" customHeight="1">
      <c r="A181" s="54" t="s">
        <v>1377</v>
      </c>
      <c r="B181" s="54" t="s">
        <v>1389</v>
      </c>
      <c r="C181" s="55" t="s">
        <v>1399</v>
      </c>
      <c r="D181" s="56">
        <v>2.0</v>
      </c>
      <c r="E181" s="57" t="s">
        <v>503</v>
      </c>
      <c r="F181" s="57" t="s">
        <v>500</v>
      </c>
      <c r="G181" s="58">
        <v>0.007893518518518518</v>
      </c>
    </row>
    <row r="182" ht="14.25" customHeight="1">
      <c r="A182" s="54" t="s">
        <v>1377</v>
      </c>
      <c r="B182" s="54" t="s">
        <v>1389</v>
      </c>
      <c r="C182" s="55" t="s">
        <v>1399</v>
      </c>
      <c r="D182" s="56">
        <v>2.0</v>
      </c>
      <c r="E182" s="57" t="s">
        <v>503</v>
      </c>
      <c r="F182" s="57" t="s">
        <v>504</v>
      </c>
      <c r="G182" s="58">
        <v>0.007789351851851852</v>
      </c>
    </row>
    <row r="183" ht="14.25" customHeight="1">
      <c r="A183" s="54" t="s">
        <v>1377</v>
      </c>
      <c r="B183" s="54" t="s">
        <v>1389</v>
      </c>
      <c r="C183" s="55" t="s">
        <v>1399</v>
      </c>
      <c r="D183" s="56">
        <v>2.0</v>
      </c>
      <c r="E183" s="57" t="s">
        <v>503</v>
      </c>
      <c r="F183" s="57" t="s">
        <v>506</v>
      </c>
      <c r="G183" s="58">
        <v>0.003275462962962963</v>
      </c>
    </row>
    <row r="184" ht="14.25" customHeight="1">
      <c r="A184" s="54" t="s">
        <v>1377</v>
      </c>
      <c r="B184" s="54" t="s">
        <v>1389</v>
      </c>
      <c r="C184" s="55" t="s">
        <v>1399</v>
      </c>
      <c r="D184" s="56">
        <v>2.0</v>
      </c>
      <c r="E184" s="57" t="s">
        <v>503</v>
      </c>
      <c r="F184" s="57" t="s">
        <v>508</v>
      </c>
      <c r="G184" s="58">
        <v>0.014953703703703703</v>
      </c>
    </row>
    <row r="185" ht="14.25" customHeight="1">
      <c r="A185" s="54" t="s">
        <v>1377</v>
      </c>
      <c r="B185" s="54" t="s">
        <v>1389</v>
      </c>
      <c r="C185" s="55" t="s">
        <v>1399</v>
      </c>
      <c r="D185" s="56">
        <v>2.0</v>
      </c>
      <c r="E185" s="57" t="s">
        <v>503</v>
      </c>
      <c r="F185" s="57" t="s">
        <v>510</v>
      </c>
      <c r="G185" s="58">
        <v>0.01744212962962963</v>
      </c>
    </row>
    <row r="186" ht="14.25" customHeight="1">
      <c r="A186" s="54" t="s">
        <v>1377</v>
      </c>
      <c r="B186" s="54" t="s">
        <v>1389</v>
      </c>
      <c r="C186" s="55" t="s">
        <v>1399</v>
      </c>
      <c r="D186" s="56">
        <v>2.0</v>
      </c>
      <c r="E186" s="57" t="s">
        <v>503</v>
      </c>
      <c r="F186" s="57" t="s">
        <v>512</v>
      </c>
      <c r="G186" s="58">
        <v>0.00542824074074074</v>
      </c>
    </row>
    <row r="187" ht="14.25" customHeight="1">
      <c r="A187" s="54" t="s">
        <v>1377</v>
      </c>
      <c r="B187" s="54" t="s">
        <v>1389</v>
      </c>
      <c r="C187" s="55" t="s">
        <v>1399</v>
      </c>
      <c r="D187" s="56">
        <v>3.0</v>
      </c>
      <c r="E187" s="57" t="s">
        <v>516</v>
      </c>
      <c r="F187" s="57" t="s">
        <v>514</v>
      </c>
      <c r="G187" s="58">
        <v>0.011620370370370371</v>
      </c>
    </row>
    <row r="188" ht="14.25" customHeight="1">
      <c r="A188" s="54" t="s">
        <v>1377</v>
      </c>
      <c r="B188" s="54" t="s">
        <v>1389</v>
      </c>
      <c r="C188" s="55" t="s">
        <v>1399</v>
      </c>
      <c r="D188" s="56">
        <v>3.0</v>
      </c>
      <c r="E188" s="57" t="s">
        <v>516</v>
      </c>
      <c r="F188" s="57" t="s">
        <v>517</v>
      </c>
      <c r="G188" s="58">
        <v>0.015277777777777777</v>
      </c>
    </row>
    <row r="189" ht="14.25" customHeight="1">
      <c r="A189" s="54" t="s">
        <v>1377</v>
      </c>
      <c r="B189" s="54" t="s">
        <v>1389</v>
      </c>
      <c r="C189" s="55" t="s">
        <v>1399</v>
      </c>
      <c r="D189" s="56">
        <v>3.0</v>
      </c>
      <c r="E189" s="57" t="s">
        <v>516</v>
      </c>
      <c r="F189" s="57" t="s">
        <v>519</v>
      </c>
      <c r="G189" s="58">
        <v>0.01105324074074074</v>
      </c>
    </row>
    <row r="190" ht="14.25" customHeight="1">
      <c r="A190" s="54" t="s">
        <v>1377</v>
      </c>
      <c r="B190" s="54" t="s">
        <v>1389</v>
      </c>
      <c r="C190" s="55" t="s">
        <v>1399</v>
      </c>
      <c r="D190" s="56">
        <v>3.0</v>
      </c>
      <c r="E190" s="57" t="s">
        <v>516</v>
      </c>
      <c r="F190" s="57" t="s">
        <v>521</v>
      </c>
      <c r="G190" s="58">
        <v>0.05555555555555555</v>
      </c>
    </row>
    <row r="191" ht="14.25" customHeight="1">
      <c r="A191" s="54" t="s">
        <v>1377</v>
      </c>
      <c r="B191" s="54" t="s">
        <v>1389</v>
      </c>
      <c r="C191" s="55" t="s">
        <v>1399</v>
      </c>
      <c r="D191" s="56">
        <v>4.0</v>
      </c>
      <c r="E191" s="57" t="s">
        <v>524</v>
      </c>
      <c r="F191" s="57" t="s">
        <v>522</v>
      </c>
      <c r="G191" s="58">
        <v>0.010868055555555556</v>
      </c>
    </row>
    <row r="192" ht="14.25" customHeight="1">
      <c r="A192" s="54" t="s">
        <v>1377</v>
      </c>
      <c r="B192" s="54" t="s">
        <v>1389</v>
      </c>
      <c r="C192" s="55" t="s">
        <v>1399</v>
      </c>
      <c r="D192" s="56">
        <v>4.0</v>
      </c>
      <c r="E192" s="57" t="s">
        <v>524</v>
      </c>
      <c r="F192" s="57" t="s">
        <v>525</v>
      </c>
      <c r="G192" s="58">
        <v>0.01457175925925926</v>
      </c>
    </row>
    <row r="193" ht="14.25" customHeight="1">
      <c r="A193" s="54" t="s">
        <v>1377</v>
      </c>
      <c r="B193" s="54" t="s">
        <v>1389</v>
      </c>
      <c r="C193" s="55" t="s">
        <v>1399</v>
      </c>
      <c r="D193" s="56">
        <v>4.0</v>
      </c>
      <c r="E193" s="57" t="s">
        <v>524</v>
      </c>
      <c r="F193" s="57" t="s">
        <v>527</v>
      </c>
      <c r="G193" s="58">
        <v>0.00755787037037037</v>
      </c>
    </row>
    <row r="194" ht="14.25" customHeight="1">
      <c r="A194" s="54" t="s">
        <v>1377</v>
      </c>
      <c r="B194" s="54" t="s">
        <v>1389</v>
      </c>
      <c r="C194" s="55" t="s">
        <v>1399</v>
      </c>
      <c r="D194" s="56">
        <v>4.0</v>
      </c>
      <c r="E194" s="57" t="s">
        <v>524</v>
      </c>
      <c r="F194" s="57" t="s">
        <v>529</v>
      </c>
      <c r="G194" s="58">
        <v>0.005</v>
      </c>
    </row>
    <row r="195" ht="14.25" customHeight="1">
      <c r="A195" s="54" t="s">
        <v>1377</v>
      </c>
      <c r="B195" s="54" t="s">
        <v>1389</v>
      </c>
      <c r="C195" s="55" t="s">
        <v>1399</v>
      </c>
      <c r="D195" s="56">
        <v>4.0</v>
      </c>
      <c r="E195" s="57" t="s">
        <v>524</v>
      </c>
      <c r="F195" s="57" t="s">
        <v>531</v>
      </c>
      <c r="G195" s="58">
        <v>0.011493055555555555</v>
      </c>
    </row>
    <row r="196" ht="14.25" customHeight="1">
      <c r="A196" s="54" t="s">
        <v>1377</v>
      </c>
      <c r="B196" s="54" t="s">
        <v>1389</v>
      </c>
      <c r="C196" s="55" t="s">
        <v>1399</v>
      </c>
      <c r="D196" s="56">
        <v>4.0</v>
      </c>
      <c r="E196" s="57" t="s">
        <v>524</v>
      </c>
      <c r="F196" s="57" t="s">
        <v>533</v>
      </c>
      <c r="G196" s="58">
        <v>0.0038773148148148148</v>
      </c>
    </row>
    <row r="197" ht="14.25" customHeight="1">
      <c r="A197" s="54" t="s">
        <v>1377</v>
      </c>
      <c r="B197" s="54" t="s">
        <v>1389</v>
      </c>
      <c r="C197" s="55" t="s">
        <v>1399</v>
      </c>
      <c r="D197" s="56">
        <v>4.0</v>
      </c>
      <c r="E197" s="57" t="s">
        <v>524</v>
      </c>
      <c r="F197" s="57" t="s">
        <v>535</v>
      </c>
      <c r="G197" s="58">
        <v>0.002951388888888889</v>
      </c>
    </row>
    <row r="198" ht="14.25" customHeight="1">
      <c r="A198" s="54" t="s">
        <v>1377</v>
      </c>
      <c r="B198" s="54" t="s">
        <v>1389</v>
      </c>
      <c r="C198" s="55" t="s">
        <v>1399</v>
      </c>
      <c r="D198" s="56">
        <v>4.0</v>
      </c>
      <c r="E198" s="57" t="s">
        <v>524</v>
      </c>
      <c r="F198" s="57" t="s">
        <v>537</v>
      </c>
      <c r="G198" s="58">
        <v>0.012997685185185185</v>
      </c>
    </row>
    <row r="199" ht="14.25" customHeight="1">
      <c r="A199" s="54" t="s">
        <v>1377</v>
      </c>
      <c r="B199" s="54" t="s">
        <v>1389</v>
      </c>
      <c r="C199" s="55" t="s">
        <v>1401</v>
      </c>
      <c r="D199" s="56">
        <v>1.0</v>
      </c>
      <c r="E199" s="57" t="s">
        <v>541</v>
      </c>
      <c r="F199" s="57" t="s">
        <v>539</v>
      </c>
      <c r="G199" s="58">
        <v>0.02556712962962963</v>
      </c>
    </row>
    <row r="200" ht="14.25" customHeight="1">
      <c r="A200" s="54" t="s">
        <v>1377</v>
      </c>
      <c r="B200" s="54" t="s">
        <v>1389</v>
      </c>
      <c r="C200" s="55" t="s">
        <v>1401</v>
      </c>
      <c r="D200" s="56">
        <v>1.0</v>
      </c>
      <c r="E200" s="57" t="s">
        <v>541</v>
      </c>
      <c r="F200" s="57" t="s">
        <v>542</v>
      </c>
      <c r="G200" s="58">
        <v>0.013298611111111112</v>
      </c>
    </row>
    <row r="201" ht="14.25" customHeight="1">
      <c r="A201" s="54" t="s">
        <v>1377</v>
      </c>
      <c r="B201" s="54" t="s">
        <v>1389</v>
      </c>
      <c r="C201" s="55" t="s">
        <v>1401</v>
      </c>
      <c r="D201" s="56">
        <v>2.0</v>
      </c>
      <c r="E201" s="57" t="s">
        <v>546</v>
      </c>
      <c r="F201" s="57" t="s">
        <v>1402</v>
      </c>
      <c r="G201" s="58">
        <v>0.02230324074074074</v>
      </c>
    </row>
    <row r="202" ht="14.25" customHeight="1">
      <c r="A202" s="54" t="s">
        <v>1377</v>
      </c>
      <c r="B202" s="54" t="s">
        <v>1389</v>
      </c>
      <c r="C202" s="55" t="s">
        <v>1401</v>
      </c>
      <c r="D202" s="56">
        <v>2.0</v>
      </c>
      <c r="E202" s="57" t="s">
        <v>546</v>
      </c>
      <c r="F202" s="57" t="s">
        <v>544</v>
      </c>
      <c r="G202" s="58">
        <v>0.01375</v>
      </c>
    </row>
    <row r="203" ht="14.25" customHeight="1">
      <c r="A203" s="54" t="s">
        <v>1377</v>
      </c>
      <c r="B203" s="54" t="s">
        <v>1389</v>
      </c>
      <c r="C203" s="55" t="s">
        <v>1403</v>
      </c>
      <c r="D203" s="56">
        <v>1.0</v>
      </c>
      <c r="E203" s="57" t="s">
        <v>549</v>
      </c>
      <c r="F203" s="57" t="s">
        <v>547</v>
      </c>
      <c r="G203" s="58">
        <v>0.021608796296296296</v>
      </c>
    </row>
    <row r="204" ht="14.25" customHeight="1">
      <c r="A204" s="54" t="s">
        <v>1377</v>
      </c>
      <c r="B204" s="54" t="s">
        <v>1389</v>
      </c>
      <c r="C204" s="55" t="s">
        <v>1403</v>
      </c>
      <c r="D204" s="56">
        <v>1.0</v>
      </c>
      <c r="E204" s="57" t="s">
        <v>549</v>
      </c>
      <c r="F204" s="57" t="s">
        <v>550</v>
      </c>
      <c r="G204" s="58">
        <v>0.014166666666666666</v>
      </c>
    </row>
    <row r="205" ht="14.25" customHeight="1">
      <c r="A205" s="54" t="s">
        <v>1377</v>
      </c>
      <c r="B205" s="54" t="s">
        <v>1389</v>
      </c>
      <c r="C205" s="55" t="s">
        <v>1403</v>
      </c>
      <c r="D205" s="56">
        <v>1.0</v>
      </c>
      <c r="E205" s="57" t="s">
        <v>549</v>
      </c>
      <c r="F205" s="57" t="s">
        <v>1404</v>
      </c>
      <c r="G205" s="58">
        <v>0.018333333333333333</v>
      </c>
    </row>
    <row r="206" ht="14.25" customHeight="1">
      <c r="A206" s="54" t="s">
        <v>1377</v>
      </c>
      <c r="B206" s="54" t="s">
        <v>1389</v>
      </c>
      <c r="C206" s="55" t="s">
        <v>1403</v>
      </c>
      <c r="D206" s="56">
        <v>1.0</v>
      </c>
      <c r="E206" s="57" t="s">
        <v>549</v>
      </c>
      <c r="F206" s="57" t="s">
        <v>552</v>
      </c>
      <c r="G206" s="58">
        <v>0.026712962962962963</v>
      </c>
    </row>
    <row r="207" ht="14.25" customHeight="1">
      <c r="A207" s="54" t="s">
        <v>1377</v>
      </c>
      <c r="B207" s="54" t="s">
        <v>1389</v>
      </c>
      <c r="C207" s="55" t="s">
        <v>1403</v>
      </c>
      <c r="D207" s="56">
        <v>1.0</v>
      </c>
      <c r="E207" s="57" t="s">
        <v>549</v>
      </c>
      <c r="F207" s="57" t="s">
        <v>554</v>
      </c>
      <c r="G207" s="58">
        <v>0.010289351851851852</v>
      </c>
    </row>
    <row r="208" ht="14.25" customHeight="1">
      <c r="A208" s="54" t="s">
        <v>1377</v>
      </c>
      <c r="B208" s="54" t="s">
        <v>1389</v>
      </c>
      <c r="C208" s="55" t="s">
        <v>1403</v>
      </c>
      <c r="D208" s="56">
        <v>1.0</v>
      </c>
      <c r="E208" s="57" t="s">
        <v>549</v>
      </c>
      <c r="F208" s="57" t="s">
        <v>1405</v>
      </c>
      <c r="G208" s="58">
        <v>0.0134375</v>
      </c>
    </row>
    <row r="209" ht="14.25" customHeight="1">
      <c r="A209" s="54" t="s">
        <v>1377</v>
      </c>
      <c r="B209" s="54" t="s">
        <v>1389</v>
      </c>
      <c r="C209" s="55" t="s">
        <v>1403</v>
      </c>
      <c r="D209" s="56">
        <v>1.0</v>
      </c>
      <c r="E209" s="57" t="s">
        <v>549</v>
      </c>
      <c r="F209" s="57" t="s">
        <v>556</v>
      </c>
      <c r="G209" s="58">
        <v>0.017766203703703704</v>
      </c>
    </row>
    <row r="210" ht="14.25" customHeight="1">
      <c r="A210" s="54" t="s">
        <v>1377</v>
      </c>
      <c r="B210" s="54" t="s">
        <v>1389</v>
      </c>
      <c r="C210" s="55" t="s">
        <v>1403</v>
      </c>
      <c r="D210" s="56">
        <v>1.0</v>
      </c>
      <c r="E210" s="57" t="s">
        <v>549</v>
      </c>
      <c r="F210" s="57" t="s">
        <v>558</v>
      </c>
      <c r="G210" s="58">
        <v>0.017060185185185185</v>
      </c>
    </row>
    <row r="211" ht="14.25" customHeight="1">
      <c r="A211" s="54" t="s">
        <v>1377</v>
      </c>
      <c r="B211" s="54" t="s">
        <v>1389</v>
      </c>
      <c r="C211" s="55" t="s">
        <v>1403</v>
      </c>
      <c r="D211" s="56">
        <v>1.0</v>
      </c>
      <c r="E211" s="57" t="s">
        <v>549</v>
      </c>
      <c r="F211" s="57" t="s">
        <v>560</v>
      </c>
      <c r="G211" s="58">
        <v>0.018738425925925926</v>
      </c>
    </row>
    <row r="212" ht="14.25" customHeight="1">
      <c r="A212" s="54" t="s">
        <v>1377</v>
      </c>
      <c r="B212" s="54" t="s">
        <v>1389</v>
      </c>
      <c r="C212" s="55" t="s">
        <v>1403</v>
      </c>
      <c r="D212" s="56">
        <v>2.0</v>
      </c>
      <c r="E212" s="57" t="s">
        <v>564</v>
      </c>
      <c r="F212" s="57" t="s">
        <v>562</v>
      </c>
      <c r="G212" s="58">
        <v>0.013773148148148149</v>
      </c>
    </row>
    <row r="213" ht="14.25" customHeight="1">
      <c r="A213" s="54" t="s">
        <v>1377</v>
      </c>
      <c r="B213" s="54" t="s">
        <v>1389</v>
      </c>
      <c r="C213" s="55" t="s">
        <v>1403</v>
      </c>
      <c r="D213" s="56">
        <v>2.0</v>
      </c>
      <c r="E213" s="57" t="s">
        <v>564</v>
      </c>
      <c r="F213" s="57" t="s">
        <v>565</v>
      </c>
      <c r="G213" s="58">
        <v>0.010543981481481482</v>
      </c>
    </row>
    <row r="214" ht="14.25" customHeight="1">
      <c r="A214" s="54" t="s">
        <v>1377</v>
      </c>
      <c r="B214" s="54" t="s">
        <v>1389</v>
      </c>
      <c r="C214" s="55" t="s">
        <v>1403</v>
      </c>
      <c r="D214" s="56">
        <v>2.0</v>
      </c>
      <c r="E214" s="57" t="s">
        <v>564</v>
      </c>
      <c r="F214" s="57" t="s">
        <v>567</v>
      </c>
      <c r="G214" s="58">
        <v>0.007581018518518518</v>
      </c>
    </row>
    <row r="215" ht="14.25" customHeight="1">
      <c r="A215" s="54" t="s">
        <v>1377</v>
      </c>
      <c r="B215" s="54" t="s">
        <v>1389</v>
      </c>
      <c r="C215" s="55" t="s">
        <v>1403</v>
      </c>
      <c r="D215" s="56">
        <v>2.0</v>
      </c>
      <c r="E215" s="57" t="s">
        <v>564</v>
      </c>
      <c r="F215" s="57" t="s">
        <v>569</v>
      </c>
      <c r="G215" s="58">
        <v>0.025347222222222222</v>
      </c>
    </row>
    <row r="216" ht="14.25" customHeight="1">
      <c r="A216" s="54" t="s">
        <v>1377</v>
      </c>
      <c r="B216" s="54" t="s">
        <v>1389</v>
      </c>
      <c r="C216" s="55" t="s">
        <v>1403</v>
      </c>
      <c r="D216" s="56">
        <v>2.0</v>
      </c>
      <c r="E216" s="57" t="s">
        <v>564</v>
      </c>
      <c r="F216" s="57" t="s">
        <v>571</v>
      </c>
      <c r="G216" s="58">
        <v>0.015810185185185184</v>
      </c>
    </row>
    <row r="217" ht="14.25" customHeight="1">
      <c r="A217" s="54" t="s">
        <v>1377</v>
      </c>
      <c r="B217" s="54" t="s">
        <v>1389</v>
      </c>
      <c r="C217" s="55" t="s">
        <v>1403</v>
      </c>
      <c r="D217" s="56">
        <v>2.0</v>
      </c>
      <c r="E217" s="57" t="s">
        <v>564</v>
      </c>
      <c r="F217" s="57" t="s">
        <v>1406</v>
      </c>
      <c r="G217" s="58">
        <v>0.013819444444444445</v>
      </c>
    </row>
    <row r="218" ht="14.25" customHeight="1">
      <c r="A218" s="54" t="s">
        <v>1377</v>
      </c>
      <c r="B218" s="54" t="s">
        <v>1389</v>
      </c>
      <c r="C218" s="55" t="s">
        <v>1403</v>
      </c>
      <c r="D218" s="56">
        <v>2.0</v>
      </c>
      <c r="E218" s="57" t="s">
        <v>564</v>
      </c>
      <c r="F218" s="57" t="s">
        <v>573</v>
      </c>
      <c r="G218" s="58">
        <v>0.007418981481481481</v>
      </c>
    </row>
    <row r="219" ht="14.25" customHeight="1">
      <c r="A219" s="54" t="s">
        <v>1377</v>
      </c>
      <c r="B219" s="54" t="s">
        <v>1389</v>
      </c>
      <c r="C219" s="55" t="s">
        <v>1407</v>
      </c>
      <c r="D219" s="56">
        <v>1.0</v>
      </c>
      <c r="E219" s="57" t="s">
        <v>577</v>
      </c>
      <c r="F219" s="57" t="s">
        <v>575</v>
      </c>
      <c r="G219" s="58">
        <v>0.011539351851851851</v>
      </c>
    </row>
    <row r="220" ht="14.25" customHeight="1">
      <c r="A220" s="54" t="s">
        <v>1377</v>
      </c>
      <c r="B220" s="54" t="s">
        <v>1389</v>
      </c>
      <c r="C220" s="55" t="s">
        <v>1407</v>
      </c>
      <c r="D220" s="56">
        <v>1.0</v>
      </c>
      <c r="E220" s="57" t="s">
        <v>577</v>
      </c>
      <c r="F220" s="57" t="s">
        <v>578</v>
      </c>
      <c r="G220" s="58">
        <v>0.015775462962962963</v>
      </c>
    </row>
    <row r="221" ht="14.25" customHeight="1">
      <c r="A221" s="54" t="s">
        <v>1377</v>
      </c>
      <c r="B221" s="54" t="s">
        <v>1389</v>
      </c>
      <c r="C221" s="55" t="s">
        <v>1407</v>
      </c>
      <c r="D221" s="56">
        <v>1.0</v>
      </c>
      <c r="E221" s="57" t="s">
        <v>577</v>
      </c>
      <c r="F221" s="57" t="s">
        <v>580</v>
      </c>
      <c r="G221" s="58">
        <v>0.0077314814814814815</v>
      </c>
    </row>
    <row r="222" ht="14.25" customHeight="1">
      <c r="A222" s="54" t="s">
        <v>1377</v>
      </c>
      <c r="B222" s="54" t="s">
        <v>1389</v>
      </c>
      <c r="C222" s="55" t="s">
        <v>1407</v>
      </c>
      <c r="D222" s="56">
        <v>1.0</v>
      </c>
      <c r="E222" s="57" t="s">
        <v>577</v>
      </c>
      <c r="F222" s="57" t="s">
        <v>1408</v>
      </c>
      <c r="G222" s="58">
        <v>0.012210648148148148</v>
      </c>
    </row>
    <row r="223" ht="14.25" customHeight="1">
      <c r="A223" s="54" t="s">
        <v>1377</v>
      </c>
      <c r="B223" s="54" t="s">
        <v>1389</v>
      </c>
      <c r="C223" s="55" t="s">
        <v>1407</v>
      </c>
      <c r="D223" s="56">
        <v>1.0</v>
      </c>
      <c r="E223" s="57" t="s">
        <v>577</v>
      </c>
      <c r="F223" s="57" t="s">
        <v>1409</v>
      </c>
      <c r="G223" s="58">
        <v>0.00986111111111111</v>
      </c>
    </row>
    <row r="224" ht="14.25" customHeight="1">
      <c r="A224" s="54" t="s">
        <v>1377</v>
      </c>
      <c r="B224" s="54" t="s">
        <v>1389</v>
      </c>
      <c r="C224" s="55" t="s">
        <v>1407</v>
      </c>
      <c r="D224" s="56">
        <v>1.0</v>
      </c>
      <c r="E224" s="57" t="s">
        <v>577</v>
      </c>
      <c r="F224" s="57" t="s">
        <v>582</v>
      </c>
      <c r="G224" s="58">
        <v>0.015069444444444444</v>
      </c>
    </row>
    <row r="225" ht="14.25" customHeight="1">
      <c r="A225" s="54" t="s">
        <v>1377</v>
      </c>
      <c r="B225" s="54" t="s">
        <v>1389</v>
      </c>
      <c r="C225" s="55" t="s">
        <v>1407</v>
      </c>
      <c r="D225" s="56">
        <v>1.0</v>
      </c>
      <c r="E225" s="57" t="s">
        <v>577</v>
      </c>
      <c r="F225" s="57" t="s">
        <v>584</v>
      </c>
      <c r="G225" s="58">
        <v>0.018657407407407407</v>
      </c>
    </row>
    <row r="226" ht="14.25" customHeight="1">
      <c r="A226" s="54" t="s">
        <v>1377</v>
      </c>
      <c r="B226" s="54" t="s">
        <v>1389</v>
      </c>
      <c r="C226" s="55" t="s">
        <v>1407</v>
      </c>
      <c r="D226" s="56">
        <v>1.0</v>
      </c>
      <c r="E226" s="57" t="s">
        <v>577</v>
      </c>
      <c r="F226" s="57" t="s">
        <v>586</v>
      </c>
      <c r="G226" s="58">
        <v>0.02</v>
      </c>
    </row>
    <row r="227" ht="14.25" customHeight="1">
      <c r="A227" s="54" t="s">
        <v>1377</v>
      </c>
      <c r="B227" s="54" t="s">
        <v>1389</v>
      </c>
      <c r="C227" s="55" t="s">
        <v>1407</v>
      </c>
      <c r="D227" s="56">
        <v>1.0</v>
      </c>
      <c r="E227" s="57" t="s">
        <v>577</v>
      </c>
      <c r="F227" s="57" t="s">
        <v>588</v>
      </c>
      <c r="G227" s="58">
        <v>0.01628472222222222</v>
      </c>
    </row>
    <row r="228" ht="14.25" customHeight="1">
      <c r="A228" s="54" t="s">
        <v>1377</v>
      </c>
      <c r="B228" s="54" t="s">
        <v>1389</v>
      </c>
      <c r="C228" s="55" t="s">
        <v>1407</v>
      </c>
      <c r="D228" s="56">
        <v>1.0</v>
      </c>
      <c r="E228" s="57" t="s">
        <v>577</v>
      </c>
      <c r="F228" s="57" t="s">
        <v>590</v>
      </c>
      <c r="G228" s="58">
        <v>0.018159722222222223</v>
      </c>
    </row>
    <row r="229" ht="14.25" customHeight="1">
      <c r="A229" s="54" t="s">
        <v>1377</v>
      </c>
      <c r="B229" s="54" t="s">
        <v>1389</v>
      </c>
      <c r="C229" s="55" t="s">
        <v>1407</v>
      </c>
      <c r="D229" s="56">
        <v>1.0</v>
      </c>
      <c r="E229" s="57" t="s">
        <v>577</v>
      </c>
      <c r="F229" s="57" t="s">
        <v>1410</v>
      </c>
      <c r="G229" s="58">
        <v>0.004502314814814815</v>
      </c>
    </row>
    <row r="230" ht="14.25" customHeight="1">
      <c r="A230" s="54" t="s">
        <v>1377</v>
      </c>
      <c r="B230" s="54" t="s">
        <v>1389</v>
      </c>
      <c r="C230" s="55" t="s">
        <v>1407</v>
      </c>
      <c r="D230" s="56">
        <v>1.0</v>
      </c>
      <c r="E230" s="57" t="s">
        <v>577</v>
      </c>
      <c r="F230" s="57" t="s">
        <v>592</v>
      </c>
      <c r="G230" s="58">
        <v>0.011689814814814814</v>
      </c>
    </row>
    <row r="231" ht="14.25" customHeight="1">
      <c r="A231" s="54" t="s">
        <v>1377</v>
      </c>
      <c r="B231" s="54" t="s">
        <v>1389</v>
      </c>
      <c r="C231" s="55" t="s">
        <v>1407</v>
      </c>
      <c r="D231" s="56">
        <v>1.0</v>
      </c>
      <c r="E231" s="57" t="s">
        <v>577</v>
      </c>
      <c r="F231" s="57" t="s">
        <v>594</v>
      </c>
      <c r="G231" s="58">
        <v>0.01511574074074074</v>
      </c>
    </row>
    <row r="232" ht="14.25" customHeight="1">
      <c r="A232" s="54" t="s">
        <v>1377</v>
      </c>
      <c r="B232" s="54" t="s">
        <v>1389</v>
      </c>
      <c r="C232" s="55" t="s">
        <v>1411</v>
      </c>
      <c r="D232" s="56">
        <v>1.0</v>
      </c>
      <c r="E232" s="57" t="s">
        <v>599</v>
      </c>
      <c r="F232" s="57" t="s">
        <v>596</v>
      </c>
      <c r="G232" s="58">
        <v>0.0013194444444444445</v>
      </c>
    </row>
    <row r="233" ht="14.25" customHeight="1">
      <c r="A233" s="54" t="s">
        <v>1377</v>
      </c>
      <c r="B233" s="54" t="s">
        <v>1389</v>
      </c>
      <c r="C233" s="55" t="s">
        <v>1411</v>
      </c>
      <c r="D233" s="56">
        <v>1.0</v>
      </c>
      <c r="E233" s="57" t="s">
        <v>599</v>
      </c>
      <c r="F233" s="57" t="s">
        <v>600</v>
      </c>
      <c r="G233" s="58">
        <v>0.0037847222222222223</v>
      </c>
    </row>
    <row r="234" ht="14.25" customHeight="1">
      <c r="A234" s="54" t="s">
        <v>1377</v>
      </c>
      <c r="B234" s="54" t="s">
        <v>1389</v>
      </c>
      <c r="C234" s="55" t="s">
        <v>1411</v>
      </c>
      <c r="D234" s="56">
        <v>1.0</v>
      </c>
      <c r="E234" s="57" t="s">
        <v>599</v>
      </c>
      <c r="F234" s="57" t="s">
        <v>602</v>
      </c>
      <c r="G234" s="58">
        <v>0.0040625</v>
      </c>
    </row>
    <row r="235" ht="14.25" customHeight="1">
      <c r="A235" s="54" t="s">
        <v>1377</v>
      </c>
      <c r="B235" s="54" t="s">
        <v>1389</v>
      </c>
      <c r="C235" s="55" t="s">
        <v>1411</v>
      </c>
      <c r="D235" s="56">
        <v>1.0</v>
      </c>
      <c r="E235" s="57" t="s">
        <v>599</v>
      </c>
      <c r="F235" s="57" t="s">
        <v>1412</v>
      </c>
      <c r="G235" s="58">
        <v>0.006724537037037037</v>
      </c>
    </row>
    <row r="236" ht="14.25" customHeight="1">
      <c r="A236" s="54" t="s">
        <v>1377</v>
      </c>
      <c r="B236" s="54" t="s">
        <v>1389</v>
      </c>
      <c r="C236" s="55" t="s">
        <v>1411</v>
      </c>
      <c r="D236" s="56">
        <v>1.0</v>
      </c>
      <c r="E236" s="57" t="s">
        <v>599</v>
      </c>
      <c r="F236" s="57" t="s">
        <v>604</v>
      </c>
      <c r="G236" s="58">
        <v>0.004409722222222222</v>
      </c>
    </row>
    <row r="237" ht="14.25" customHeight="1">
      <c r="A237" s="54" t="s">
        <v>1377</v>
      </c>
      <c r="B237" s="54" t="s">
        <v>1389</v>
      </c>
      <c r="C237" s="55" t="s">
        <v>1411</v>
      </c>
      <c r="D237" s="56">
        <v>1.0</v>
      </c>
      <c r="E237" s="57" t="s">
        <v>599</v>
      </c>
      <c r="F237" s="57" t="s">
        <v>606</v>
      </c>
      <c r="G237" s="58">
        <v>0.006805555555555555</v>
      </c>
    </row>
    <row r="238" ht="14.25" customHeight="1">
      <c r="A238" s="54" t="s">
        <v>1377</v>
      </c>
      <c r="B238" s="54" t="s">
        <v>1389</v>
      </c>
      <c r="C238" s="55" t="s">
        <v>1411</v>
      </c>
      <c r="D238" s="56">
        <v>2.0</v>
      </c>
      <c r="E238" s="57" t="s">
        <v>610</v>
      </c>
      <c r="F238" s="57" t="s">
        <v>608</v>
      </c>
      <c r="G238" s="58">
        <v>0.004085648148148148</v>
      </c>
    </row>
    <row r="239" ht="14.25" customHeight="1">
      <c r="A239" s="54" t="s">
        <v>1377</v>
      </c>
      <c r="B239" s="54" t="s">
        <v>1389</v>
      </c>
      <c r="C239" s="55" t="s">
        <v>1411</v>
      </c>
      <c r="D239" s="56">
        <v>2.0</v>
      </c>
      <c r="E239" s="57" t="s">
        <v>610</v>
      </c>
      <c r="F239" s="57" t="s">
        <v>611</v>
      </c>
      <c r="G239" s="58">
        <v>0.0029861111111111113</v>
      </c>
    </row>
    <row r="240" ht="14.25" customHeight="1">
      <c r="A240" s="54" t="s">
        <v>1377</v>
      </c>
      <c r="B240" s="54" t="s">
        <v>1389</v>
      </c>
      <c r="C240" s="55" t="s">
        <v>1411</v>
      </c>
      <c r="D240" s="56">
        <v>2.0</v>
      </c>
      <c r="E240" s="57" t="s">
        <v>610</v>
      </c>
      <c r="F240" s="57" t="s">
        <v>1413</v>
      </c>
      <c r="G240" s="58">
        <v>0.01597222222222222</v>
      </c>
    </row>
    <row r="241" ht="14.25" customHeight="1">
      <c r="A241" s="54" t="s">
        <v>1377</v>
      </c>
      <c r="B241" s="54" t="s">
        <v>1389</v>
      </c>
      <c r="C241" s="55" t="s">
        <v>1411</v>
      </c>
      <c r="D241" s="56">
        <v>2.0</v>
      </c>
      <c r="E241" s="57" t="s">
        <v>610</v>
      </c>
      <c r="F241" s="57" t="s">
        <v>613</v>
      </c>
      <c r="G241" s="58">
        <v>0.015590277777777778</v>
      </c>
    </row>
    <row r="242" ht="14.25" customHeight="1">
      <c r="A242" s="54" t="s">
        <v>1377</v>
      </c>
      <c r="B242" s="54" t="s">
        <v>1389</v>
      </c>
      <c r="C242" s="55" t="s">
        <v>1411</v>
      </c>
      <c r="D242" s="56">
        <v>2.0</v>
      </c>
      <c r="E242" s="57" t="s">
        <v>610</v>
      </c>
      <c r="F242" s="57" t="s">
        <v>615</v>
      </c>
      <c r="G242" s="58">
        <v>0.007592592592592593</v>
      </c>
    </row>
    <row r="243" ht="14.25" customHeight="1">
      <c r="A243" s="54" t="s">
        <v>1377</v>
      </c>
      <c r="B243" s="54" t="s">
        <v>1389</v>
      </c>
      <c r="C243" s="55" t="s">
        <v>1411</v>
      </c>
      <c r="D243" s="56">
        <v>3.0</v>
      </c>
      <c r="E243" s="57" t="s">
        <v>619</v>
      </c>
      <c r="F243" s="57" t="s">
        <v>617</v>
      </c>
      <c r="G243" s="58">
        <v>0.001238425925925926</v>
      </c>
    </row>
    <row r="244" ht="14.25" customHeight="1">
      <c r="A244" s="54" t="s">
        <v>1377</v>
      </c>
      <c r="B244" s="54" t="s">
        <v>1389</v>
      </c>
      <c r="C244" s="55" t="s">
        <v>1411</v>
      </c>
      <c r="D244" s="56">
        <v>3.0</v>
      </c>
      <c r="E244" s="57" t="s">
        <v>619</v>
      </c>
      <c r="F244" s="57" t="s">
        <v>1414</v>
      </c>
      <c r="G244" s="58">
        <v>0.006712962962962963</v>
      </c>
    </row>
    <row r="245" ht="14.25" customHeight="1">
      <c r="A245" s="54" t="s">
        <v>1377</v>
      </c>
      <c r="B245" s="54" t="s">
        <v>1389</v>
      </c>
      <c r="C245" s="55" t="s">
        <v>1411</v>
      </c>
      <c r="D245" s="56">
        <v>3.0</v>
      </c>
      <c r="E245" s="57" t="s">
        <v>619</v>
      </c>
      <c r="F245" s="57" t="s">
        <v>1415</v>
      </c>
      <c r="G245" s="58">
        <v>0.003993055555555555</v>
      </c>
    </row>
    <row r="246" ht="14.25" customHeight="1">
      <c r="A246" s="54" t="s">
        <v>1377</v>
      </c>
      <c r="B246" s="54" t="s">
        <v>1389</v>
      </c>
      <c r="C246" s="55" t="s">
        <v>1411</v>
      </c>
      <c r="D246" s="56">
        <v>3.0</v>
      </c>
      <c r="E246" s="57" t="s">
        <v>619</v>
      </c>
      <c r="F246" s="57" t="s">
        <v>1416</v>
      </c>
      <c r="G246" s="58">
        <v>0.01017361111111111</v>
      </c>
    </row>
    <row r="247" ht="14.25" customHeight="1">
      <c r="A247" s="54" t="s">
        <v>1377</v>
      </c>
      <c r="B247" s="54" t="s">
        <v>1389</v>
      </c>
      <c r="C247" s="55" t="s">
        <v>1411</v>
      </c>
      <c r="D247" s="56">
        <v>3.0</v>
      </c>
      <c r="E247" s="57" t="s">
        <v>619</v>
      </c>
      <c r="F247" s="57" t="s">
        <v>1417</v>
      </c>
      <c r="G247" s="58">
        <v>0.0037962962962962963</v>
      </c>
    </row>
    <row r="248" ht="14.25" customHeight="1">
      <c r="A248" s="54" t="s">
        <v>1377</v>
      </c>
      <c r="B248" s="54" t="s">
        <v>1389</v>
      </c>
      <c r="C248" s="55" t="s">
        <v>1411</v>
      </c>
      <c r="D248" s="56">
        <v>3.0</v>
      </c>
      <c r="E248" s="57" t="s">
        <v>619</v>
      </c>
      <c r="F248" s="57" t="s">
        <v>1418</v>
      </c>
      <c r="G248" s="58">
        <v>0.006076388888888889</v>
      </c>
    </row>
    <row r="249" ht="14.25" customHeight="1">
      <c r="A249" s="54" t="s">
        <v>1377</v>
      </c>
      <c r="B249" s="54" t="s">
        <v>1389</v>
      </c>
      <c r="C249" s="55" t="s">
        <v>1411</v>
      </c>
      <c r="D249" s="56">
        <v>3.0</v>
      </c>
      <c r="E249" s="57" t="s">
        <v>619</v>
      </c>
      <c r="F249" s="57" t="s">
        <v>1419</v>
      </c>
      <c r="G249" s="58">
        <v>0.008645833333333333</v>
      </c>
    </row>
    <row r="250" ht="14.25" customHeight="1">
      <c r="A250" s="54" t="s">
        <v>1377</v>
      </c>
      <c r="B250" s="54" t="s">
        <v>1389</v>
      </c>
      <c r="C250" s="55" t="s">
        <v>1411</v>
      </c>
      <c r="D250" s="56">
        <v>3.0</v>
      </c>
      <c r="E250" s="57" t="s">
        <v>619</v>
      </c>
      <c r="F250" s="57" t="s">
        <v>1420</v>
      </c>
      <c r="G250" s="58">
        <v>0.00542824074074074</v>
      </c>
    </row>
    <row r="251" ht="14.25" customHeight="1">
      <c r="A251" s="54" t="s">
        <v>1377</v>
      </c>
      <c r="B251" s="54" t="s">
        <v>1389</v>
      </c>
      <c r="C251" s="55" t="s">
        <v>1411</v>
      </c>
      <c r="D251" s="56">
        <v>3.0</v>
      </c>
      <c r="E251" s="57" t="s">
        <v>619</v>
      </c>
      <c r="F251" s="57" t="s">
        <v>1421</v>
      </c>
      <c r="G251" s="58">
        <v>0.011782407407407408</v>
      </c>
    </row>
    <row r="252" ht="14.25" customHeight="1">
      <c r="A252" s="54" t="s">
        <v>1377</v>
      </c>
      <c r="B252" s="54" t="s">
        <v>1389</v>
      </c>
      <c r="C252" s="55" t="s">
        <v>1411</v>
      </c>
      <c r="D252" s="56">
        <v>3.0</v>
      </c>
      <c r="E252" s="57" t="s">
        <v>619</v>
      </c>
      <c r="F252" s="57" t="s">
        <v>1422</v>
      </c>
      <c r="G252" s="58">
        <v>0.0022453703703703702</v>
      </c>
    </row>
    <row r="253" ht="14.25" customHeight="1">
      <c r="A253" s="54" t="s">
        <v>1377</v>
      </c>
      <c r="B253" s="54" t="s">
        <v>1389</v>
      </c>
      <c r="C253" s="55" t="s">
        <v>1411</v>
      </c>
      <c r="D253" s="56">
        <v>3.0</v>
      </c>
      <c r="E253" s="57" t="s">
        <v>619</v>
      </c>
      <c r="F253" s="57" t="s">
        <v>1423</v>
      </c>
      <c r="G253" s="58">
        <v>0.0067708333333333336</v>
      </c>
    </row>
    <row r="254" ht="14.25" customHeight="1">
      <c r="A254" s="54" t="s">
        <v>1377</v>
      </c>
      <c r="B254" s="54" t="s">
        <v>1389</v>
      </c>
      <c r="C254" s="57" t="s">
        <v>1424</v>
      </c>
      <c r="D254" s="56">
        <v>1.0</v>
      </c>
      <c r="E254" s="57" t="s">
        <v>1425</v>
      </c>
      <c r="F254" s="57" t="s">
        <v>1426</v>
      </c>
      <c r="G254" s="58">
        <v>0.006574074074074074</v>
      </c>
    </row>
    <row r="255" ht="14.25" customHeight="1">
      <c r="A255" s="54" t="s">
        <v>1377</v>
      </c>
      <c r="B255" s="54" t="s">
        <v>1389</v>
      </c>
      <c r="C255" s="57" t="s">
        <v>1424</v>
      </c>
      <c r="D255" s="56">
        <v>1.0</v>
      </c>
      <c r="E255" s="57" t="s">
        <v>1425</v>
      </c>
      <c r="F255" s="57" t="s">
        <v>1427</v>
      </c>
      <c r="G255" s="58">
        <v>0.002951388888888889</v>
      </c>
    </row>
    <row r="256" ht="14.25" customHeight="1">
      <c r="A256" s="54" t="s">
        <v>1377</v>
      </c>
      <c r="B256" s="54" t="s">
        <v>1389</v>
      </c>
      <c r="C256" s="57" t="s">
        <v>1424</v>
      </c>
      <c r="D256" s="56">
        <v>1.0</v>
      </c>
      <c r="E256" s="57" t="s">
        <v>1425</v>
      </c>
      <c r="F256" s="57" t="s">
        <v>1428</v>
      </c>
      <c r="G256" s="58">
        <v>0.010405092592592593</v>
      </c>
    </row>
    <row r="257" ht="14.25" customHeight="1">
      <c r="A257" s="54" t="s">
        <v>1377</v>
      </c>
      <c r="B257" s="54" t="s">
        <v>1389</v>
      </c>
      <c r="C257" s="57" t="s">
        <v>1424</v>
      </c>
      <c r="D257" s="56">
        <v>1.0</v>
      </c>
      <c r="E257" s="57" t="s">
        <v>1425</v>
      </c>
      <c r="F257" s="57" t="s">
        <v>1429</v>
      </c>
      <c r="G257" s="58">
        <v>0.018993055555555555</v>
      </c>
    </row>
    <row r="258" ht="14.25" customHeight="1">
      <c r="A258" s="54" t="s">
        <v>1377</v>
      </c>
      <c r="B258" s="54" t="s">
        <v>1389</v>
      </c>
      <c r="C258" s="57" t="s">
        <v>1424</v>
      </c>
      <c r="D258" s="56">
        <v>1.0</v>
      </c>
      <c r="E258" s="57" t="s">
        <v>1425</v>
      </c>
      <c r="F258" s="57" t="s">
        <v>1430</v>
      </c>
      <c r="G258" s="58">
        <v>0.0034837962962962965</v>
      </c>
    </row>
    <row r="259" ht="14.25" customHeight="1">
      <c r="A259" s="54" t="s">
        <v>1377</v>
      </c>
      <c r="B259" s="54" t="s">
        <v>1389</v>
      </c>
      <c r="C259" s="55" t="s">
        <v>1431</v>
      </c>
      <c r="D259" s="56">
        <v>1.0</v>
      </c>
      <c r="E259" s="57" t="s">
        <v>1432</v>
      </c>
      <c r="F259" s="57" t="s">
        <v>1433</v>
      </c>
      <c r="G259" s="58">
        <v>0.008472222222222223</v>
      </c>
    </row>
    <row r="260" ht="14.25" customHeight="1">
      <c r="A260" s="54" t="s">
        <v>1377</v>
      </c>
      <c r="B260" s="54" t="s">
        <v>1389</v>
      </c>
      <c r="C260" s="55" t="s">
        <v>1431</v>
      </c>
      <c r="D260" s="56">
        <v>1.0</v>
      </c>
      <c r="E260" s="57" t="s">
        <v>1432</v>
      </c>
      <c r="F260" s="57" t="s">
        <v>1434</v>
      </c>
      <c r="G260" s="58">
        <v>0.001875</v>
      </c>
    </row>
    <row r="261" ht="14.25" customHeight="1">
      <c r="A261" s="54" t="s">
        <v>1377</v>
      </c>
      <c r="B261" s="54" t="s">
        <v>1389</v>
      </c>
      <c r="C261" s="55" t="s">
        <v>1431</v>
      </c>
      <c r="D261" s="56">
        <v>1.0</v>
      </c>
      <c r="E261" s="57" t="s">
        <v>1432</v>
      </c>
      <c r="F261" s="57" t="s">
        <v>1435</v>
      </c>
      <c r="G261" s="58">
        <v>0.0010763888888888889</v>
      </c>
    </row>
    <row r="262" ht="14.25" customHeight="1">
      <c r="A262" s="54" t="s">
        <v>1377</v>
      </c>
      <c r="B262" s="54" t="s">
        <v>1389</v>
      </c>
      <c r="C262" s="55" t="s">
        <v>1431</v>
      </c>
      <c r="D262" s="56">
        <v>1.0</v>
      </c>
      <c r="E262" s="57" t="s">
        <v>1432</v>
      </c>
      <c r="F262" s="57" t="s">
        <v>1436</v>
      </c>
      <c r="G262" s="58">
        <v>0.0014351851851851852</v>
      </c>
    </row>
    <row r="263" ht="14.25" customHeight="1">
      <c r="A263" s="54" t="s">
        <v>1377</v>
      </c>
      <c r="B263" s="54" t="s">
        <v>1389</v>
      </c>
      <c r="C263" s="55" t="s">
        <v>1431</v>
      </c>
      <c r="D263" s="56">
        <v>2.0</v>
      </c>
      <c r="E263" s="57" t="s">
        <v>1437</v>
      </c>
      <c r="F263" s="57" t="s">
        <v>1438</v>
      </c>
      <c r="G263" s="58">
        <v>0.0018287037037037037</v>
      </c>
    </row>
    <row r="264" ht="14.25" customHeight="1">
      <c r="A264" s="54" t="s">
        <v>1377</v>
      </c>
      <c r="B264" s="54" t="s">
        <v>1389</v>
      </c>
      <c r="C264" s="55" t="s">
        <v>1431</v>
      </c>
      <c r="D264" s="56">
        <v>2.0</v>
      </c>
      <c r="E264" s="57" t="s">
        <v>1437</v>
      </c>
      <c r="F264" s="57" t="s">
        <v>1439</v>
      </c>
      <c r="G264" s="58">
        <v>0.0033333333333333335</v>
      </c>
    </row>
    <row r="265" ht="14.25" customHeight="1">
      <c r="A265" s="54" t="s">
        <v>1377</v>
      </c>
      <c r="B265" s="54" t="s">
        <v>1389</v>
      </c>
      <c r="C265" s="55" t="s">
        <v>1431</v>
      </c>
      <c r="D265" s="56">
        <v>2.0</v>
      </c>
      <c r="E265" s="57" t="s">
        <v>1437</v>
      </c>
      <c r="F265" s="57" t="s">
        <v>1440</v>
      </c>
      <c r="G265" s="58">
        <v>0.00568287037037037</v>
      </c>
    </row>
    <row r="266" ht="14.25" customHeight="1">
      <c r="A266" s="54" t="s">
        <v>1377</v>
      </c>
      <c r="B266" s="54" t="s">
        <v>1389</v>
      </c>
      <c r="C266" s="55" t="s">
        <v>1431</v>
      </c>
      <c r="D266" s="56">
        <v>2.0</v>
      </c>
      <c r="E266" s="57" t="s">
        <v>1437</v>
      </c>
      <c r="F266" s="57" t="s">
        <v>1441</v>
      </c>
      <c r="G266" s="58">
        <v>0.0016666666666666668</v>
      </c>
    </row>
    <row r="267" ht="14.25" customHeight="1">
      <c r="A267" s="54" t="s">
        <v>1377</v>
      </c>
      <c r="B267" s="54" t="s">
        <v>1389</v>
      </c>
      <c r="C267" s="55" t="s">
        <v>1431</v>
      </c>
      <c r="D267" s="56">
        <v>2.0</v>
      </c>
      <c r="E267" s="57" t="s">
        <v>1437</v>
      </c>
      <c r="F267" s="57" t="s">
        <v>1442</v>
      </c>
      <c r="G267" s="58">
        <v>0.005983796296296296</v>
      </c>
    </row>
    <row r="268" ht="14.25" customHeight="1">
      <c r="A268" s="54" t="s">
        <v>1377</v>
      </c>
      <c r="B268" s="54" t="s">
        <v>1389</v>
      </c>
      <c r="C268" s="55" t="s">
        <v>1431</v>
      </c>
      <c r="D268" s="56">
        <v>3.0</v>
      </c>
      <c r="E268" s="57" t="s">
        <v>1443</v>
      </c>
      <c r="F268" s="57" t="s">
        <v>1444</v>
      </c>
      <c r="G268" s="58">
        <v>0.003923611111111111</v>
      </c>
    </row>
    <row r="269" ht="14.25" customHeight="1">
      <c r="A269" s="54" t="s">
        <v>1377</v>
      </c>
      <c r="B269" s="54" t="s">
        <v>1389</v>
      </c>
      <c r="C269" s="55" t="s">
        <v>1431</v>
      </c>
      <c r="D269" s="56">
        <v>3.0</v>
      </c>
      <c r="E269" s="57" t="s">
        <v>1443</v>
      </c>
      <c r="F269" s="57" t="s">
        <v>1445</v>
      </c>
      <c r="G269" s="58">
        <v>0.0013425925925925925</v>
      </c>
    </row>
    <row r="270" ht="14.25" customHeight="1">
      <c r="A270" s="54" t="s">
        <v>1377</v>
      </c>
      <c r="B270" s="54" t="s">
        <v>1389</v>
      </c>
      <c r="C270" s="55" t="s">
        <v>1431</v>
      </c>
      <c r="D270" s="56">
        <v>3.0</v>
      </c>
      <c r="E270" s="57" t="s">
        <v>1443</v>
      </c>
      <c r="F270" s="57" t="s">
        <v>1446</v>
      </c>
      <c r="G270" s="58">
        <v>0.003425925925925926</v>
      </c>
    </row>
    <row r="271" ht="14.25" customHeight="1">
      <c r="A271" s="54" t="s">
        <v>1377</v>
      </c>
      <c r="B271" s="54" t="s">
        <v>1389</v>
      </c>
      <c r="C271" s="55" t="s">
        <v>1431</v>
      </c>
      <c r="D271" s="56">
        <v>4.0</v>
      </c>
      <c r="E271" s="57" t="s">
        <v>1447</v>
      </c>
      <c r="F271" s="57" t="s">
        <v>1448</v>
      </c>
      <c r="G271" s="58">
        <v>0.006840277777777778</v>
      </c>
    </row>
    <row r="272" ht="14.25" customHeight="1">
      <c r="A272" s="54" t="s">
        <v>1377</v>
      </c>
      <c r="B272" s="54" t="s">
        <v>1389</v>
      </c>
      <c r="C272" s="55" t="s">
        <v>1431</v>
      </c>
      <c r="D272" s="56">
        <v>4.0</v>
      </c>
      <c r="E272" s="57" t="s">
        <v>1447</v>
      </c>
      <c r="F272" s="57" t="s">
        <v>1449</v>
      </c>
      <c r="G272" s="58">
        <v>0.004583333333333333</v>
      </c>
    </row>
    <row r="273" ht="14.25" customHeight="1">
      <c r="A273" s="54" t="s">
        <v>1377</v>
      </c>
      <c r="B273" s="54" t="s">
        <v>1389</v>
      </c>
      <c r="C273" s="55" t="s">
        <v>1431</v>
      </c>
      <c r="D273" s="56">
        <v>4.0</v>
      </c>
      <c r="E273" s="57" t="s">
        <v>1447</v>
      </c>
      <c r="F273" s="57" t="s">
        <v>1450</v>
      </c>
      <c r="G273" s="58">
        <v>0.0020949074074074073</v>
      </c>
    </row>
    <row r="274" ht="14.25" customHeight="1">
      <c r="A274" s="54" t="s">
        <v>1377</v>
      </c>
      <c r="B274" s="54" t="s">
        <v>1389</v>
      </c>
      <c r="C274" s="55" t="s">
        <v>1431</v>
      </c>
      <c r="D274" s="56">
        <v>5.0</v>
      </c>
      <c r="E274" s="57" t="s">
        <v>1451</v>
      </c>
      <c r="F274" s="57" t="s">
        <v>1452</v>
      </c>
      <c r="G274" s="58"/>
    </row>
    <row r="275" ht="14.25" customHeight="1">
      <c r="A275" s="54" t="s">
        <v>1377</v>
      </c>
      <c r="B275" s="54" t="s">
        <v>1389</v>
      </c>
      <c r="C275" s="55" t="s">
        <v>1431</v>
      </c>
      <c r="D275" s="56">
        <v>5.0</v>
      </c>
      <c r="E275" s="57" t="s">
        <v>1451</v>
      </c>
      <c r="F275" s="57" t="s">
        <v>1453</v>
      </c>
      <c r="G275" s="58"/>
    </row>
    <row r="276" ht="14.25" customHeight="1">
      <c r="A276" s="54" t="s">
        <v>1377</v>
      </c>
      <c r="B276" s="54" t="s">
        <v>1389</v>
      </c>
      <c r="C276" s="55" t="s">
        <v>1431</v>
      </c>
      <c r="D276" s="56">
        <v>5.0</v>
      </c>
      <c r="E276" s="57" t="s">
        <v>1451</v>
      </c>
      <c r="F276" s="57" t="s">
        <v>1454</v>
      </c>
      <c r="G276" s="58"/>
    </row>
    <row r="277" ht="14.25" customHeight="1">
      <c r="A277" s="54" t="s">
        <v>1377</v>
      </c>
      <c r="B277" s="54" t="s">
        <v>1389</v>
      </c>
      <c r="C277" s="55" t="s">
        <v>1431</v>
      </c>
      <c r="D277" s="56">
        <v>5.0</v>
      </c>
      <c r="E277" s="57" t="s">
        <v>1451</v>
      </c>
      <c r="F277" s="57" t="s">
        <v>1455</v>
      </c>
      <c r="G277" s="58"/>
    </row>
    <row r="278" ht="14.25" customHeight="1">
      <c r="A278" s="54" t="s">
        <v>1377</v>
      </c>
      <c r="B278" s="54" t="s">
        <v>1389</v>
      </c>
      <c r="C278" s="55" t="s">
        <v>1431</v>
      </c>
      <c r="D278" s="56">
        <v>5.0</v>
      </c>
      <c r="E278" s="57" t="s">
        <v>1451</v>
      </c>
      <c r="F278" s="57" t="s">
        <v>1456</v>
      </c>
      <c r="G278" s="58"/>
    </row>
    <row r="279" ht="14.25" customHeight="1">
      <c r="A279" s="54" t="s">
        <v>1377</v>
      </c>
      <c r="B279" s="54" t="s">
        <v>1389</v>
      </c>
      <c r="C279" s="55" t="s">
        <v>1431</v>
      </c>
      <c r="D279" s="56">
        <v>5.0</v>
      </c>
      <c r="E279" s="57" t="s">
        <v>1451</v>
      </c>
      <c r="F279" s="57" t="s">
        <v>1457</v>
      </c>
      <c r="G279" s="58"/>
    </row>
    <row r="280" ht="14.25" customHeight="1">
      <c r="A280" s="54" t="s">
        <v>1377</v>
      </c>
      <c r="B280" s="54" t="s">
        <v>1389</v>
      </c>
      <c r="C280" s="55" t="s">
        <v>1431</v>
      </c>
      <c r="D280" s="56">
        <v>5.0</v>
      </c>
      <c r="E280" s="57" t="s">
        <v>1451</v>
      </c>
      <c r="F280" s="57" t="s">
        <v>1458</v>
      </c>
      <c r="G280" s="58"/>
    </row>
    <row r="281" ht="14.25" customHeight="1">
      <c r="A281" s="54" t="s">
        <v>1377</v>
      </c>
      <c r="B281" s="54" t="s">
        <v>1389</v>
      </c>
      <c r="C281" s="55" t="s">
        <v>1431</v>
      </c>
      <c r="D281" s="56">
        <v>5.0</v>
      </c>
      <c r="E281" s="57" t="s">
        <v>1451</v>
      </c>
      <c r="F281" s="57" t="s">
        <v>1459</v>
      </c>
      <c r="G281" s="58"/>
    </row>
    <row r="282" ht="14.25" customHeight="1">
      <c r="A282" s="54" t="s">
        <v>1377</v>
      </c>
      <c r="B282" s="54" t="s">
        <v>1389</v>
      </c>
      <c r="C282" s="55" t="s">
        <v>1431</v>
      </c>
      <c r="D282" s="56">
        <v>5.0</v>
      </c>
      <c r="E282" s="57" t="s">
        <v>1451</v>
      </c>
      <c r="F282" s="57" t="s">
        <v>1460</v>
      </c>
      <c r="G282" s="58"/>
    </row>
    <row r="283" ht="14.25" customHeight="1">
      <c r="A283" s="54" t="s">
        <v>1377</v>
      </c>
      <c r="B283" s="54" t="s">
        <v>1389</v>
      </c>
      <c r="C283" s="55" t="s">
        <v>1431</v>
      </c>
      <c r="D283" s="56">
        <v>5.0</v>
      </c>
      <c r="E283" s="57" t="s">
        <v>1451</v>
      </c>
      <c r="F283" s="57" t="s">
        <v>1461</v>
      </c>
      <c r="G283" s="58"/>
    </row>
    <row r="284" ht="14.25" customHeight="1">
      <c r="A284" s="54" t="s">
        <v>1377</v>
      </c>
      <c r="B284" s="54" t="s">
        <v>1389</v>
      </c>
      <c r="C284" s="55" t="s">
        <v>1431</v>
      </c>
      <c r="D284" s="56">
        <v>5.0</v>
      </c>
      <c r="E284" s="57" t="s">
        <v>1451</v>
      </c>
      <c r="F284" s="57" t="s">
        <v>1462</v>
      </c>
      <c r="G284" s="58"/>
    </row>
    <row r="285" ht="14.25" customHeight="1">
      <c r="A285" s="54" t="s">
        <v>1377</v>
      </c>
      <c r="B285" s="54" t="s">
        <v>1389</v>
      </c>
      <c r="C285" s="55" t="s">
        <v>1431</v>
      </c>
      <c r="D285" s="56">
        <v>5.0</v>
      </c>
      <c r="E285" s="57" t="s">
        <v>1451</v>
      </c>
      <c r="F285" s="57" t="s">
        <v>1463</v>
      </c>
      <c r="G285" s="58"/>
    </row>
    <row r="286" ht="14.25" customHeight="1">
      <c r="A286" s="54" t="s">
        <v>1377</v>
      </c>
      <c r="B286" s="54" t="s">
        <v>1389</v>
      </c>
      <c r="C286" s="55" t="s">
        <v>1431</v>
      </c>
      <c r="D286" s="56">
        <v>5.0</v>
      </c>
      <c r="E286" s="57" t="s">
        <v>1451</v>
      </c>
      <c r="F286" s="57" t="s">
        <v>1464</v>
      </c>
      <c r="G286" s="58"/>
    </row>
    <row r="287" ht="14.25" customHeight="1">
      <c r="A287" s="54" t="s">
        <v>1377</v>
      </c>
      <c r="B287" s="54" t="s">
        <v>1389</v>
      </c>
      <c r="C287" s="55" t="s">
        <v>1431</v>
      </c>
      <c r="D287" s="56">
        <v>5.0</v>
      </c>
      <c r="E287" s="57" t="s">
        <v>1451</v>
      </c>
      <c r="F287" s="57" t="s">
        <v>1465</v>
      </c>
      <c r="G287" s="58"/>
    </row>
  </sheetData>
  <conditionalFormatting sqref="F2:F287">
    <cfRule type="containsText" dxfId="0" priority="1" stopIfTrue="1" operator="containsText" text="Lab -">
      <formula>NOT(ISERROR(SEARCH(("Lab -"),(F2))))</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5.89"/>
    <col customWidth="1" min="2" max="2" width="19.56"/>
    <col customWidth="1" min="3" max="3" width="30.67"/>
    <col customWidth="1" min="4" max="4" width="6.67"/>
    <col customWidth="1" min="5" max="5" width="25.56"/>
    <col customWidth="1" min="6" max="6" width="34.56"/>
    <col customWidth="1" min="7" max="7" width="7.0"/>
  </cols>
  <sheetData>
    <row r="1">
      <c r="A1" s="59" t="s">
        <v>1355</v>
      </c>
      <c r="B1" s="59" t="s">
        <v>1376</v>
      </c>
      <c r="C1" s="59" t="s">
        <v>1356</v>
      </c>
      <c r="D1" s="60" t="s">
        <v>1357</v>
      </c>
      <c r="E1" s="60" t="s">
        <v>13</v>
      </c>
      <c r="F1" s="59" t="s">
        <v>1359</v>
      </c>
      <c r="G1" s="60" t="s">
        <v>1360</v>
      </c>
    </row>
    <row r="2">
      <c r="A2" s="61" t="s">
        <v>1466</v>
      </c>
      <c r="B2" s="61" t="s">
        <v>1467</v>
      </c>
      <c r="C2" s="62" t="s">
        <v>1468</v>
      </c>
      <c r="D2" s="63">
        <v>1.0</v>
      </c>
      <c r="E2" s="61" t="s">
        <v>622</v>
      </c>
      <c r="F2" s="62" t="s">
        <v>620</v>
      </c>
      <c r="G2" s="64">
        <v>0.011307870370370371</v>
      </c>
    </row>
    <row r="3">
      <c r="A3" s="61" t="s">
        <v>1466</v>
      </c>
      <c r="B3" s="61" t="s">
        <v>1467</v>
      </c>
      <c r="C3" s="62" t="s">
        <v>1468</v>
      </c>
      <c r="D3" s="63">
        <v>2.0</v>
      </c>
      <c r="E3" s="61" t="s">
        <v>625</v>
      </c>
      <c r="F3" s="62" t="s">
        <v>1469</v>
      </c>
      <c r="G3" s="64">
        <v>0.010821759259259258</v>
      </c>
    </row>
    <row r="4">
      <c r="A4" s="61" t="s">
        <v>1466</v>
      </c>
      <c r="B4" s="61" t="s">
        <v>1467</v>
      </c>
      <c r="C4" s="65" t="s">
        <v>1468</v>
      </c>
      <c r="D4" s="66">
        <v>2.0</v>
      </c>
      <c r="E4" s="65" t="s">
        <v>625</v>
      </c>
      <c r="F4" s="67" t="s">
        <v>1470</v>
      </c>
      <c r="G4" s="68">
        <v>0.009039351851851852</v>
      </c>
    </row>
    <row r="5">
      <c r="A5" s="61" t="s">
        <v>1466</v>
      </c>
      <c r="B5" s="61" t="s">
        <v>1467</v>
      </c>
      <c r="C5" s="61" t="s">
        <v>1468</v>
      </c>
      <c r="D5" s="69">
        <v>2.0</v>
      </c>
      <c r="E5" s="61" t="s">
        <v>625</v>
      </c>
      <c r="F5" s="62" t="s">
        <v>623</v>
      </c>
      <c r="G5" s="64">
        <v>0.004571759259259259</v>
      </c>
    </row>
    <row r="6">
      <c r="A6" s="61" t="s">
        <v>1466</v>
      </c>
      <c r="B6" s="61" t="s">
        <v>1467</v>
      </c>
      <c r="C6" s="62" t="s">
        <v>1468</v>
      </c>
      <c r="D6" s="63">
        <v>3.0</v>
      </c>
      <c r="E6" s="61" t="s">
        <v>628</v>
      </c>
      <c r="F6" s="61" t="s">
        <v>626</v>
      </c>
      <c r="G6" s="70">
        <v>0.007604166666666667</v>
      </c>
    </row>
    <row r="7">
      <c r="A7" s="61" t="s">
        <v>1466</v>
      </c>
      <c r="B7" s="61" t="s">
        <v>1467</v>
      </c>
      <c r="C7" s="61" t="s">
        <v>1468</v>
      </c>
      <c r="D7" s="69">
        <v>3.0</v>
      </c>
      <c r="E7" s="61" t="s">
        <v>628</v>
      </c>
      <c r="F7" s="71" t="s">
        <v>629</v>
      </c>
      <c r="G7" s="70">
        <v>0.0040625</v>
      </c>
    </row>
    <row r="8">
      <c r="A8" s="61" t="s">
        <v>1466</v>
      </c>
      <c r="B8" s="61" t="s">
        <v>1467</v>
      </c>
      <c r="C8" s="62" t="s">
        <v>1468</v>
      </c>
      <c r="D8" s="72">
        <v>3.0</v>
      </c>
      <c r="E8" s="61" t="s">
        <v>628</v>
      </c>
      <c r="F8" s="61" t="s">
        <v>631</v>
      </c>
      <c r="G8" s="64">
        <v>0.0038310185185185183</v>
      </c>
    </row>
    <row r="9">
      <c r="A9" s="61" t="s">
        <v>1466</v>
      </c>
      <c r="B9" s="61" t="s">
        <v>1467</v>
      </c>
      <c r="C9" s="62" t="s">
        <v>1468</v>
      </c>
      <c r="D9" s="63">
        <v>3.0</v>
      </c>
      <c r="E9" s="61" t="s">
        <v>628</v>
      </c>
      <c r="F9" s="61" t="s">
        <v>633</v>
      </c>
      <c r="G9" s="70">
        <v>0.004791666666666666</v>
      </c>
    </row>
    <row r="10">
      <c r="A10" s="61" t="s">
        <v>1466</v>
      </c>
      <c r="B10" s="61" t="s">
        <v>1467</v>
      </c>
      <c r="C10" s="71" t="s">
        <v>1468</v>
      </c>
      <c r="D10" s="72">
        <v>3.0</v>
      </c>
      <c r="E10" s="73" t="s">
        <v>628</v>
      </c>
      <c r="F10" s="73" t="s">
        <v>635</v>
      </c>
      <c r="G10" s="70">
        <v>0.003958333333333334</v>
      </c>
    </row>
    <row r="11">
      <c r="A11" s="61" t="s">
        <v>1466</v>
      </c>
      <c r="B11" s="61" t="s">
        <v>1467</v>
      </c>
      <c r="C11" s="73" t="s">
        <v>1468</v>
      </c>
      <c r="D11" s="74">
        <v>3.0</v>
      </c>
      <c r="E11" s="73" t="s">
        <v>628</v>
      </c>
      <c r="F11" s="71" t="s">
        <v>637</v>
      </c>
      <c r="G11" s="64">
        <v>0.004097222222222223</v>
      </c>
    </row>
    <row r="12">
      <c r="A12" s="61" t="s">
        <v>1466</v>
      </c>
      <c r="B12" s="61" t="s">
        <v>1467</v>
      </c>
      <c r="C12" s="71" t="s">
        <v>1468</v>
      </c>
      <c r="D12" s="72">
        <v>3.0</v>
      </c>
      <c r="E12" s="73" t="s">
        <v>628</v>
      </c>
      <c r="F12" s="73" t="s">
        <v>639</v>
      </c>
      <c r="G12" s="70">
        <v>0.004953703703703704</v>
      </c>
    </row>
    <row r="13">
      <c r="A13" s="61" t="s">
        <v>1466</v>
      </c>
      <c r="B13" s="61" t="s">
        <v>1467</v>
      </c>
      <c r="C13" s="71" t="s">
        <v>1468</v>
      </c>
      <c r="D13" s="74">
        <v>3.0</v>
      </c>
      <c r="E13" s="73" t="s">
        <v>628</v>
      </c>
      <c r="F13" s="73" t="s">
        <v>641</v>
      </c>
      <c r="G13" s="70">
        <v>0.004710648148148148</v>
      </c>
    </row>
    <row r="14">
      <c r="A14" s="61" t="s">
        <v>1466</v>
      </c>
      <c r="B14" s="61" t="s">
        <v>1467</v>
      </c>
      <c r="C14" s="71" t="s">
        <v>1468</v>
      </c>
      <c r="D14" s="72">
        <v>4.0</v>
      </c>
      <c r="E14" s="73" t="s">
        <v>645</v>
      </c>
      <c r="F14" s="73" t="s">
        <v>643</v>
      </c>
      <c r="G14" s="70">
        <v>0.005185185185185185</v>
      </c>
    </row>
    <row r="15">
      <c r="A15" s="61" t="s">
        <v>1466</v>
      </c>
      <c r="B15" s="61" t="s">
        <v>1467</v>
      </c>
      <c r="C15" s="71" t="s">
        <v>1468</v>
      </c>
      <c r="D15" s="72">
        <v>4.0</v>
      </c>
      <c r="E15" s="73" t="s">
        <v>645</v>
      </c>
      <c r="F15" s="73" t="s">
        <v>646</v>
      </c>
      <c r="G15" s="70">
        <v>0.005335648148148148</v>
      </c>
    </row>
    <row r="16">
      <c r="A16" s="61" t="s">
        <v>1466</v>
      </c>
      <c r="B16" s="61" t="s">
        <v>1467</v>
      </c>
      <c r="C16" s="71" t="s">
        <v>1468</v>
      </c>
      <c r="D16" s="72">
        <v>4.0</v>
      </c>
      <c r="E16" s="73" t="s">
        <v>645</v>
      </c>
      <c r="F16" s="73" t="s">
        <v>648</v>
      </c>
      <c r="G16" s="70">
        <v>0.0076851851851851855</v>
      </c>
    </row>
    <row r="17">
      <c r="A17" s="61" t="s">
        <v>1466</v>
      </c>
      <c r="B17" s="61" t="s">
        <v>1467</v>
      </c>
      <c r="C17" s="71" t="s">
        <v>1468</v>
      </c>
      <c r="D17" s="72">
        <v>5.0</v>
      </c>
      <c r="E17" s="73" t="s">
        <v>652</v>
      </c>
      <c r="F17" s="73" t="s">
        <v>650</v>
      </c>
      <c r="G17" s="70">
        <v>0.005648148148148148</v>
      </c>
    </row>
    <row r="18">
      <c r="A18" s="61" t="s">
        <v>1466</v>
      </c>
      <c r="B18" s="61" t="s">
        <v>1467</v>
      </c>
      <c r="C18" s="71" t="s">
        <v>1468</v>
      </c>
      <c r="D18" s="72">
        <v>5.0</v>
      </c>
      <c r="E18" s="73" t="s">
        <v>652</v>
      </c>
      <c r="F18" s="73" t="s">
        <v>1471</v>
      </c>
      <c r="G18" s="70">
        <v>0.0051736111111111115</v>
      </c>
    </row>
    <row r="19">
      <c r="A19" s="61" t="s">
        <v>1466</v>
      </c>
      <c r="B19" s="61" t="s">
        <v>1467</v>
      </c>
      <c r="C19" s="71" t="s">
        <v>1468</v>
      </c>
      <c r="D19" s="72">
        <v>5.0</v>
      </c>
      <c r="E19" s="73" t="s">
        <v>652</v>
      </c>
      <c r="F19" s="73" t="s">
        <v>653</v>
      </c>
      <c r="G19" s="70">
        <v>0.0038888888888888888</v>
      </c>
    </row>
    <row r="20">
      <c r="A20" s="61" t="s">
        <v>1466</v>
      </c>
      <c r="B20" s="61" t="s">
        <v>1467</v>
      </c>
      <c r="C20" s="73" t="s">
        <v>1468</v>
      </c>
      <c r="D20" s="74">
        <v>5.0</v>
      </c>
      <c r="E20" s="71" t="s">
        <v>652</v>
      </c>
      <c r="F20" s="71" t="s">
        <v>655</v>
      </c>
      <c r="G20" s="64">
        <v>0.007037037037037037</v>
      </c>
    </row>
    <row r="21">
      <c r="A21" s="61" t="s">
        <v>1466</v>
      </c>
      <c r="B21" s="61" t="s">
        <v>1467</v>
      </c>
      <c r="C21" s="75" t="s">
        <v>1472</v>
      </c>
      <c r="D21" s="72">
        <v>1.0</v>
      </c>
      <c r="E21" s="73" t="s">
        <v>661</v>
      </c>
      <c r="F21" s="73" t="s">
        <v>205</v>
      </c>
      <c r="G21" s="70">
        <v>0.012094907407407407</v>
      </c>
    </row>
    <row r="22">
      <c r="A22" s="61" t="s">
        <v>1466</v>
      </c>
      <c r="B22" s="61" t="s">
        <v>1467</v>
      </c>
      <c r="C22" s="75" t="s">
        <v>1472</v>
      </c>
      <c r="D22" s="72">
        <v>1.0</v>
      </c>
      <c r="E22" s="73" t="s">
        <v>661</v>
      </c>
      <c r="F22" s="73" t="s">
        <v>208</v>
      </c>
      <c r="G22" s="70">
        <v>0.015497685185185186</v>
      </c>
    </row>
    <row r="23">
      <c r="A23" s="61" t="s">
        <v>1466</v>
      </c>
      <c r="B23" s="61" t="s">
        <v>1467</v>
      </c>
      <c r="C23" s="75" t="s">
        <v>1472</v>
      </c>
      <c r="D23" s="72">
        <v>1.0</v>
      </c>
      <c r="E23" s="73" t="s">
        <v>661</v>
      </c>
      <c r="F23" s="73" t="s">
        <v>210</v>
      </c>
      <c r="G23" s="70">
        <v>0.003553240740740741</v>
      </c>
    </row>
    <row r="24">
      <c r="A24" s="61" t="s">
        <v>1466</v>
      </c>
      <c r="B24" s="61" t="s">
        <v>1467</v>
      </c>
      <c r="C24" s="73" t="s">
        <v>1472</v>
      </c>
      <c r="D24" s="74">
        <v>1.0</v>
      </c>
      <c r="E24" s="71" t="s">
        <v>661</v>
      </c>
      <c r="F24" s="71" t="s">
        <v>656</v>
      </c>
      <c r="G24" s="70">
        <v>0.004733796296296297</v>
      </c>
    </row>
    <row r="25">
      <c r="A25" s="61" t="s">
        <v>1466</v>
      </c>
      <c r="B25" s="61" t="s">
        <v>1467</v>
      </c>
      <c r="C25" s="61" t="s">
        <v>1472</v>
      </c>
      <c r="D25" s="74">
        <v>1.0</v>
      </c>
      <c r="E25" s="73" t="s">
        <v>661</v>
      </c>
      <c r="F25" s="73" t="s">
        <v>658</v>
      </c>
      <c r="G25" s="70">
        <v>0.004016203703703704</v>
      </c>
    </row>
    <row r="26">
      <c r="A26" s="61" t="s">
        <v>1466</v>
      </c>
      <c r="B26" s="61" t="s">
        <v>1467</v>
      </c>
      <c r="C26" s="61" t="s">
        <v>1472</v>
      </c>
      <c r="D26" s="74">
        <v>1.0</v>
      </c>
      <c r="E26" s="73" t="s">
        <v>661</v>
      </c>
      <c r="F26" s="73" t="s">
        <v>212</v>
      </c>
      <c r="G26" s="70">
        <v>0.010590277777777778</v>
      </c>
    </row>
    <row r="27">
      <c r="A27" s="61" t="s">
        <v>1466</v>
      </c>
      <c r="B27" s="61" t="s">
        <v>1467</v>
      </c>
      <c r="C27" s="61" t="s">
        <v>1472</v>
      </c>
      <c r="D27" s="74">
        <v>1.0</v>
      </c>
      <c r="E27" s="73" t="s">
        <v>661</v>
      </c>
      <c r="F27" s="73" t="s">
        <v>660</v>
      </c>
      <c r="G27" s="76">
        <v>0.05555555555555555</v>
      </c>
    </row>
    <row r="28">
      <c r="A28" s="61" t="s">
        <v>1466</v>
      </c>
      <c r="B28" s="61" t="s">
        <v>1467</v>
      </c>
      <c r="C28" s="61" t="s">
        <v>1472</v>
      </c>
      <c r="D28" s="74">
        <v>2.0</v>
      </c>
      <c r="E28" s="73" t="s">
        <v>216</v>
      </c>
      <c r="F28" s="73" t="s">
        <v>214</v>
      </c>
      <c r="G28" s="70">
        <v>0.01607638888888889</v>
      </c>
    </row>
    <row r="29">
      <c r="A29" s="61" t="s">
        <v>1466</v>
      </c>
      <c r="B29" s="61" t="s">
        <v>1467</v>
      </c>
      <c r="C29" s="65" t="s">
        <v>1472</v>
      </c>
      <c r="D29" s="66">
        <v>2.0</v>
      </c>
      <c r="E29" s="65" t="s">
        <v>216</v>
      </c>
      <c r="F29" s="67" t="s">
        <v>217</v>
      </c>
      <c r="G29" s="68">
        <v>0.013668981481481482</v>
      </c>
    </row>
    <row r="30">
      <c r="A30" s="61" t="s">
        <v>1466</v>
      </c>
      <c r="B30" s="61" t="s">
        <v>1467</v>
      </c>
      <c r="C30" s="61" t="s">
        <v>1472</v>
      </c>
      <c r="D30" s="69">
        <v>2.0</v>
      </c>
      <c r="E30" s="62" t="s">
        <v>216</v>
      </c>
      <c r="F30" s="62" t="s">
        <v>219</v>
      </c>
      <c r="G30" s="64">
        <v>0.010868055555555556</v>
      </c>
    </row>
    <row r="31">
      <c r="A31" s="61" t="s">
        <v>1466</v>
      </c>
      <c r="B31" s="61" t="s">
        <v>1467</v>
      </c>
      <c r="C31" s="62" t="s">
        <v>1472</v>
      </c>
      <c r="D31" s="63">
        <v>2.0</v>
      </c>
      <c r="E31" s="61" t="s">
        <v>216</v>
      </c>
      <c r="F31" s="61" t="s">
        <v>221</v>
      </c>
      <c r="G31" s="64">
        <v>0.005300925925925926</v>
      </c>
    </row>
    <row r="32">
      <c r="A32" s="61" t="s">
        <v>1466</v>
      </c>
      <c r="B32" s="61" t="s">
        <v>1467</v>
      </c>
      <c r="C32" s="62" t="s">
        <v>1472</v>
      </c>
      <c r="D32" s="63">
        <v>2.0</v>
      </c>
      <c r="E32" s="61" t="s">
        <v>216</v>
      </c>
      <c r="F32" s="61" t="s">
        <v>662</v>
      </c>
      <c r="G32" s="77">
        <v>0.05555555555555555</v>
      </c>
    </row>
    <row r="33">
      <c r="A33" s="61" t="s">
        <v>1466</v>
      </c>
      <c r="B33" s="61" t="s">
        <v>1467</v>
      </c>
      <c r="C33" s="62" t="s">
        <v>1472</v>
      </c>
      <c r="D33" s="63">
        <v>3.0</v>
      </c>
      <c r="E33" s="61" t="s">
        <v>226</v>
      </c>
      <c r="F33" s="61" t="s">
        <v>224</v>
      </c>
      <c r="G33" s="64">
        <v>0.022337962962962962</v>
      </c>
    </row>
    <row r="34">
      <c r="A34" s="61" t="s">
        <v>1466</v>
      </c>
      <c r="B34" s="61" t="s">
        <v>1467</v>
      </c>
      <c r="C34" s="62" t="s">
        <v>1472</v>
      </c>
      <c r="D34" s="63">
        <v>3.0</v>
      </c>
      <c r="E34" s="61" t="s">
        <v>226</v>
      </c>
      <c r="F34" s="61" t="s">
        <v>227</v>
      </c>
      <c r="G34" s="64">
        <v>0.01758101851851852</v>
      </c>
    </row>
    <row r="35">
      <c r="A35" s="61" t="s">
        <v>1466</v>
      </c>
      <c r="B35" s="61" t="s">
        <v>1467</v>
      </c>
      <c r="C35" s="62" t="s">
        <v>1472</v>
      </c>
      <c r="D35" s="63">
        <v>3.0</v>
      </c>
      <c r="E35" s="61" t="s">
        <v>226</v>
      </c>
      <c r="F35" s="61" t="s">
        <v>229</v>
      </c>
      <c r="G35" s="64">
        <v>0.014618055555555556</v>
      </c>
    </row>
    <row r="36">
      <c r="A36" s="61" t="s">
        <v>1466</v>
      </c>
      <c r="B36" s="61" t="s">
        <v>1467</v>
      </c>
      <c r="C36" s="62" t="s">
        <v>1472</v>
      </c>
      <c r="D36" s="63">
        <v>4.0</v>
      </c>
      <c r="E36" s="61" t="s">
        <v>233</v>
      </c>
      <c r="F36" s="61" t="s">
        <v>231</v>
      </c>
      <c r="G36" s="64">
        <v>0.025208333333333333</v>
      </c>
    </row>
    <row r="37">
      <c r="A37" s="61" t="s">
        <v>1466</v>
      </c>
      <c r="B37" s="61" t="s">
        <v>1467</v>
      </c>
      <c r="C37" s="62" t="s">
        <v>1472</v>
      </c>
      <c r="D37" s="69">
        <v>4.0</v>
      </c>
      <c r="E37" s="61" t="s">
        <v>233</v>
      </c>
      <c r="F37" s="62" t="s">
        <v>234</v>
      </c>
      <c r="G37" s="64">
        <v>0.015</v>
      </c>
    </row>
    <row r="38">
      <c r="A38" s="61" t="s">
        <v>1466</v>
      </c>
      <c r="B38" s="61" t="s">
        <v>1467</v>
      </c>
      <c r="C38" s="61" t="s">
        <v>1472</v>
      </c>
      <c r="D38" s="69">
        <v>4.0</v>
      </c>
      <c r="E38" s="61" t="s">
        <v>233</v>
      </c>
      <c r="F38" s="62" t="s">
        <v>663</v>
      </c>
      <c r="G38" s="64">
        <v>0.01255787037037037</v>
      </c>
    </row>
    <row r="39">
      <c r="A39" s="61" t="s">
        <v>1466</v>
      </c>
      <c r="B39" s="61" t="s">
        <v>1467</v>
      </c>
      <c r="C39" s="61" t="s">
        <v>1472</v>
      </c>
      <c r="D39" s="69">
        <v>4.0</v>
      </c>
      <c r="E39" s="61" t="s">
        <v>233</v>
      </c>
      <c r="F39" s="61" t="s">
        <v>236</v>
      </c>
      <c r="G39" s="77">
        <v>0.05555555555555555</v>
      </c>
    </row>
    <row r="40">
      <c r="A40" s="61" t="s">
        <v>1466</v>
      </c>
      <c r="B40" s="61" t="s">
        <v>1467</v>
      </c>
      <c r="C40" s="62" t="s">
        <v>1472</v>
      </c>
      <c r="D40" s="63">
        <v>5.0</v>
      </c>
      <c r="E40" s="61" t="s">
        <v>666</v>
      </c>
      <c r="F40" s="61" t="s">
        <v>238</v>
      </c>
      <c r="G40" s="64">
        <v>0.007743055555555556</v>
      </c>
    </row>
    <row r="41">
      <c r="A41" s="61" t="s">
        <v>1466</v>
      </c>
      <c r="B41" s="61" t="s">
        <v>1467</v>
      </c>
      <c r="C41" s="62" t="s">
        <v>1472</v>
      </c>
      <c r="D41" s="63">
        <v>5.0</v>
      </c>
      <c r="E41" s="61" t="s">
        <v>666</v>
      </c>
      <c r="F41" s="61" t="s">
        <v>241</v>
      </c>
      <c r="G41" s="64">
        <v>0.00974537037037037</v>
      </c>
    </row>
    <row r="42">
      <c r="A42" s="61" t="s">
        <v>1466</v>
      </c>
      <c r="B42" s="61" t="s">
        <v>1467</v>
      </c>
      <c r="C42" s="62" t="s">
        <v>1472</v>
      </c>
      <c r="D42" s="63">
        <v>5.0</v>
      </c>
      <c r="E42" s="61" t="s">
        <v>666</v>
      </c>
      <c r="F42" s="61" t="s">
        <v>243</v>
      </c>
      <c r="G42" s="64">
        <v>0.008067129629629629</v>
      </c>
    </row>
    <row r="43">
      <c r="A43" s="61" t="s">
        <v>1466</v>
      </c>
      <c r="B43" s="61" t="s">
        <v>1467</v>
      </c>
      <c r="C43" s="62" t="s">
        <v>1472</v>
      </c>
      <c r="D43" s="63">
        <v>5.0</v>
      </c>
      <c r="E43" s="61" t="s">
        <v>666</v>
      </c>
      <c r="F43" s="61" t="s">
        <v>665</v>
      </c>
      <c r="G43" s="64">
        <v>0.05555555555555555</v>
      </c>
    </row>
    <row r="44">
      <c r="A44" s="61" t="s">
        <v>1466</v>
      </c>
      <c r="B44" s="61" t="s">
        <v>1467</v>
      </c>
      <c r="C44" s="61" t="s">
        <v>1472</v>
      </c>
      <c r="D44" s="69">
        <v>7.0</v>
      </c>
      <c r="E44" s="62" t="s">
        <v>1473</v>
      </c>
      <c r="F44" s="62" t="s">
        <v>1474</v>
      </c>
      <c r="G44" s="64">
        <v>0.027430555555555555</v>
      </c>
    </row>
    <row r="45">
      <c r="A45" s="61" t="s">
        <v>1466</v>
      </c>
      <c r="B45" s="61" t="s">
        <v>1467</v>
      </c>
      <c r="C45" s="62" t="s">
        <v>1472</v>
      </c>
      <c r="D45" s="63">
        <v>8.0</v>
      </c>
      <c r="E45" s="61" t="s">
        <v>669</v>
      </c>
      <c r="F45" s="61" t="s">
        <v>667</v>
      </c>
      <c r="G45" s="64">
        <v>0.020370370370370372</v>
      </c>
    </row>
    <row r="46">
      <c r="A46" s="61" t="s">
        <v>1466</v>
      </c>
      <c r="B46" s="61" t="s">
        <v>1467</v>
      </c>
      <c r="C46" s="62" t="s">
        <v>1472</v>
      </c>
      <c r="D46" s="63">
        <v>8.0</v>
      </c>
      <c r="E46" s="61" t="s">
        <v>669</v>
      </c>
      <c r="F46" s="61" t="s">
        <v>670</v>
      </c>
      <c r="G46" s="64">
        <v>0.01570601851851852</v>
      </c>
    </row>
    <row r="47">
      <c r="A47" s="61" t="s">
        <v>1466</v>
      </c>
      <c r="B47" s="61" t="s">
        <v>1467</v>
      </c>
      <c r="C47" s="62" t="s">
        <v>1472</v>
      </c>
      <c r="D47" s="63">
        <v>9.0</v>
      </c>
      <c r="E47" s="73" t="s">
        <v>674</v>
      </c>
      <c r="F47" s="61" t="s">
        <v>672</v>
      </c>
      <c r="G47" s="64">
        <v>0.006724537037037037</v>
      </c>
    </row>
    <row r="48">
      <c r="A48" s="61" t="s">
        <v>1466</v>
      </c>
      <c r="B48" s="61" t="s">
        <v>1467</v>
      </c>
      <c r="C48" s="61" t="s">
        <v>1472</v>
      </c>
      <c r="D48" s="69">
        <v>9.0</v>
      </c>
      <c r="E48" s="62" t="s">
        <v>674</v>
      </c>
      <c r="F48" s="62" t="s">
        <v>675</v>
      </c>
      <c r="G48" s="64">
        <v>0.011979166666666667</v>
      </c>
    </row>
    <row r="49">
      <c r="A49" s="61" t="s">
        <v>1466</v>
      </c>
      <c r="B49" s="61" t="s">
        <v>1467</v>
      </c>
      <c r="C49" s="62" t="s">
        <v>1472</v>
      </c>
      <c r="D49" s="63">
        <v>9.0</v>
      </c>
      <c r="E49" s="61" t="s">
        <v>674</v>
      </c>
      <c r="F49" s="61" t="s">
        <v>677</v>
      </c>
      <c r="G49" s="64">
        <v>0.006122685185185185</v>
      </c>
    </row>
    <row r="50">
      <c r="A50" s="61" t="s">
        <v>1466</v>
      </c>
      <c r="B50" s="61" t="s">
        <v>1467</v>
      </c>
      <c r="C50" s="62" t="s">
        <v>1472</v>
      </c>
      <c r="D50" s="63">
        <v>9.0</v>
      </c>
      <c r="E50" s="61" t="s">
        <v>674</v>
      </c>
      <c r="F50" s="61" t="s">
        <v>679</v>
      </c>
      <c r="G50" s="64">
        <v>0.011041666666666667</v>
      </c>
    </row>
    <row r="51">
      <c r="A51" s="61" t="s">
        <v>1466</v>
      </c>
      <c r="B51" s="61" t="s">
        <v>1467</v>
      </c>
      <c r="C51" s="62" t="s">
        <v>1472</v>
      </c>
      <c r="D51" s="63">
        <v>9.0</v>
      </c>
      <c r="E51" s="61" t="s">
        <v>674</v>
      </c>
      <c r="F51" s="73" t="s">
        <v>1181</v>
      </c>
      <c r="G51" s="64">
        <v>0.00869212962962963</v>
      </c>
    </row>
    <row r="52">
      <c r="A52" s="61" t="s">
        <v>1466</v>
      </c>
      <c r="B52" s="61" t="s">
        <v>1467</v>
      </c>
      <c r="C52" s="62" t="s">
        <v>1472</v>
      </c>
      <c r="D52" s="63">
        <v>9.0</v>
      </c>
      <c r="E52" s="61" t="s">
        <v>736</v>
      </c>
      <c r="F52" s="78">
        <v>0.05555555555555555</v>
      </c>
      <c r="G52" s="79"/>
    </row>
    <row r="53">
      <c r="A53" s="61" t="s">
        <v>1466</v>
      </c>
      <c r="B53" s="61" t="s">
        <v>1467</v>
      </c>
      <c r="C53" s="61" t="s">
        <v>1475</v>
      </c>
      <c r="D53" s="74">
        <v>1.0</v>
      </c>
      <c r="E53" s="71" t="s">
        <v>258</v>
      </c>
      <c r="F53" s="71" t="s">
        <v>255</v>
      </c>
      <c r="G53" s="64">
        <v>0.020231481481481482</v>
      </c>
    </row>
    <row r="54">
      <c r="A54" s="61" t="s">
        <v>1466</v>
      </c>
      <c r="B54" s="61" t="s">
        <v>1467</v>
      </c>
      <c r="C54" s="62" t="s">
        <v>1475</v>
      </c>
      <c r="D54" s="80">
        <v>1.0</v>
      </c>
      <c r="E54" s="61" t="s">
        <v>258</v>
      </c>
      <c r="F54" s="61" t="s">
        <v>259</v>
      </c>
      <c r="G54" s="70">
        <v>0.01204861111111111</v>
      </c>
    </row>
    <row r="55">
      <c r="A55" s="61" t="s">
        <v>1466</v>
      </c>
      <c r="B55" s="61" t="s">
        <v>1467</v>
      </c>
      <c r="C55" s="62" t="s">
        <v>1475</v>
      </c>
      <c r="D55" s="80">
        <v>2.0</v>
      </c>
      <c r="E55" s="61" t="s">
        <v>263</v>
      </c>
      <c r="F55" s="61" t="s">
        <v>681</v>
      </c>
      <c r="G55" s="70">
        <v>0.010081018518518519</v>
      </c>
    </row>
    <row r="56">
      <c r="A56" s="61" t="s">
        <v>1466</v>
      </c>
      <c r="B56" s="61" t="s">
        <v>1467</v>
      </c>
      <c r="C56" s="62" t="s">
        <v>1475</v>
      </c>
      <c r="D56" s="80">
        <v>2.0</v>
      </c>
      <c r="E56" s="61" t="s">
        <v>263</v>
      </c>
      <c r="F56" s="61" t="s">
        <v>683</v>
      </c>
      <c r="G56" s="70">
        <v>0.012199074074074074</v>
      </c>
    </row>
    <row r="57">
      <c r="A57" s="61" t="s">
        <v>1466</v>
      </c>
      <c r="B57" s="61" t="s">
        <v>1467</v>
      </c>
      <c r="C57" s="61" t="s">
        <v>1475</v>
      </c>
      <c r="D57" s="74">
        <v>2.0</v>
      </c>
      <c r="E57" s="61" t="s">
        <v>263</v>
      </c>
      <c r="F57" s="62" t="s">
        <v>685</v>
      </c>
      <c r="G57" s="70">
        <v>0.0038773148148148148</v>
      </c>
    </row>
    <row r="58">
      <c r="A58" s="61" t="s">
        <v>1466</v>
      </c>
      <c r="B58" s="61" t="s">
        <v>1467</v>
      </c>
      <c r="C58" s="73" t="s">
        <v>1475</v>
      </c>
      <c r="D58" s="74">
        <v>3.0</v>
      </c>
      <c r="E58" s="71" t="s">
        <v>280</v>
      </c>
      <c r="F58" s="71" t="s">
        <v>278</v>
      </c>
      <c r="G58" s="64">
        <v>0.0171875</v>
      </c>
    </row>
    <row r="59">
      <c r="A59" s="61" t="s">
        <v>1466</v>
      </c>
      <c r="B59" s="61" t="s">
        <v>1467</v>
      </c>
      <c r="C59" s="71" t="s">
        <v>1475</v>
      </c>
      <c r="D59" s="72">
        <v>3.0</v>
      </c>
      <c r="E59" s="73" t="s">
        <v>280</v>
      </c>
      <c r="F59" s="61" t="s">
        <v>281</v>
      </c>
      <c r="G59" s="70">
        <v>0.01642361111111111</v>
      </c>
    </row>
    <row r="60">
      <c r="A60" s="61" t="s">
        <v>1466</v>
      </c>
      <c r="B60" s="61" t="s">
        <v>1467</v>
      </c>
      <c r="C60" s="73" t="s">
        <v>1475</v>
      </c>
      <c r="D60" s="74">
        <v>3.0</v>
      </c>
      <c r="E60" s="73" t="s">
        <v>280</v>
      </c>
      <c r="F60" s="61" t="s">
        <v>283</v>
      </c>
      <c r="G60" s="64">
        <v>0.01662037037037037</v>
      </c>
    </row>
    <row r="61">
      <c r="A61" s="61" t="s">
        <v>1466</v>
      </c>
      <c r="B61" s="61" t="s">
        <v>1467</v>
      </c>
      <c r="C61" s="71" t="s">
        <v>1475</v>
      </c>
      <c r="D61" s="72">
        <v>3.0</v>
      </c>
      <c r="E61" s="73" t="s">
        <v>280</v>
      </c>
      <c r="F61" s="61" t="s">
        <v>686</v>
      </c>
      <c r="G61" s="64">
        <v>0.010266203703703704</v>
      </c>
    </row>
    <row r="62">
      <c r="A62" s="61" t="s">
        <v>1466</v>
      </c>
      <c r="B62" s="61" t="s">
        <v>1467</v>
      </c>
      <c r="C62" s="71" t="s">
        <v>1475</v>
      </c>
      <c r="D62" s="72">
        <v>4.0</v>
      </c>
      <c r="E62" s="73" t="s">
        <v>287</v>
      </c>
      <c r="F62" s="61" t="s">
        <v>285</v>
      </c>
      <c r="G62" s="70">
        <v>0.014444444444444444</v>
      </c>
    </row>
    <row r="63">
      <c r="A63" s="61" t="s">
        <v>1466</v>
      </c>
      <c r="B63" s="61" t="s">
        <v>1467</v>
      </c>
      <c r="C63" s="73" t="s">
        <v>1475</v>
      </c>
      <c r="D63" s="74">
        <v>4.0</v>
      </c>
      <c r="E63" s="71" t="s">
        <v>287</v>
      </c>
      <c r="F63" s="71" t="s">
        <v>288</v>
      </c>
      <c r="G63" s="64">
        <v>0.0077546296296296295</v>
      </c>
    </row>
    <row r="64">
      <c r="A64" s="61" t="s">
        <v>1466</v>
      </c>
      <c r="B64" s="61" t="s">
        <v>1467</v>
      </c>
      <c r="C64" s="71" t="s">
        <v>1475</v>
      </c>
      <c r="D64" s="72">
        <v>4.0</v>
      </c>
      <c r="E64" s="73" t="s">
        <v>287</v>
      </c>
      <c r="F64" s="61" t="s">
        <v>290</v>
      </c>
      <c r="G64" s="70">
        <v>0.012905092592592593</v>
      </c>
    </row>
    <row r="65">
      <c r="A65" s="61" t="s">
        <v>1466</v>
      </c>
      <c r="B65" s="61" t="s">
        <v>1467</v>
      </c>
      <c r="C65" s="71" t="s">
        <v>1475</v>
      </c>
      <c r="D65" s="72">
        <v>5.0</v>
      </c>
      <c r="E65" s="73" t="s">
        <v>294</v>
      </c>
      <c r="F65" s="61" t="s">
        <v>688</v>
      </c>
      <c r="G65" s="70">
        <v>0.009976851851851851</v>
      </c>
    </row>
    <row r="66">
      <c r="A66" s="61" t="s">
        <v>1466</v>
      </c>
      <c r="B66" s="61" t="s">
        <v>1467</v>
      </c>
      <c r="C66" s="75" t="s">
        <v>1475</v>
      </c>
      <c r="D66" s="72">
        <v>5.0</v>
      </c>
      <c r="E66" s="73" t="s">
        <v>294</v>
      </c>
      <c r="F66" s="61" t="s">
        <v>690</v>
      </c>
      <c r="G66" s="70">
        <v>0.014513888888888889</v>
      </c>
    </row>
    <row r="67">
      <c r="A67" s="61" t="s">
        <v>1466</v>
      </c>
      <c r="B67" s="61" t="s">
        <v>1467</v>
      </c>
      <c r="C67" s="75" t="s">
        <v>1475</v>
      </c>
      <c r="D67" s="72">
        <v>5.0</v>
      </c>
      <c r="E67" s="73" t="s">
        <v>294</v>
      </c>
      <c r="F67" s="73" t="s">
        <v>692</v>
      </c>
      <c r="G67" s="77">
        <v>0.05555555555555555</v>
      </c>
    </row>
    <row r="68">
      <c r="A68" s="61" t="s">
        <v>1466</v>
      </c>
      <c r="B68" s="61" t="s">
        <v>1467</v>
      </c>
      <c r="C68" s="75" t="s">
        <v>1475</v>
      </c>
      <c r="D68" s="80">
        <v>6.0</v>
      </c>
      <c r="E68" s="73" t="s">
        <v>299</v>
      </c>
      <c r="F68" s="61" t="s">
        <v>296</v>
      </c>
      <c r="G68" s="70">
        <v>0.012893518518518518</v>
      </c>
    </row>
    <row r="69">
      <c r="A69" s="61" t="s">
        <v>1466</v>
      </c>
      <c r="B69" s="61" t="s">
        <v>1467</v>
      </c>
      <c r="C69" s="75" t="s">
        <v>1475</v>
      </c>
      <c r="D69" s="80">
        <v>6.0</v>
      </c>
      <c r="E69" s="61" t="s">
        <v>299</v>
      </c>
      <c r="F69" s="62" t="s">
        <v>300</v>
      </c>
      <c r="G69" s="70">
        <v>0.008252314814814815</v>
      </c>
    </row>
    <row r="70">
      <c r="A70" s="61" t="s">
        <v>1466</v>
      </c>
      <c r="B70" s="61" t="s">
        <v>1467</v>
      </c>
      <c r="C70" s="65" t="s">
        <v>1475</v>
      </c>
      <c r="D70" s="66">
        <v>7.0</v>
      </c>
      <c r="E70" s="65" t="s">
        <v>304</v>
      </c>
      <c r="F70" s="67" t="s">
        <v>302</v>
      </c>
      <c r="G70" s="68">
        <v>0.005555555555555556</v>
      </c>
    </row>
    <row r="71">
      <c r="A71" s="61" t="s">
        <v>1466</v>
      </c>
      <c r="B71" s="61" t="s">
        <v>1467</v>
      </c>
      <c r="C71" s="61" t="s">
        <v>1475</v>
      </c>
      <c r="D71" s="69">
        <v>7.0</v>
      </c>
      <c r="E71" s="71" t="s">
        <v>304</v>
      </c>
      <c r="F71" s="62" t="s">
        <v>693</v>
      </c>
      <c r="G71" s="64">
        <v>0.013229166666666667</v>
      </c>
    </row>
    <row r="72">
      <c r="A72" s="61" t="s">
        <v>1466</v>
      </c>
      <c r="B72" s="61" t="s">
        <v>1467</v>
      </c>
      <c r="C72" s="62" t="s">
        <v>1475</v>
      </c>
      <c r="D72" s="63">
        <v>7.0</v>
      </c>
      <c r="E72" s="61" t="s">
        <v>304</v>
      </c>
      <c r="F72" s="61" t="s">
        <v>305</v>
      </c>
      <c r="G72" s="64">
        <v>0.011041666666666667</v>
      </c>
    </row>
    <row r="73">
      <c r="A73" s="61" t="s">
        <v>1466</v>
      </c>
      <c r="B73" s="61" t="s">
        <v>1467</v>
      </c>
      <c r="C73" s="62" t="s">
        <v>1475</v>
      </c>
      <c r="D73" s="63">
        <v>7.0</v>
      </c>
      <c r="E73" s="62" t="s">
        <v>304</v>
      </c>
      <c r="F73" s="61" t="s">
        <v>307</v>
      </c>
      <c r="G73" s="64">
        <v>0.02136574074074074</v>
      </c>
    </row>
    <row r="74">
      <c r="A74" s="61" t="s">
        <v>1466</v>
      </c>
      <c r="B74" s="61" t="s">
        <v>1467</v>
      </c>
      <c r="C74" s="61" t="s">
        <v>1475</v>
      </c>
      <c r="D74" s="69">
        <v>7.0</v>
      </c>
      <c r="E74" s="61" t="s">
        <v>304</v>
      </c>
      <c r="F74" s="61" t="s">
        <v>309</v>
      </c>
      <c r="G74" s="64">
        <v>0.013414351851851853</v>
      </c>
    </row>
    <row r="75">
      <c r="A75" s="61" t="s">
        <v>1466</v>
      </c>
      <c r="B75" s="61" t="s">
        <v>1467</v>
      </c>
      <c r="C75" s="62" t="s">
        <v>1475</v>
      </c>
      <c r="D75" s="63">
        <v>7.0</v>
      </c>
      <c r="E75" s="61" t="s">
        <v>304</v>
      </c>
      <c r="F75" s="61" t="s">
        <v>311</v>
      </c>
      <c r="G75" s="64">
        <v>0.018703703703703705</v>
      </c>
    </row>
    <row r="76">
      <c r="A76" s="61" t="s">
        <v>1466</v>
      </c>
      <c r="B76" s="61" t="s">
        <v>1467</v>
      </c>
      <c r="C76" s="62" t="s">
        <v>1475</v>
      </c>
      <c r="D76" s="63">
        <v>7.0</v>
      </c>
      <c r="E76" s="61" t="s">
        <v>304</v>
      </c>
      <c r="F76" s="61" t="s">
        <v>313</v>
      </c>
      <c r="G76" s="77">
        <v>0.05555555555555555</v>
      </c>
    </row>
    <row r="77">
      <c r="A77" s="61" t="s">
        <v>1466</v>
      </c>
      <c r="B77" s="61" t="s">
        <v>1467</v>
      </c>
      <c r="C77" s="62" t="s">
        <v>1475</v>
      </c>
      <c r="D77" s="80">
        <v>8.0</v>
      </c>
      <c r="E77" s="61" t="s">
        <v>316</v>
      </c>
      <c r="F77" s="61" t="s">
        <v>314</v>
      </c>
      <c r="G77" s="64">
        <v>0.023078703703703702</v>
      </c>
    </row>
    <row r="78">
      <c r="A78" s="61" t="s">
        <v>1466</v>
      </c>
      <c r="B78" s="61" t="s">
        <v>1467</v>
      </c>
      <c r="C78" s="61" t="s">
        <v>1475</v>
      </c>
      <c r="D78" s="69">
        <v>8.0</v>
      </c>
      <c r="E78" s="62" t="s">
        <v>316</v>
      </c>
      <c r="F78" s="62" t="s">
        <v>317</v>
      </c>
      <c r="G78" s="64">
        <v>0.029097222222222222</v>
      </c>
    </row>
    <row r="79">
      <c r="A79" s="61" t="s">
        <v>1466</v>
      </c>
      <c r="B79" s="61" t="s">
        <v>1467</v>
      </c>
      <c r="C79" s="71" t="s">
        <v>1475</v>
      </c>
      <c r="D79" s="63">
        <v>9.0</v>
      </c>
      <c r="E79" s="61" t="s">
        <v>321</v>
      </c>
      <c r="F79" s="61" t="s">
        <v>319</v>
      </c>
      <c r="G79" s="64">
        <v>0.012847222222222222</v>
      </c>
    </row>
    <row r="80">
      <c r="A80" s="61" t="s">
        <v>1466</v>
      </c>
      <c r="B80" s="61" t="s">
        <v>1467</v>
      </c>
      <c r="C80" s="71" t="s">
        <v>1475</v>
      </c>
      <c r="D80" s="63">
        <v>9.0</v>
      </c>
      <c r="E80" s="61" t="s">
        <v>321</v>
      </c>
      <c r="F80" s="61" t="s">
        <v>322</v>
      </c>
      <c r="G80" s="64">
        <v>0.015439814814814814</v>
      </c>
    </row>
    <row r="81">
      <c r="A81" s="61" t="s">
        <v>1466</v>
      </c>
      <c r="B81" s="61" t="s">
        <v>1467</v>
      </c>
      <c r="C81" s="71" t="s">
        <v>1475</v>
      </c>
      <c r="D81" s="63">
        <v>10.0</v>
      </c>
      <c r="E81" s="61" t="s">
        <v>329</v>
      </c>
      <c r="F81" s="61" t="s">
        <v>327</v>
      </c>
      <c r="G81" s="64">
        <v>0.015625</v>
      </c>
    </row>
    <row r="82">
      <c r="A82" s="61" t="s">
        <v>1466</v>
      </c>
      <c r="B82" s="61" t="s">
        <v>1467</v>
      </c>
      <c r="C82" s="71" t="s">
        <v>1475</v>
      </c>
      <c r="D82" s="63">
        <v>10.0</v>
      </c>
      <c r="E82" s="71" t="s">
        <v>329</v>
      </c>
      <c r="F82" s="61" t="s">
        <v>330</v>
      </c>
      <c r="G82" s="64">
        <v>0.018692129629629628</v>
      </c>
    </row>
    <row r="83">
      <c r="A83" s="61" t="s">
        <v>1466</v>
      </c>
      <c r="B83" s="61" t="s">
        <v>1467</v>
      </c>
      <c r="C83" s="61" t="s">
        <v>1475</v>
      </c>
      <c r="D83" s="63">
        <v>10.0</v>
      </c>
      <c r="E83" s="62" t="s">
        <v>329</v>
      </c>
      <c r="F83" s="62" t="s">
        <v>332</v>
      </c>
      <c r="G83" s="64">
        <v>0.016030092592592592</v>
      </c>
    </row>
    <row r="84">
      <c r="A84" s="61" t="s">
        <v>1466</v>
      </c>
      <c r="B84" s="61" t="s">
        <v>1467</v>
      </c>
      <c r="C84" s="71" t="s">
        <v>1475</v>
      </c>
      <c r="D84" s="63">
        <v>10.0</v>
      </c>
      <c r="E84" s="61" t="s">
        <v>329</v>
      </c>
      <c r="F84" s="61" t="s">
        <v>334</v>
      </c>
      <c r="G84" s="64">
        <v>0.011458333333333333</v>
      </c>
    </row>
    <row r="85">
      <c r="A85" s="61" t="s">
        <v>1466</v>
      </c>
      <c r="B85" s="61" t="s">
        <v>1467</v>
      </c>
      <c r="C85" s="71" t="s">
        <v>1475</v>
      </c>
      <c r="D85" s="63">
        <v>10.0</v>
      </c>
      <c r="E85" s="61" t="s">
        <v>329</v>
      </c>
      <c r="F85" s="61" t="s">
        <v>336</v>
      </c>
      <c r="G85" s="64">
        <v>0.018194444444444444</v>
      </c>
    </row>
    <row r="86">
      <c r="A86" s="61" t="s">
        <v>1466</v>
      </c>
      <c r="B86" s="61" t="s">
        <v>1467</v>
      </c>
      <c r="C86" s="71" t="s">
        <v>1475</v>
      </c>
      <c r="D86" s="63">
        <v>10.0</v>
      </c>
      <c r="E86" s="61" t="s">
        <v>329</v>
      </c>
      <c r="F86" s="61" t="s">
        <v>338</v>
      </c>
      <c r="G86" s="64">
        <v>0.014548611111111111</v>
      </c>
    </row>
    <row r="87">
      <c r="A87" s="61" t="s">
        <v>1466</v>
      </c>
      <c r="B87" s="61" t="s">
        <v>1467</v>
      </c>
      <c r="C87" s="61" t="s">
        <v>1475</v>
      </c>
      <c r="D87" s="69">
        <v>10.0</v>
      </c>
      <c r="E87" s="71" t="s">
        <v>329</v>
      </c>
      <c r="F87" s="62" t="s">
        <v>340</v>
      </c>
      <c r="G87" s="64">
        <v>0.019363425925925926</v>
      </c>
    </row>
    <row r="88">
      <c r="A88" s="61" t="s">
        <v>1466</v>
      </c>
      <c r="B88" s="61" t="s">
        <v>1467</v>
      </c>
      <c r="C88" s="71" t="s">
        <v>1475</v>
      </c>
      <c r="D88" s="69">
        <v>10.0</v>
      </c>
      <c r="E88" s="61" t="s">
        <v>329</v>
      </c>
      <c r="F88" s="61" t="s">
        <v>342</v>
      </c>
      <c r="G88" s="64">
        <v>0.015902777777777776</v>
      </c>
    </row>
    <row r="89">
      <c r="A89" s="61" t="s">
        <v>1466</v>
      </c>
      <c r="B89" s="61" t="s">
        <v>1467</v>
      </c>
      <c r="C89" s="71" t="s">
        <v>1475</v>
      </c>
      <c r="D89" s="63">
        <v>10.0</v>
      </c>
      <c r="E89" s="62" t="s">
        <v>329</v>
      </c>
      <c r="F89" s="61" t="s">
        <v>695</v>
      </c>
      <c r="G89" s="64">
        <v>0.013738425925925926</v>
      </c>
    </row>
    <row r="90">
      <c r="A90" s="61" t="s">
        <v>1466</v>
      </c>
      <c r="B90" s="61" t="s">
        <v>1467</v>
      </c>
      <c r="C90" s="71" t="s">
        <v>1475</v>
      </c>
      <c r="D90" s="63">
        <v>10.0</v>
      </c>
      <c r="E90" s="62" t="s">
        <v>329</v>
      </c>
      <c r="F90" s="61" t="s">
        <v>697</v>
      </c>
      <c r="G90" s="64">
        <v>0.08333333333333333</v>
      </c>
    </row>
    <row r="91">
      <c r="A91" s="61" t="s">
        <v>1466</v>
      </c>
      <c r="B91" s="61" t="s">
        <v>1467</v>
      </c>
      <c r="C91" s="61" t="s">
        <v>1475</v>
      </c>
      <c r="D91" s="69">
        <v>11.0</v>
      </c>
      <c r="E91" s="62" t="s">
        <v>346</v>
      </c>
      <c r="F91" s="62" t="s">
        <v>698</v>
      </c>
      <c r="G91" s="64">
        <v>0.015543981481481482</v>
      </c>
    </row>
    <row r="92">
      <c r="A92" s="61" t="s">
        <v>1466</v>
      </c>
      <c r="B92" s="61" t="s">
        <v>1467</v>
      </c>
      <c r="C92" s="71" t="s">
        <v>1475</v>
      </c>
      <c r="D92" s="63">
        <v>11.0</v>
      </c>
      <c r="E92" s="61" t="s">
        <v>346</v>
      </c>
      <c r="F92" s="61" t="s">
        <v>700</v>
      </c>
      <c r="G92" s="64">
        <v>0.014664351851851852</v>
      </c>
    </row>
    <row r="93">
      <c r="A93" s="61" t="s">
        <v>1466</v>
      </c>
      <c r="B93" s="61" t="s">
        <v>1467</v>
      </c>
      <c r="C93" s="71" t="s">
        <v>1475</v>
      </c>
      <c r="D93" s="63">
        <v>11.0</v>
      </c>
      <c r="E93" s="62" t="s">
        <v>346</v>
      </c>
      <c r="F93" s="61" t="s">
        <v>344</v>
      </c>
      <c r="G93" s="64">
        <v>0.013738425925925926</v>
      </c>
    </row>
    <row r="94">
      <c r="A94" s="61" t="s">
        <v>1466</v>
      </c>
      <c r="B94" s="61" t="s">
        <v>1467</v>
      </c>
      <c r="C94" s="61" t="s">
        <v>1475</v>
      </c>
      <c r="D94" s="69">
        <v>11.0</v>
      </c>
      <c r="E94" s="62" t="s">
        <v>346</v>
      </c>
      <c r="F94" s="62" t="s">
        <v>702</v>
      </c>
      <c r="G94" s="64">
        <v>0.013958333333333333</v>
      </c>
    </row>
    <row r="95">
      <c r="A95" s="61" t="s">
        <v>1466</v>
      </c>
      <c r="B95" s="61" t="s">
        <v>1467</v>
      </c>
      <c r="C95" s="71" t="s">
        <v>1475</v>
      </c>
      <c r="D95" s="63">
        <v>11.0</v>
      </c>
      <c r="E95" s="61" t="s">
        <v>346</v>
      </c>
      <c r="F95" s="61" t="s">
        <v>347</v>
      </c>
      <c r="G95" s="64">
        <v>0.010428240740740741</v>
      </c>
    </row>
    <row r="96">
      <c r="A96" s="61" t="s">
        <v>1466</v>
      </c>
      <c r="B96" s="61" t="s">
        <v>1467</v>
      </c>
      <c r="C96" s="71" t="s">
        <v>1475</v>
      </c>
      <c r="D96" s="63">
        <v>11.0</v>
      </c>
      <c r="E96" s="61" t="s">
        <v>346</v>
      </c>
      <c r="F96" s="61" t="s">
        <v>349</v>
      </c>
      <c r="G96" s="64">
        <v>0.020613425925925927</v>
      </c>
    </row>
    <row r="97">
      <c r="A97" s="61" t="s">
        <v>1466</v>
      </c>
      <c r="B97" s="61" t="s">
        <v>1467</v>
      </c>
      <c r="C97" s="71" t="s">
        <v>1475</v>
      </c>
      <c r="D97" s="63">
        <v>11.0</v>
      </c>
      <c r="E97" s="61" t="s">
        <v>346</v>
      </c>
      <c r="F97" s="61" t="s">
        <v>351</v>
      </c>
      <c r="G97" s="64">
        <v>0.0203125</v>
      </c>
    </row>
    <row r="98">
      <c r="A98" s="61" t="s">
        <v>1466</v>
      </c>
      <c r="B98" s="61" t="s">
        <v>1467</v>
      </c>
      <c r="C98" s="71" t="s">
        <v>1475</v>
      </c>
      <c r="D98" s="63">
        <v>11.0</v>
      </c>
      <c r="E98" s="61" t="s">
        <v>346</v>
      </c>
      <c r="F98" s="61" t="s">
        <v>1388</v>
      </c>
      <c r="G98" s="77">
        <v>0.0625</v>
      </c>
    </row>
    <row r="99">
      <c r="A99" s="61" t="s">
        <v>1466</v>
      </c>
      <c r="B99" s="61" t="s">
        <v>1467</v>
      </c>
      <c r="C99" s="71" t="s">
        <v>1475</v>
      </c>
      <c r="D99" s="63">
        <v>12.0</v>
      </c>
      <c r="E99" s="61" t="s">
        <v>366</v>
      </c>
      <c r="F99" s="61" t="s">
        <v>364</v>
      </c>
      <c r="G99" s="64">
        <v>0.015729166666666666</v>
      </c>
    </row>
    <row r="100">
      <c r="A100" s="61" t="s">
        <v>1466</v>
      </c>
      <c r="B100" s="61" t="s">
        <v>1467</v>
      </c>
      <c r="C100" s="71" t="s">
        <v>1475</v>
      </c>
      <c r="D100" s="63">
        <v>12.0</v>
      </c>
      <c r="E100" s="61" t="s">
        <v>366</v>
      </c>
      <c r="F100" s="61" t="s">
        <v>367</v>
      </c>
      <c r="G100" s="64">
        <v>0.016238425925925927</v>
      </c>
    </row>
    <row r="101">
      <c r="A101" s="61" t="s">
        <v>1466</v>
      </c>
      <c r="B101" s="61" t="s">
        <v>1467</v>
      </c>
      <c r="C101" s="71" t="s">
        <v>1475</v>
      </c>
      <c r="D101" s="69">
        <v>13.0</v>
      </c>
      <c r="E101" s="62" t="s">
        <v>706</v>
      </c>
      <c r="F101" s="62" t="s">
        <v>704</v>
      </c>
      <c r="G101" s="64">
        <v>0.014212962962962964</v>
      </c>
    </row>
    <row r="102">
      <c r="A102" s="61" t="s">
        <v>1466</v>
      </c>
      <c r="B102" s="61" t="s">
        <v>1467</v>
      </c>
      <c r="C102" s="61" t="s">
        <v>1475</v>
      </c>
      <c r="D102" s="69">
        <v>13.0</v>
      </c>
      <c r="E102" s="62" t="s">
        <v>706</v>
      </c>
      <c r="F102" s="62" t="s">
        <v>707</v>
      </c>
      <c r="G102" s="64">
        <v>0.01885416666666667</v>
      </c>
    </row>
    <row r="103">
      <c r="A103" s="61" t="s">
        <v>1466</v>
      </c>
      <c r="B103" s="61" t="s">
        <v>1467</v>
      </c>
      <c r="C103" s="61" t="s">
        <v>1475</v>
      </c>
      <c r="D103" s="69">
        <v>13.0</v>
      </c>
      <c r="E103" s="62" t="s">
        <v>706</v>
      </c>
      <c r="F103" s="61" t="s">
        <v>709</v>
      </c>
      <c r="G103" s="77">
        <v>0.05555555555555555</v>
      </c>
    </row>
    <row r="104">
      <c r="A104" s="61" t="s">
        <v>1466</v>
      </c>
      <c r="B104" s="61" t="s">
        <v>1476</v>
      </c>
      <c r="C104" s="62" t="s">
        <v>1390</v>
      </c>
      <c r="D104" s="63">
        <v>1.0</v>
      </c>
      <c r="E104" s="61" t="s">
        <v>375</v>
      </c>
      <c r="F104" s="61" t="s">
        <v>373</v>
      </c>
      <c r="G104" s="64">
        <v>0.014004629629629629</v>
      </c>
    </row>
    <row r="105">
      <c r="A105" s="61" t="s">
        <v>1466</v>
      </c>
      <c r="B105" s="61" t="s">
        <v>1476</v>
      </c>
      <c r="C105" s="62" t="s">
        <v>1390</v>
      </c>
      <c r="D105" s="63">
        <v>1.0</v>
      </c>
      <c r="E105" s="61" t="s">
        <v>375</v>
      </c>
      <c r="F105" s="61" t="s">
        <v>710</v>
      </c>
      <c r="G105" s="64">
        <v>0.00400462962962963</v>
      </c>
    </row>
    <row r="106">
      <c r="A106" s="61" t="s">
        <v>1466</v>
      </c>
      <c r="B106" s="61" t="s">
        <v>1476</v>
      </c>
      <c r="C106" s="62" t="s">
        <v>1390</v>
      </c>
      <c r="D106" s="63">
        <v>1.0</v>
      </c>
      <c r="E106" s="61" t="s">
        <v>375</v>
      </c>
      <c r="F106" s="61" t="s">
        <v>194</v>
      </c>
      <c r="G106" s="64">
        <v>0.014548611111111111</v>
      </c>
    </row>
    <row r="107">
      <c r="A107" s="61" t="s">
        <v>1466</v>
      </c>
      <c r="B107" s="61" t="s">
        <v>1476</v>
      </c>
      <c r="C107" s="62" t="s">
        <v>1390</v>
      </c>
      <c r="D107" s="63">
        <v>1.0</v>
      </c>
      <c r="E107" s="61" t="s">
        <v>375</v>
      </c>
      <c r="F107" s="61" t="s">
        <v>712</v>
      </c>
      <c r="G107" s="64">
        <v>0.008310185185185184</v>
      </c>
    </row>
    <row r="108">
      <c r="A108" s="61" t="s">
        <v>1466</v>
      </c>
      <c r="B108" s="61" t="s">
        <v>1476</v>
      </c>
      <c r="C108" s="62" t="s">
        <v>1390</v>
      </c>
      <c r="D108" s="63">
        <v>2.0</v>
      </c>
      <c r="E108" s="61" t="s">
        <v>380</v>
      </c>
      <c r="F108" s="61" t="s">
        <v>378</v>
      </c>
      <c r="G108" s="64">
        <v>0.00829861111111111</v>
      </c>
    </row>
    <row r="109">
      <c r="A109" s="61" t="s">
        <v>1466</v>
      </c>
      <c r="B109" s="61" t="s">
        <v>1476</v>
      </c>
      <c r="C109" s="61" t="s">
        <v>1390</v>
      </c>
      <c r="D109" s="69">
        <v>2.0</v>
      </c>
      <c r="E109" s="62" t="s">
        <v>380</v>
      </c>
      <c r="F109" s="62" t="s">
        <v>381</v>
      </c>
      <c r="G109" s="64">
        <v>0.01849537037037037</v>
      </c>
    </row>
    <row r="110">
      <c r="A110" s="61" t="s">
        <v>1466</v>
      </c>
      <c r="B110" s="61" t="s">
        <v>1476</v>
      </c>
      <c r="C110" s="62" t="s">
        <v>1390</v>
      </c>
      <c r="D110" s="63">
        <v>2.0</v>
      </c>
      <c r="E110" s="61" t="s">
        <v>380</v>
      </c>
      <c r="F110" s="61" t="s">
        <v>713</v>
      </c>
      <c r="G110" s="64">
        <v>0.0025</v>
      </c>
    </row>
    <row r="111">
      <c r="A111" s="61" t="s">
        <v>1466</v>
      </c>
      <c r="B111" s="61" t="s">
        <v>1476</v>
      </c>
      <c r="C111" s="62" t="s">
        <v>1390</v>
      </c>
      <c r="D111" s="63">
        <v>2.0</v>
      </c>
      <c r="E111" s="61" t="s">
        <v>380</v>
      </c>
      <c r="F111" s="61" t="s">
        <v>715</v>
      </c>
      <c r="G111" s="64">
        <v>0.016458333333333332</v>
      </c>
    </row>
    <row r="112">
      <c r="A112" s="61" t="s">
        <v>1466</v>
      </c>
      <c r="B112" s="61" t="s">
        <v>1476</v>
      </c>
      <c r="C112" s="62" t="s">
        <v>1390</v>
      </c>
      <c r="D112" s="63">
        <v>2.0</v>
      </c>
      <c r="E112" s="61" t="s">
        <v>380</v>
      </c>
      <c r="F112" s="61" t="s">
        <v>383</v>
      </c>
      <c r="G112" s="64">
        <v>0.012534722222222221</v>
      </c>
    </row>
    <row r="113">
      <c r="A113" s="61" t="s">
        <v>1466</v>
      </c>
      <c r="B113" s="61" t="s">
        <v>1476</v>
      </c>
      <c r="C113" s="62" t="s">
        <v>1390</v>
      </c>
      <c r="D113" s="63">
        <v>2.0</v>
      </c>
      <c r="E113" s="61" t="s">
        <v>380</v>
      </c>
      <c r="F113" s="61" t="s">
        <v>385</v>
      </c>
      <c r="G113" s="64">
        <v>0.01638888888888889</v>
      </c>
    </row>
    <row r="114">
      <c r="A114" s="61" t="s">
        <v>1466</v>
      </c>
      <c r="B114" s="61" t="s">
        <v>1476</v>
      </c>
      <c r="C114" s="62" t="s">
        <v>1390</v>
      </c>
      <c r="D114" s="63">
        <v>2.0</v>
      </c>
      <c r="E114" s="61" t="s">
        <v>380</v>
      </c>
      <c r="F114" s="61" t="s">
        <v>387</v>
      </c>
      <c r="G114" s="64">
        <v>0.0018171296296296297</v>
      </c>
    </row>
    <row r="115">
      <c r="A115" s="61" t="s">
        <v>1466</v>
      </c>
      <c r="B115" s="61" t="s">
        <v>1476</v>
      </c>
      <c r="C115" s="62" t="s">
        <v>1390</v>
      </c>
      <c r="D115" s="63">
        <v>2.0</v>
      </c>
      <c r="E115" s="61" t="s">
        <v>380</v>
      </c>
      <c r="F115" s="61" t="s">
        <v>389</v>
      </c>
      <c r="G115" s="64">
        <v>0.0011689814814814816</v>
      </c>
    </row>
    <row r="116">
      <c r="A116" s="61" t="s">
        <v>1466</v>
      </c>
      <c r="B116" s="61" t="s">
        <v>1476</v>
      </c>
      <c r="C116" s="62" t="s">
        <v>1390</v>
      </c>
      <c r="D116" s="63">
        <v>2.0</v>
      </c>
      <c r="E116" s="61" t="s">
        <v>380</v>
      </c>
      <c r="F116" s="61" t="s">
        <v>391</v>
      </c>
      <c r="G116" s="64">
        <v>6.365740740740741E-4</v>
      </c>
    </row>
    <row r="117">
      <c r="A117" s="61" t="s">
        <v>1466</v>
      </c>
      <c r="B117" s="61" t="s">
        <v>1476</v>
      </c>
      <c r="C117" s="62" t="s">
        <v>1390</v>
      </c>
      <c r="D117" s="63">
        <v>2.0</v>
      </c>
      <c r="E117" s="61" t="s">
        <v>380</v>
      </c>
      <c r="F117" s="61" t="s">
        <v>393</v>
      </c>
      <c r="G117" s="77">
        <v>0.05555555555555555</v>
      </c>
    </row>
    <row r="118">
      <c r="A118" s="61" t="s">
        <v>1466</v>
      </c>
      <c r="B118" s="61" t="s">
        <v>1476</v>
      </c>
      <c r="C118" s="61" t="s">
        <v>1391</v>
      </c>
      <c r="D118" s="69">
        <v>1.0</v>
      </c>
      <c r="E118" s="71" t="s">
        <v>396</v>
      </c>
      <c r="F118" s="62" t="s">
        <v>394</v>
      </c>
      <c r="G118" s="64">
        <v>0.009965277777777778</v>
      </c>
    </row>
    <row r="119">
      <c r="A119" s="61" t="s">
        <v>1466</v>
      </c>
      <c r="B119" s="61" t="s">
        <v>1476</v>
      </c>
      <c r="C119" s="62" t="s">
        <v>1391</v>
      </c>
      <c r="D119" s="63">
        <v>1.0</v>
      </c>
      <c r="E119" s="61" t="s">
        <v>396</v>
      </c>
      <c r="F119" s="61" t="s">
        <v>1392</v>
      </c>
      <c r="G119" s="64">
        <v>0.006655092592592593</v>
      </c>
    </row>
    <row r="120">
      <c r="A120" s="61" t="s">
        <v>1466</v>
      </c>
      <c r="B120" s="61" t="s">
        <v>1476</v>
      </c>
      <c r="C120" s="62" t="s">
        <v>1391</v>
      </c>
      <c r="D120" s="63">
        <v>2.0</v>
      </c>
      <c r="E120" s="61" t="s">
        <v>399</v>
      </c>
      <c r="F120" s="61" t="s">
        <v>397</v>
      </c>
      <c r="G120" s="64">
        <v>0.002685185185185185</v>
      </c>
    </row>
    <row r="121">
      <c r="A121" s="61" t="s">
        <v>1466</v>
      </c>
      <c r="B121" s="61" t="s">
        <v>1476</v>
      </c>
      <c r="C121" s="61" t="s">
        <v>1391</v>
      </c>
      <c r="D121" s="74">
        <v>2.0</v>
      </c>
      <c r="E121" s="71" t="s">
        <v>399</v>
      </c>
      <c r="F121" s="71" t="s">
        <v>400</v>
      </c>
      <c r="G121" s="64">
        <v>0.0030671296296296297</v>
      </c>
    </row>
    <row r="122">
      <c r="A122" s="61" t="s">
        <v>1466</v>
      </c>
      <c r="B122" s="61" t="s">
        <v>1476</v>
      </c>
      <c r="C122" s="71" t="s">
        <v>1391</v>
      </c>
      <c r="D122" s="63">
        <v>2.0</v>
      </c>
      <c r="E122" s="61" t="s">
        <v>399</v>
      </c>
      <c r="F122" s="61" t="s">
        <v>402</v>
      </c>
      <c r="G122" s="64">
        <v>0.003969907407407407</v>
      </c>
    </row>
    <row r="123">
      <c r="A123" s="61" t="s">
        <v>1466</v>
      </c>
      <c r="B123" s="61" t="s">
        <v>1476</v>
      </c>
      <c r="C123" s="71" t="s">
        <v>1391</v>
      </c>
      <c r="D123" s="63">
        <v>2.0</v>
      </c>
      <c r="E123" s="61" t="s">
        <v>399</v>
      </c>
      <c r="F123" s="61" t="s">
        <v>404</v>
      </c>
      <c r="G123" s="64">
        <v>0.009375</v>
      </c>
    </row>
    <row r="124">
      <c r="A124" s="61" t="s">
        <v>1466</v>
      </c>
      <c r="B124" s="61" t="s">
        <v>1476</v>
      </c>
      <c r="C124" s="75" t="s">
        <v>1391</v>
      </c>
      <c r="D124" s="63">
        <v>2.0</v>
      </c>
      <c r="E124" s="61" t="s">
        <v>399</v>
      </c>
      <c r="F124" s="62" t="s">
        <v>406</v>
      </c>
      <c r="G124" s="64">
        <v>0.014027777777777778</v>
      </c>
    </row>
    <row r="125">
      <c r="A125" s="61" t="s">
        <v>1466</v>
      </c>
      <c r="B125" s="61" t="s">
        <v>1476</v>
      </c>
      <c r="C125" s="61" t="s">
        <v>1391</v>
      </c>
      <c r="D125" s="81">
        <v>2.0</v>
      </c>
      <c r="E125" s="61" t="s">
        <v>399</v>
      </c>
      <c r="F125" s="82" t="s">
        <v>1393</v>
      </c>
      <c r="G125" s="77">
        <v>0.005752314814814815</v>
      </c>
    </row>
    <row r="126">
      <c r="A126" s="61" t="s">
        <v>1466</v>
      </c>
      <c r="B126" s="61" t="s">
        <v>1476</v>
      </c>
      <c r="C126" s="82" t="s">
        <v>1391</v>
      </c>
      <c r="D126" s="81">
        <v>2.0</v>
      </c>
      <c r="E126" s="82" t="s">
        <v>399</v>
      </c>
      <c r="F126" s="82" t="s">
        <v>408</v>
      </c>
      <c r="G126" s="83">
        <v>0.0036226851851851854</v>
      </c>
    </row>
    <row r="127">
      <c r="A127" s="61" t="s">
        <v>1466</v>
      </c>
      <c r="B127" s="61" t="s">
        <v>1476</v>
      </c>
      <c r="C127" s="82" t="s">
        <v>1391</v>
      </c>
      <c r="D127" s="81">
        <v>2.0</v>
      </c>
      <c r="E127" s="82" t="s">
        <v>399</v>
      </c>
      <c r="F127" s="61" t="s">
        <v>717</v>
      </c>
      <c r="G127" s="84">
        <v>0.05555555555555555</v>
      </c>
    </row>
    <row r="128">
      <c r="A128" s="61" t="s">
        <v>1466</v>
      </c>
      <c r="B128" s="61" t="s">
        <v>1476</v>
      </c>
      <c r="C128" s="82" t="s">
        <v>1391</v>
      </c>
      <c r="D128" s="81">
        <v>2.0</v>
      </c>
      <c r="E128" s="82" t="s">
        <v>399</v>
      </c>
      <c r="F128" s="82" t="s">
        <v>411</v>
      </c>
      <c r="G128" s="83">
        <v>0.01025462962962963</v>
      </c>
    </row>
    <row r="129">
      <c r="A129" s="61" t="s">
        <v>1466</v>
      </c>
      <c r="B129" s="61" t="s">
        <v>1476</v>
      </c>
      <c r="C129" s="82" t="s">
        <v>1391</v>
      </c>
      <c r="D129" s="81">
        <v>2.0</v>
      </c>
      <c r="E129" s="82" t="s">
        <v>399</v>
      </c>
      <c r="F129" s="82" t="s">
        <v>718</v>
      </c>
      <c r="G129" s="83">
        <v>0.0021296296296296298</v>
      </c>
    </row>
    <row r="130">
      <c r="A130" s="61" t="s">
        <v>1466</v>
      </c>
      <c r="B130" s="61" t="s">
        <v>1476</v>
      </c>
      <c r="C130" s="82" t="s">
        <v>1391</v>
      </c>
      <c r="D130" s="81">
        <v>2.0</v>
      </c>
      <c r="E130" s="82" t="s">
        <v>399</v>
      </c>
      <c r="F130" s="82" t="s">
        <v>413</v>
      </c>
      <c r="G130" s="84">
        <v>0.004189814814814815</v>
      </c>
    </row>
    <row r="131">
      <c r="A131" s="61" t="s">
        <v>1466</v>
      </c>
      <c r="B131" s="61" t="s">
        <v>1476</v>
      </c>
      <c r="C131" s="82" t="s">
        <v>1391</v>
      </c>
      <c r="D131" s="81">
        <v>2.0</v>
      </c>
      <c r="E131" s="82" t="s">
        <v>399</v>
      </c>
      <c r="F131" s="65" t="s">
        <v>415</v>
      </c>
      <c r="G131" s="68">
        <v>0.05555555555555555</v>
      </c>
    </row>
    <row r="132">
      <c r="A132" s="61" t="s">
        <v>1466</v>
      </c>
      <c r="B132" s="61" t="s">
        <v>1476</v>
      </c>
      <c r="C132" s="82" t="s">
        <v>1391</v>
      </c>
      <c r="D132" s="81">
        <v>2.0</v>
      </c>
      <c r="E132" s="82" t="s">
        <v>399</v>
      </c>
      <c r="F132" s="67" t="s">
        <v>416</v>
      </c>
      <c r="G132" s="68">
        <v>0.05555555555555555</v>
      </c>
    </row>
    <row r="133">
      <c r="A133" s="61" t="s">
        <v>1466</v>
      </c>
      <c r="B133" s="61" t="s">
        <v>1476</v>
      </c>
      <c r="C133" s="65" t="s">
        <v>1391</v>
      </c>
      <c r="D133" s="85">
        <v>2.0</v>
      </c>
      <c r="E133" s="67" t="s">
        <v>399</v>
      </c>
      <c r="F133" s="67" t="s">
        <v>419</v>
      </c>
      <c r="G133" s="68">
        <v>0.010289351851851852</v>
      </c>
    </row>
    <row r="134">
      <c r="A134" s="61" t="s">
        <v>1466</v>
      </c>
      <c r="B134" s="61" t="s">
        <v>1476</v>
      </c>
      <c r="C134" s="62" t="s">
        <v>1391</v>
      </c>
      <c r="D134" s="63">
        <v>3.0</v>
      </c>
      <c r="E134" s="62" t="s">
        <v>423</v>
      </c>
      <c r="F134" s="62" t="s">
        <v>421</v>
      </c>
      <c r="G134" s="64">
        <v>0.017418981481481483</v>
      </c>
    </row>
    <row r="135">
      <c r="A135" s="61" t="s">
        <v>1466</v>
      </c>
      <c r="B135" s="61" t="s">
        <v>1476</v>
      </c>
      <c r="C135" s="62" t="s">
        <v>1391</v>
      </c>
      <c r="D135" s="63">
        <v>3.0</v>
      </c>
      <c r="E135" s="61" t="s">
        <v>423</v>
      </c>
      <c r="F135" s="62" t="s">
        <v>424</v>
      </c>
      <c r="G135" s="64">
        <v>0.01659722222222222</v>
      </c>
    </row>
    <row r="136">
      <c r="A136" s="61" t="s">
        <v>1466</v>
      </c>
      <c r="B136" s="61" t="s">
        <v>1476</v>
      </c>
      <c r="C136" s="62" t="s">
        <v>1391</v>
      </c>
      <c r="D136" s="63">
        <v>3.0</v>
      </c>
      <c r="E136" s="61" t="s">
        <v>423</v>
      </c>
      <c r="F136" s="62" t="s">
        <v>426</v>
      </c>
      <c r="G136" s="64">
        <v>0.006307870370370371</v>
      </c>
    </row>
    <row r="137">
      <c r="A137" s="61" t="s">
        <v>1466</v>
      </c>
      <c r="B137" s="61" t="s">
        <v>1476</v>
      </c>
      <c r="C137" s="65" t="s">
        <v>1391</v>
      </c>
      <c r="D137" s="66">
        <v>3.0</v>
      </c>
      <c r="E137" s="65" t="s">
        <v>423</v>
      </c>
      <c r="F137" s="67" t="s">
        <v>719</v>
      </c>
      <c r="G137" s="68">
        <v>0.008715277777777778</v>
      </c>
    </row>
    <row r="138">
      <c r="A138" s="61" t="s">
        <v>1466</v>
      </c>
      <c r="B138" s="61" t="s">
        <v>1476</v>
      </c>
      <c r="C138" s="61" t="s">
        <v>1391</v>
      </c>
      <c r="D138" s="86"/>
      <c r="E138" s="71" t="s">
        <v>722</v>
      </c>
      <c r="F138" s="71" t="s">
        <v>720</v>
      </c>
      <c r="G138" s="64">
        <v>0.005208333333333333</v>
      </c>
    </row>
    <row r="139">
      <c r="A139" s="61" t="s">
        <v>1466</v>
      </c>
      <c r="B139" s="61" t="s">
        <v>1476</v>
      </c>
      <c r="C139" s="71" t="s">
        <v>1477</v>
      </c>
      <c r="D139" s="72">
        <v>1.0</v>
      </c>
      <c r="E139" s="61" t="s">
        <v>430</v>
      </c>
      <c r="F139" s="61" t="s">
        <v>428</v>
      </c>
      <c r="G139" s="64">
        <v>0.014826388888888889</v>
      </c>
    </row>
    <row r="140">
      <c r="A140" s="61" t="s">
        <v>1466</v>
      </c>
      <c r="B140" s="61" t="s">
        <v>1476</v>
      </c>
      <c r="C140" s="71" t="s">
        <v>1477</v>
      </c>
      <c r="D140" s="72">
        <v>1.0</v>
      </c>
      <c r="E140" s="61" t="s">
        <v>430</v>
      </c>
      <c r="F140" s="61" t="s">
        <v>431</v>
      </c>
      <c r="G140" s="64">
        <v>0.00738425925925926</v>
      </c>
    </row>
    <row r="141">
      <c r="A141" s="61" t="s">
        <v>1466</v>
      </c>
      <c r="B141" s="61" t="s">
        <v>1476</v>
      </c>
      <c r="C141" s="71" t="s">
        <v>1477</v>
      </c>
      <c r="D141" s="72">
        <v>1.0</v>
      </c>
      <c r="E141" s="61" t="s">
        <v>430</v>
      </c>
      <c r="F141" s="61" t="s">
        <v>433</v>
      </c>
      <c r="G141" s="64">
        <v>0.01678240740740741</v>
      </c>
    </row>
    <row r="142">
      <c r="A142" s="61" t="s">
        <v>1466</v>
      </c>
      <c r="B142" s="61" t="s">
        <v>1476</v>
      </c>
      <c r="C142" s="71" t="s">
        <v>1477</v>
      </c>
      <c r="D142" s="72">
        <v>1.0</v>
      </c>
      <c r="E142" s="61" t="s">
        <v>430</v>
      </c>
      <c r="F142" s="61" t="s">
        <v>435</v>
      </c>
      <c r="G142" s="77">
        <v>0.05555555555555555</v>
      </c>
    </row>
    <row r="143">
      <c r="A143" s="61" t="s">
        <v>1466</v>
      </c>
      <c r="B143" s="61" t="s">
        <v>1476</v>
      </c>
      <c r="C143" s="71" t="s">
        <v>1477</v>
      </c>
      <c r="D143" s="72">
        <v>1.0</v>
      </c>
      <c r="E143" s="61" t="s">
        <v>430</v>
      </c>
      <c r="F143" s="62" t="s">
        <v>436</v>
      </c>
      <c r="G143" s="64">
        <v>0.020833333333333332</v>
      </c>
    </row>
    <row r="144">
      <c r="A144" s="61" t="s">
        <v>1466</v>
      </c>
      <c r="B144" s="61" t="s">
        <v>1476</v>
      </c>
      <c r="C144" s="71" t="s">
        <v>1477</v>
      </c>
      <c r="D144" s="63">
        <v>2.0</v>
      </c>
      <c r="E144" s="61" t="s">
        <v>439</v>
      </c>
      <c r="F144" s="61" t="s">
        <v>437</v>
      </c>
      <c r="G144" s="64">
        <v>0.0025</v>
      </c>
    </row>
    <row r="145">
      <c r="A145" s="61" t="s">
        <v>1466</v>
      </c>
      <c r="B145" s="61" t="s">
        <v>1476</v>
      </c>
      <c r="C145" s="71" t="s">
        <v>1477</v>
      </c>
      <c r="D145" s="63">
        <v>2.0</v>
      </c>
      <c r="E145" s="61" t="s">
        <v>439</v>
      </c>
      <c r="F145" s="61" t="s">
        <v>440</v>
      </c>
      <c r="G145" s="64">
        <v>0.0019328703703703704</v>
      </c>
    </row>
    <row r="146">
      <c r="A146" s="61" t="s">
        <v>1466</v>
      </c>
      <c r="B146" s="61" t="s">
        <v>1476</v>
      </c>
      <c r="C146" s="71" t="s">
        <v>1477</v>
      </c>
      <c r="D146" s="63">
        <v>2.0</v>
      </c>
      <c r="E146" s="61" t="s">
        <v>439</v>
      </c>
      <c r="F146" s="61" t="s">
        <v>442</v>
      </c>
      <c r="G146" s="64">
        <v>0.0020486111111111113</v>
      </c>
    </row>
    <row r="147">
      <c r="A147" s="61" t="s">
        <v>1466</v>
      </c>
      <c r="B147" s="61" t="s">
        <v>1476</v>
      </c>
      <c r="C147" s="71" t="s">
        <v>1477</v>
      </c>
      <c r="D147" s="72">
        <v>2.0</v>
      </c>
      <c r="E147" s="61" t="s">
        <v>439</v>
      </c>
      <c r="F147" s="61" t="s">
        <v>444</v>
      </c>
      <c r="G147" s="64">
        <v>0.0030555555555555557</v>
      </c>
    </row>
    <row r="148">
      <c r="A148" s="61" t="s">
        <v>1466</v>
      </c>
      <c r="B148" s="61" t="s">
        <v>1476</v>
      </c>
      <c r="C148" s="71" t="s">
        <v>1477</v>
      </c>
      <c r="D148" s="72">
        <v>2.0</v>
      </c>
      <c r="E148" s="73" t="s">
        <v>439</v>
      </c>
      <c r="F148" s="61" t="s">
        <v>723</v>
      </c>
      <c r="G148" s="70">
        <v>0.0018287037037037037</v>
      </c>
    </row>
    <row r="149">
      <c r="A149" s="61" t="s">
        <v>1466</v>
      </c>
      <c r="B149" s="61" t="s">
        <v>1476</v>
      </c>
      <c r="C149" s="71" t="s">
        <v>1477</v>
      </c>
      <c r="D149" s="72">
        <v>2.0</v>
      </c>
      <c r="E149" s="73" t="s">
        <v>439</v>
      </c>
      <c r="F149" s="61" t="s">
        <v>725</v>
      </c>
      <c r="G149" s="70">
        <v>0.003576388888888889</v>
      </c>
    </row>
    <row r="150">
      <c r="A150" s="61" t="s">
        <v>1466</v>
      </c>
      <c r="B150" s="61" t="s">
        <v>1476</v>
      </c>
      <c r="C150" s="71" t="s">
        <v>1477</v>
      </c>
      <c r="D150" s="72">
        <v>2.0</v>
      </c>
      <c r="E150" s="61" t="s">
        <v>439</v>
      </c>
      <c r="F150" s="61" t="s">
        <v>448</v>
      </c>
      <c r="G150" s="64">
        <v>0.012303240740740741</v>
      </c>
    </row>
    <row r="151">
      <c r="A151" s="61" t="s">
        <v>1466</v>
      </c>
      <c r="B151" s="61" t="s">
        <v>1476</v>
      </c>
      <c r="C151" s="71" t="s">
        <v>1477</v>
      </c>
      <c r="D151" s="72">
        <v>2.0</v>
      </c>
      <c r="E151" s="61" t="s">
        <v>439</v>
      </c>
      <c r="F151" s="73" t="s">
        <v>727</v>
      </c>
      <c r="G151" s="77">
        <v>0.05555555555555555</v>
      </c>
    </row>
    <row r="152">
      <c r="A152" s="61" t="s">
        <v>1466</v>
      </c>
      <c r="B152" s="61" t="s">
        <v>1476</v>
      </c>
      <c r="C152" s="71" t="s">
        <v>1477</v>
      </c>
      <c r="D152" s="72">
        <v>3.0</v>
      </c>
      <c r="E152" s="61" t="s">
        <v>731</v>
      </c>
      <c r="F152" s="61" t="s">
        <v>672</v>
      </c>
      <c r="G152" s="64">
        <v>0.006724537037037037</v>
      </c>
    </row>
    <row r="153">
      <c r="A153" s="61" t="s">
        <v>1466</v>
      </c>
      <c r="B153" s="61" t="s">
        <v>1476</v>
      </c>
      <c r="C153" s="71" t="s">
        <v>1477</v>
      </c>
      <c r="D153" s="72">
        <v>3.0</v>
      </c>
      <c r="E153" s="61" t="s">
        <v>731</v>
      </c>
      <c r="F153" s="62" t="s">
        <v>675</v>
      </c>
      <c r="G153" s="70">
        <v>0.011979166666666667</v>
      </c>
    </row>
    <row r="154">
      <c r="A154" s="61" t="s">
        <v>1466</v>
      </c>
      <c r="B154" s="61" t="s">
        <v>1476</v>
      </c>
      <c r="C154" s="65" t="s">
        <v>1477</v>
      </c>
      <c r="D154" s="66">
        <v>3.0</v>
      </c>
      <c r="E154" s="65" t="s">
        <v>731</v>
      </c>
      <c r="F154" s="67" t="s">
        <v>677</v>
      </c>
      <c r="G154" s="68">
        <v>0.006122685185185185</v>
      </c>
    </row>
    <row r="155">
      <c r="A155" s="61" t="s">
        <v>1466</v>
      </c>
      <c r="B155" s="61" t="s">
        <v>1476</v>
      </c>
      <c r="C155" s="61" t="s">
        <v>1477</v>
      </c>
      <c r="D155" s="69">
        <v>3.0</v>
      </c>
      <c r="E155" s="71" t="s">
        <v>731</v>
      </c>
      <c r="F155" s="71" t="s">
        <v>679</v>
      </c>
      <c r="G155" s="64">
        <v>0.011041666666666667</v>
      </c>
    </row>
    <row r="156">
      <c r="A156" s="61" t="s">
        <v>1466</v>
      </c>
      <c r="B156" s="61" t="s">
        <v>1476</v>
      </c>
      <c r="C156" s="71" t="s">
        <v>1477</v>
      </c>
      <c r="D156" s="72">
        <v>3.0</v>
      </c>
      <c r="E156" s="62" t="s">
        <v>731</v>
      </c>
      <c r="F156" s="61" t="s">
        <v>728</v>
      </c>
      <c r="G156" s="64">
        <v>0.00869212962962963</v>
      </c>
    </row>
    <row r="157">
      <c r="A157" s="61" t="s">
        <v>1466</v>
      </c>
      <c r="B157" s="61" t="s">
        <v>1476</v>
      </c>
      <c r="C157" s="71" t="s">
        <v>1477</v>
      </c>
      <c r="D157" s="72">
        <v>3.0</v>
      </c>
      <c r="E157" s="73" t="s">
        <v>731</v>
      </c>
      <c r="F157" s="61" t="s">
        <v>732</v>
      </c>
      <c r="G157" s="70">
        <v>0.0076851851851851855</v>
      </c>
    </row>
    <row r="158">
      <c r="A158" s="61" t="s">
        <v>1466</v>
      </c>
      <c r="B158" s="61" t="s">
        <v>1476</v>
      </c>
      <c r="C158" s="61" t="s">
        <v>1477</v>
      </c>
      <c r="D158" s="74">
        <v>3.0</v>
      </c>
      <c r="E158" s="71" t="s">
        <v>731</v>
      </c>
      <c r="F158" s="71" t="s">
        <v>734</v>
      </c>
      <c r="G158" s="64">
        <v>0.005497685185185185</v>
      </c>
    </row>
    <row r="159">
      <c r="A159" s="61" t="s">
        <v>1466</v>
      </c>
      <c r="B159" s="61" t="s">
        <v>1476</v>
      </c>
      <c r="C159" s="71" t="s">
        <v>1477</v>
      </c>
      <c r="D159" s="72">
        <v>3.0</v>
      </c>
      <c r="E159" s="61" t="s">
        <v>731</v>
      </c>
      <c r="F159" s="61" t="s">
        <v>1183</v>
      </c>
      <c r="G159" s="70">
        <v>0.007476851851851852</v>
      </c>
    </row>
    <row r="160">
      <c r="A160" s="61" t="s">
        <v>1466</v>
      </c>
      <c r="B160" s="61" t="s">
        <v>1476</v>
      </c>
      <c r="C160" s="71" t="s">
        <v>1477</v>
      </c>
      <c r="D160" s="72">
        <v>3.0</v>
      </c>
      <c r="E160" s="61" t="s">
        <v>731</v>
      </c>
      <c r="F160" s="73" t="s">
        <v>736</v>
      </c>
      <c r="G160" s="77">
        <v>0.05555555555555555</v>
      </c>
    </row>
    <row r="161">
      <c r="A161" s="61" t="s">
        <v>1466</v>
      </c>
      <c r="B161" s="61" t="s">
        <v>1476</v>
      </c>
      <c r="C161" s="71" t="s">
        <v>1477</v>
      </c>
      <c r="D161" s="72">
        <v>4.0</v>
      </c>
      <c r="E161" s="73" t="s">
        <v>739</v>
      </c>
      <c r="F161" s="61" t="s">
        <v>737</v>
      </c>
      <c r="G161" s="70">
        <v>0.0029976851851851853</v>
      </c>
    </row>
    <row r="162">
      <c r="A162" s="61" t="s">
        <v>1466</v>
      </c>
      <c r="B162" s="61" t="s">
        <v>1476</v>
      </c>
      <c r="C162" s="71" t="s">
        <v>1477</v>
      </c>
      <c r="D162" s="72">
        <v>4.0</v>
      </c>
      <c r="E162" s="73" t="s">
        <v>739</v>
      </c>
      <c r="F162" s="61" t="s">
        <v>740</v>
      </c>
      <c r="G162" s="70">
        <v>0.0024074074074074076</v>
      </c>
    </row>
    <row r="163">
      <c r="A163" s="61" t="s">
        <v>1466</v>
      </c>
      <c r="B163" s="61" t="s">
        <v>1476</v>
      </c>
      <c r="C163" s="71" t="s">
        <v>1477</v>
      </c>
      <c r="D163" s="74">
        <v>4.0</v>
      </c>
      <c r="E163" s="73" t="s">
        <v>739</v>
      </c>
      <c r="F163" s="61" t="s">
        <v>742</v>
      </c>
      <c r="G163" s="70">
        <v>0.002673611111111111</v>
      </c>
    </row>
    <row r="164">
      <c r="A164" s="61" t="s">
        <v>1466</v>
      </c>
      <c r="B164" s="61" t="s">
        <v>1476</v>
      </c>
      <c r="C164" s="71" t="s">
        <v>1477</v>
      </c>
      <c r="D164" s="74">
        <v>4.0</v>
      </c>
      <c r="E164" s="73" t="s">
        <v>739</v>
      </c>
      <c r="F164" s="61" t="s">
        <v>744</v>
      </c>
      <c r="G164" s="70">
        <v>0.002395833333333333</v>
      </c>
    </row>
    <row r="165">
      <c r="A165" s="61" t="s">
        <v>1466</v>
      </c>
      <c r="B165" s="61" t="s">
        <v>1476</v>
      </c>
      <c r="C165" s="71" t="s">
        <v>1477</v>
      </c>
      <c r="D165" s="74">
        <v>4.0</v>
      </c>
      <c r="E165" s="73" t="s">
        <v>739</v>
      </c>
      <c r="F165" s="73" t="s">
        <v>746</v>
      </c>
      <c r="G165" s="77">
        <v>0.05555555555555555</v>
      </c>
    </row>
    <row r="166">
      <c r="A166" s="61" t="s">
        <v>1466</v>
      </c>
      <c r="B166" s="61" t="s">
        <v>1476</v>
      </c>
      <c r="C166" s="71" t="s">
        <v>1477</v>
      </c>
      <c r="D166" s="72">
        <v>5.0</v>
      </c>
      <c r="E166" s="61" t="s">
        <v>749</v>
      </c>
      <c r="F166" s="62" t="s">
        <v>704</v>
      </c>
      <c r="G166" s="70">
        <v>0.014212962962962964</v>
      </c>
    </row>
    <row r="167">
      <c r="A167" s="61" t="s">
        <v>1466</v>
      </c>
      <c r="B167" s="61" t="s">
        <v>1476</v>
      </c>
      <c r="C167" s="71" t="s">
        <v>1477</v>
      </c>
      <c r="D167" s="72">
        <v>5.0</v>
      </c>
      <c r="E167" s="73" t="s">
        <v>749</v>
      </c>
      <c r="F167" s="61" t="s">
        <v>707</v>
      </c>
      <c r="G167" s="70">
        <v>0.01885416666666667</v>
      </c>
    </row>
    <row r="168">
      <c r="A168" s="61" t="s">
        <v>1466</v>
      </c>
      <c r="B168" s="61" t="s">
        <v>1476</v>
      </c>
      <c r="C168" s="71" t="s">
        <v>1477</v>
      </c>
      <c r="D168" s="72">
        <v>5.0</v>
      </c>
      <c r="E168" s="73" t="s">
        <v>749</v>
      </c>
      <c r="F168" s="61" t="s">
        <v>747</v>
      </c>
      <c r="G168" s="70">
        <v>0.008680555555555556</v>
      </c>
    </row>
    <row r="169">
      <c r="A169" s="61" t="s">
        <v>1466</v>
      </c>
      <c r="B169" s="61" t="s">
        <v>1476</v>
      </c>
      <c r="C169" s="71" t="s">
        <v>1477</v>
      </c>
      <c r="D169" s="72">
        <v>5.0</v>
      </c>
      <c r="E169" s="73" t="s">
        <v>749</v>
      </c>
      <c r="F169" s="61" t="s">
        <v>1190</v>
      </c>
      <c r="G169" s="70">
        <v>0.007094907407407407</v>
      </c>
    </row>
    <row r="170">
      <c r="A170" s="61" t="s">
        <v>1466</v>
      </c>
      <c r="B170" s="61" t="s">
        <v>1476</v>
      </c>
      <c r="C170" s="71" t="s">
        <v>1477</v>
      </c>
      <c r="D170" s="72">
        <v>5.0</v>
      </c>
      <c r="E170" s="61" t="s">
        <v>749</v>
      </c>
      <c r="F170" s="62" t="s">
        <v>1478</v>
      </c>
      <c r="G170" s="70">
        <v>0.006076388888888889</v>
      </c>
    </row>
    <row r="171">
      <c r="A171" s="61" t="s">
        <v>1466</v>
      </c>
      <c r="B171" s="61" t="s">
        <v>1476</v>
      </c>
      <c r="C171" s="71" t="s">
        <v>1477</v>
      </c>
      <c r="D171" s="72">
        <v>5.0</v>
      </c>
      <c r="E171" s="61" t="s">
        <v>749</v>
      </c>
      <c r="F171" s="62" t="s">
        <v>750</v>
      </c>
      <c r="G171" s="70">
        <v>0.005300925925925926</v>
      </c>
    </row>
    <row r="172">
      <c r="A172" s="61" t="s">
        <v>1466</v>
      </c>
      <c r="B172" s="61" t="s">
        <v>1476</v>
      </c>
      <c r="C172" s="71" t="s">
        <v>1477</v>
      </c>
      <c r="D172" s="72">
        <v>5.0</v>
      </c>
      <c r="E172" s="73" t="s">
        <v>749</v>
      </c>
      <c r="F172" s="61" t="s">
        <v>752</v>
      </c>
      <c r="G172" s="70">
        <v>0.006574074074074074</v>
      </c>
    </row>
    <row r="173">
      <c r="A173" s="61" t="s">
        <v>1466</v>
      </c>
      <c r="B173" s="61" t="s">
        <v>1476</v>
      </c>
      <c r="C173" s="61" t="s">
        <v>1477</v>
      </c>
      <c r="D173" s="74">
        <v>5.0</v>
      </c>
      <c r="E173" s="71" t="s">
        <v>749</v>
      </c>
      <c r="F173" s="71" t="s">
        <v>754</v>
      </c>
      <c r="G173" s="64">
        <v>0.004837962962962963</v>
      </c>
    </row>
    <row r="174">
      <c r="A174" s="61" t="s">
        <v>1466</v>
      </c>
      <c r="B174" s="61" t="s">
        <v>1476</v>
      </c>
      <c r="C174" s="71" t="s">
        <v>1477</v>
      </c>
      <c r="D174" s="72">
        <v>5.0</v>
      </c>
      <c r="E174" s="73" t="s">
        <v>749</v>
      </c>
      <c r="F174" s="61" t="s">
        <v>756</v>
      </c>
      <c r="G174" s="70">
        <v>0.006851851851851852</v>
      </c>
    </row>
    <row r="175">
      <c r="A175" s="61" t="s">
        <v>1466</v>
      </c>
      <c r="B175" s="61" t="s">
        <v>1476</v>
      </c>
      <c r="C175" s="71" t="s">
        <v>1477</v>
      </c>
      <c r="D175" s="72">
        <v>5.0</v>
      </c>
      <c r="E175" s="73" t="s">
        <v>749</v>
      </c>
      <c r="F175" s="73" t="s">
        <v>709</v>
      </c>
      <c r="G175" s="77">
        <v>0.05555555555555555</v>
      </c>
    </row>
    <row r="176">
      <c r="A176" s="61" t="s">
        <v>1466</v>
      </c>
      <c r="B176" s="61" t="s">
        <v>1476</v>
      </c>
      <c r="C176" s="71" t="s">
        <v>1477</v>
      </c>
      <c r="D176" s="72">
        <v>5.0</v>
      </c>
      <c r="E176" s="73" t="s">
        <v>749</v>
      </c>
      <c r="F176" s="73" t="s">
        <v>1479</v>
      </c>
      <c r="G176" s="77">
        <v>0.05555555555555555</v>
      </c>
    </row>
    <row r="177">
      <c r="A177" s="61" t="s">
        <v>1466</v>
      </c>
      <c r="B177" s="61" t="s">
        <v>1476</v>
      </c>
      <c r="C177" s="71" t="s">
        <v>1480</v>
      </c>
      <c r="D177" s="72">
        <v>1.0</v>
      </c>
      <c r="E177" s="73" t="s">
        <v>453</v>
      </c>
      <c r="F177" s="61" t="s">
        <v>758</v>
      </c>
      <c r="G177" s="70">
        <v>0.017511574074074075</v>
      </c>
    </row>
    <row r="178">
      <c r="A178" s="61" t="s">
        <v>1466</v>
      </c>
      <c r="B178" s="61" t="s">
        <v>1476</v>
      </c>
      <c r="C178" s="73" t="s">
        <v>1480</v>
      </c>
      <c r="D178" s="74">
        <v>1.0</v>
      </c>
      <c r="E178" s="71" t="s">
        <v>453</v>
      </c>
      <c r="F178" s="71" t="s">
        <v>451</v>
      </c>
      <c r="G178" s="64">
        <v>0.002662037037037037</v>
      </c>
    </row>
    <row r="179">
      <c r="A179" s="61" t="s">
        <v>1466</v>
      </c>
      <c r="B179" s="61" t="s">
        <v>1476</v>
      </c>
      <c r="C179" s="71" t="s">
        <v>1480</v>
      </c>
      <c r="D179" s="74">
        <v>1.0</v>
      </c>
      <c r="E179" s="73" t="s">
        <v>453</v>
      </c>
      <c r="F179" s="61" t="s">
        <v>454</v>
      </c>
      <c r="G179" s="64">
        <v>7.986111111111112E-4</v>
      </c>
    </row>
    <row r="180">
      <c r="A180" s="61" t="s">
        <v>1466</v>
      </c>
      <c r="B180" s="61" t="s">
        <v>1476</v>
      </c>
      <c r="C180" s="65" t="s">
        <v>1480</v>
      </c>
      <c r="D180" s="66">
        <v>1.0</v>
      </c>
      <c r="E180" s="65" t="s">
        <v>453</v>
      </c>
      <c r="F180" s="67" t="s">
        <v>458</v>
      </c>
      <c r="G180" s="68">
        <v>7.986111111111112E-4</v>
      </c>
    </row>
    <row r="181">
      <c r="A181" s="61" t="s">
        <v>1466</v>
      </c>
      <c r="B181" s="61" t="s">
        <v>1476</v>
      </c>
      <c r="C181" s="65" t="s">
        <v>1480</v>
      </c>
      <c r="D181" s="66">
        <v>1.0</v>
      </c>
      <c r="E181" s="65" t="s">
        <v>453</v>
      </c>
      <c r="F181" s="71" t="s">
        <v>760</v>
      </c>
      <c r="G181" s="70">
        <v>0.041666666666666664</v>
      </c>
    </row>
    <row r="182">
      <c r="A182" s="61" t="s">
        <v>1466</v>
      </c>
      <c r="B182" s="61" t="s">
        <v>1476</v>
      </c>
      <c r="C182" s="71" t="s">
        <v>1480</v>
      </c>
      <c r="D182" s="69">
        <v>2.0</v>
      </c>
      <c r="E182" s="61" t="s">
        <v>462</v>
      </c>
      <c r="F182" s="61" t="s">
        <v>462</v>
      </c>
      <c r="G182" s="64">
        <v>0.005127314814814815</v>
      </c>
    </row>
    <row r="183">
      <c r="A183" s="61" t="s">
        <v>1466</v>
      </c>
      <c r="B183" s="61" t="s">
        <v>1476</v>
      </c>
      <c r="C183" s="71" t="s">
        <v>1480</v>
      </c>
      <c r="D183" s="69">
        <v>2.0</v>
      </c>
      <c r="E183" s="73" t="s">
        <v>462</v>
      </c>
      <c r="F183" s="61" t="s">
        <v>460</v>
      </c>
      <c r="G183" s="64">
        <v>9.375E-4</v>
      </c>
    </row>
    <row r="184">
      <c r="A184" s="61" t="s">
        <v>1466</v>
      </c>
      <c r="B184" s="61" t="s">
        <v>1476</v>
      </c>
      <c r="C184" s="71" t="s">
        <v>1480</v>
      </c>
      <c r="D184" s="69">
        <v>2.0</v>
      </c>
      <c r="E184" s="73" t="s">
        <v>462</v>
      </c>
      <c r="F184" s="61" t="s">
        <v>463</v>
      </c>
      <c r="G184" s="64">
        <v>0.001863425925925926</v>
      </c>
    </row>
    <row r="185">
      <c r="A185" s="61" t="s">
        <v>1466</v>
      </c>
      <c r="B185" s="61" t="s">
        <v>1476</v>
      </c>
      <c r="C185" s="71" t="s">
        <v>1480</v>
      </c>
      <c r="D185" s="69">
        <v>2.0</v>
      </c>
      <c r="E185" s="61" t="s">
        <v>462</v>
      </c>
      <c r="F185" s="62" t="s">
        <v>465</v>
      </c>
      <c r="G185" s="70">
        <v>6.828703703703704E-4</v>
      </c>
    </row>
    <row r="186">
      <c r="A186" s="61" t="s">
        <v>1466</v>
      </c>
      <c r="B186" s="61" t="s">
        <v>1476</v>
      </c>
      <c r="C186" s="71" t="s">
        <v>1480</v>
      </c>
      <c r="D186" s="69">
        <v>2.0</v>
      </c>
      <c r="E186" s="61" t="s">
        <v>462</v>
      </c>
      <c r="F186" s="61" t="s">
        <v>762</v>
      </c>
      <c r="G186" s="64">
        <v>7.407407407407407E-4</v>
      </c>
    </row>
    <row r="187">
      <c r="A187" s="61" t="s">
        <v>1466</v>
      </c>
      <c r="B187" s="61" t="s">
        <v>1476</v>
      </c>
      <c r="C187" s="61" t="s">
        <v>1480</v>
      </c>
      <c r="D187" s="69">
        <v>2.0</v>
      </c>
      <c r="E187" s="71" t="s">
        <v>462</v>
      </c>
      <c r="F187" s="71" t="s">
        <v>467</v>
      </c>
      <c r="G187" s="64">
        <v>6.134259259259259E-4</v>
      </c>
    </row>
    <row r="188">
      <c r="A188" s="61" t="s">
        <v>1466</v>
      </c>
      <c r="B188" s="61" t="s">
        <v>1476</v>
      </c>
      <c r="C188" s="71" t="s">
        <v>1480</v>
      </c>
      <c r="D188" s="72">
        <v>2.0</v>
      </c>
      <c r="E188" s="61" t="s">
        <v>462</v>
      </c>
      <c r="F188" s="61" t="s">
        <v>469</v>
      </c>
      <c r="G188" s="70">
        <v>9.953703703703704E-4</v>
      </c>
    </row>
    <row r="189">
      <c r="A189" s="61" t="s">
        <v>1466</v>
      </c>
      <c r="B189" s="61" t="s">
        <v>1476</v>
      </c>
      <c r="C189" s="71" t="s">
        <v>1480</v>
      </c>
      <c r="D189" s="72">
        <v>3.0</v>
      </c>
      <c r="E189" s="61" t="s">
        <v>471</v>
      </c>
      <c r="F189" s="61" t="s">
        <v>471</v>
      </c>
      <c r="G189" s="70">
        <v>0.0069560185185185185</v>
      </c>
    </row>
    <row r="190">
      <c r="A190" s="61" t="s">
        <v>1466</v>
      </c>
      <c r="B190" s="61" t="s">
        <v>1476</v>
      </c>
      <c r="C190" s="71" t="s">
        <v>1480</v>
      </c>
      <c r="D190" s="72">
        <v>3.0</v>
      </c>
      <c r="E190" s="61" t="s">
        <v>471</v>
      </c>
      <c r="F190" s="61" t="s">
        <v>764</v>
      </c>
      <c r="G190" s="70">
        <v>5.555555555555556E-4</v>
      </c>
    </row>
    <row r="191">
      <c r="A191" s="61" t="s">
        <v>1466</v>
      </c>
      <c r="B191" s="61" t="s">
        <v>1476</v>
      </c>
      <c r="C191" s="71" t="s">
        <v>1480</v>
      </c>
      <c r="D191" s="72">
        <v>3.0</v>
      </c>
      <c r="E191" s="61" t="s">
        <v>471</v>
      </c>
      <c r="F191" s="61" t="s">
        <v>473</v>
      </c>
      <c r="G191" s="70">
        <v>0.0015393518518518519</v>
      </c>
    </row>
    <row r="192">
      <c r="A192" s="61" t="s">
        <v>1466</v>
      </c>
      <c r="B192" s="61" t="s">
        <v>1476</v>
      </c>
      <c r="C192" s="71" t="s">
        <v>1480</v>
      </c>
      <c r="D192" s="72">
        <v>3.0</v>
      </c>
      <c r="E192" s="61" t="s">
        <v>471</v>
      </c>
      <c r="F192" s="61" t="s">
        <v>475</v>
      </c>
      <c r="G192" s="70">
        <v>5.671296296296297E-4</v>
      </c>
    </row>
    <row r="193">
      <c r="A193" s="61" t="s">
        <v>1466</v>
      </c>
      <c r="B193" s="61" t="s">
        <v>1476</v>
      </c>
      <c r="C193" s="71" t="s">
        <v>1480</v>
      </c>
      <c r="D193" s="72">
        <v>3.0</v>
      </c>
      <c r="E193" s="61" t="s">
        <v>471</v>
      </c>
      <c r="F193" s="61" t="s">
        <v>477</v>
      </c>
      <c r="G193" s="77">
        <v>0.05555555555555555</v>
      </c>
    </row>
    <row r="194">
      <c r="A194" s="61" t="s">
        <v>1466</v>
      </c>
      <c r="B194" s="61" t="s">
        <v>1476</v>
      </c>
      <c r="C194" s="71" t="s">
        <v>1480</v>
      </c>
      <c r="D194" s="74">
        <v>4.0</v>
      </c>
      <c r="E194" s="73" t="s">
        <v>480</v>
      </c>
      <c r="F194" s="61" t="s">
        <v>478</v>
      </c>
      <c r="G194" s="70">
        <v>0.004074074074074074</v>
      </c>
    </row>
    <row r="195">
      <c r="A195" s="61" t="s">
        <v>1466</v>
      </c>
      <c r="B195" s="61" t="s">
        <v>1476</v>
      </c>
      <c r="C195" s="71" t="s">
        <v>1480</v>
      </c>
      <c r="D195" s="74">
        <v>4.0</v>
      </c>
      <c r="E195" s="61" t="s">
        <v>480</v>
      </c>
      <c r="F195" s="62" t="s">
        <v>481</v>
      </c>
      <c r="G195" s="70">
        <v>0.014212962962962964</v>
      </c>
    </row>
    <row r="196">
      <c r="A196" s="61" t="s">
        <v>1466</v>
      </c>
      <c r="B196" s="61" t="s">
        <v>1476</v>
      </c>
      <c r="C196" s="61" t="s">
        <v>1480</v>
      </c>
      <c r="D196" s="74">
        <v>4.0</v>
      </c>
      <c r="E196" s="71" t="s">
        <v>480</v>
      </c>
      <c r="F196" s="71" t="s">
        <v>483</v>
      </c>
      <c r="G196" s="64">
        <v>0.0015277777777777779</v>
      </c>
    </row>
    <row r="197">
      <c r="A197" s="61" t="s">
        <v>1466</v>
      </c>
      <c r="B197" s="61" t="s">
        <v>1476</v>
      </c>
      <c r="C197" s="71" t="s">
        <v>1480</v>
      </c>
      <c r="D197" s="72">
        <v>4.0</v>
      </c>
      <c r="E197" s="73" t="s">
        <v>480</v>
      </c>
      <c r="F197" s="61" t="s">
        <v>485</v>
      </c>
      <c r="G197" s="70">
        <v>0.0010648148148148149</v>
      </c>
    </row>
    <row r="198">
      <c r="A198" s="61" t="s">
        <v>1466</v>
      </c>
      <c r="B198" s="61" t="s">
        <v>1476</v>
      </c>
      <c r="C198" s="71" t="s">
        <v>1480</v>
      </c>
      <c r="D198" s="72">
        <v>4.0</v>
      </c>
      <c r="E198" s="73" t="s">
        <v>480</v>
      </c>
      <c r="F198" s="73" t="s">
        <v>489</v>
      </c>
      <c r="G198" s="77">
        <v>0.05555555555555555</v>
      </c>
    </row>
    <row r="199">
      <c r="A199" s="61" t="s">
        <v>1466</v>
      </c>
      <c r="B199" s="61" t="s">
        <v>1476</v>
      </c>
      <c r="C199" s="71" t="s">
        <v>1399</v>
      </c>
      <c r="D199" s="72">
        <v>1.0</v>
      </c>
      <c r="E199" s="73" t="s">
        <v>493</v>
      </c>
      <c r="F199" s="61" t="s">
        <v>766</v>
      </c>
      <c r="G199" s="70">
        <v>0.005462962962962963</v>
      </c>
    </row>
    <row r="200">
      <c r="A200" s="61" t="s">
        <v>1466</v>
      </c>
      <c r="B200" s="61" t="s">
        <v>1476</v>
      </c>
      <c r="C200" s="71" t="s">
        <v>1399</v>
      </c>
      <c r="D200" s="72">
        <v>1.0</v>
      </c>
      <c r="E200" s="73" t="s">
        <v>493</v>
      </c>
      <c r="F200" s="61" t="s">
        <v>490</v>
      </c>
      <c r="G200" s="70">
        <v>0.0026967592592592594</v>
      </c>
    </row>
    <row r="201">
      <c r="A201" s="61" t="s">
        <v>1466</v>
      </c>
      <c r="B201" s="61" t="s">
        <v>1476</v>
      </c>
      <c r="C201" s="71" t="s">
        <v>1399</v>
      </c>
      <c r="D201" s="74">
        <v>1.0</v>
      </c>
      <c r="E201" s="73" t="s">
        <v>493</v>
      </c>
      <c r="F201" s="61" t="s">
        <v>494</v>
      </c>
      <c r="G201" s="70">
        <v>0.015439814814814814</v>
      </c>
    </row>
    <row r="202">
      <c r="A202" s="61" t="s">
        <v>1466</v>
      </c>
      <c r="B202" s="61" t="s">
        <v>1476</v>
      </c>
      <c r="C202" s="71" t="s">
        <v>1399</v>
      </c>
      <c r="D202" s="74">
        <v>1.0</v>
      </c>
      <c r="E202" s="73" t="s">
        <v>493</v>
      </c>
      <c r="F202" s="61" t="s">
        <v>1400</v>
      </c>
      <c r="G202" s="64">
        <v>0.028819444444444446</v>
      </c>
    </row>
    <row r="203">
      <c r="A203" s="61" t="s">
        <v>1466</v>
      </c>
      <c r="B203" s="61" t="s">
        <v>1476</v>
      </c>
      <c r="C203" s="71" t="s">
        <v>1399</v>
      </c>
      <c r="D203" s="74">
        <v>1.0</v>
      </c>
      <c r="E203" s="73" t="s">
        <v>493</v>
      </c>
      <c r="F203" s="61" t="s">
        <v>496</v>
      </c>
      <c r="G203" s="64">
        <v>0.010324074074074074</v>
      </c>
    </row>
    <row r="204">
      <c r="A204" s="61" t="s">
        <v>1466</v>
      </c>
      <c r="B204" s="61" t="s">
        <v>1476</v>
      </c>
      <c r="C204" s="71" t="s">
        <v>1399</v>
      </c>
      <c r="D204" s="74">
        <v>1.0</v>
      </c>
      <c r="E204" s="73" t="s">
        <v>493</v>
      </c>
      <c r="F204" s="61" t="s">
        <v>498</v>
      </c>
      <c r="G204" s="64">
        <v>0.013761574074074074</v>
      </c>
    </row>
    <row r="205">
      <c r="A205" s="61" t="s">
        <v>1466</v>
      </c>
      <c r="B205" s="61" t="s">
        <v>1476</v>
      </c>
      <c r="C205" s="71" t="s">
        <v>1399</v>
      </c>
      <c r="D205" s="74">
        <v>1.0</v>
      </c>
      <c r="E205" s="61" t="s">
        <v>493</v>
      </c>
      <c r="F205" s="62" t="s">
        <v>768</v>
      </c>
      <c r="G205" s="64">
        <v>0.00883101851851852</v>
      </c>
    </row>
    <row r="206">
      <c r="A206" s="61" t="s">
        <v>1466</v>
      </c>
      <c r="B206" s="61" t="s">
        <v>1476</v>
      </c>
      <c r="C206" s="73" t="s">
        <v>1399</v>
      </c>
      <c r="D206" s="74">
        <v>2.0</v>
      </c>
      <c r="E206" s="71" t="s">
        <v>503</v>
      </c>
      <c r="F206" s="71" t="s">
        <v>500</v>
      </c>
      <c r="G206" s="64">
        <v>0.007893518518518518</v>
      </c>
    </row>
    <row r="207">
      <c r="A207" s="61" t="s">
        <v>1466</v>
      </c>
      <c r="B207" s="61" t="s">
        <v>1476</v>
      </c>
      <c r="C207" s="71" t="s">
        <v>1399</v>
      </c>
      <c r="D207" s="72">
        <v>2.0</v>
      </c>
      <c r="E207" s="73" t="s">
        <v>503</v>
      </c>
      <c r="F207" s="61" t="s">
        <v>504</v>
      </c>
      <c r="G207" s="64">
        <v>0.007789351851851852</v>
      </c>
    </row>
    <row r="208">
      <c r="A208" s="61" t="s">
        <v>1466</v>
      </c>
      <c r="B208" s="61" t="s">
        <v>1476</v>
      </c>
      <c r="C208" s="71" t="s">
        <v>1399</v>
      </c>
      <c r="D208" s="72">
        <v>2.0</v>
      </c>
      <c r="E208" s="73" t="s">
        <v>503</v>
      </c>
      <c r="F208" s="61" t="s">
        <v>506</v>
      </c>
      <c r="G208" s="64">
        <v>0.003275462962962963</v>
      </c>
    </row>
    <row r="209">
      <c r="A209" s="61" t="s">
        <v>1466</v>
      </c>
      <c r="B209" s="61" t="s">
        <v>1476</v>
      </c>
      <c r="C209" s="71" t="s">
        <v>1399</v>
      </c>
      <c r="D209" s="72">
        <v>2.0</v>
      </c>
      <c r="E209" s="73" t="s">
        <v>503</v>
      </c>
      <c r="F209" s="61" t="s">
        <v>508</v>
      </c>
      <c r="G209" s="64">
        <v>0.014953703703703703</v>
      </c>
    </row>
    <row r="210">
      <c r="A210" s="61" t="s">
        <v>1466</v>
      </c>
      <c r="B210" s="61" t="s">
        <v>1476</v>
      </c>
      <c r="C210" s="71" t="s">
        <v>1399</v>
      </c>
      <c r="D210" s="72">
        <v>2.0</v>
      </c>
      <c r="E210" s="73" t="s">
        <v>503</v>
      </c>
      <c r="F210" s="61" t="s">
        <v>510</v>
      </c>
      <c r="G210" s="64">
        <v>0.01744212962962963</v>
      </c>
    </row>
    <row r="211">
      <c r="A211" s="61" t="s">
        <v>1466</v>
      </c>
      <c r="B211" s="61" t="s">
        <v>1476</v>
      </c>
      <c r="C211" s="61" t="s">
        <v>1399</v>
      </c>
      <c r="D211" s="74">
        <v>3.0</v>
      </c>
      <c r="E211" s="61" t="s">
        <v>516</v>
      </c>
      <c r="F211" s="62" t="s">
        <v>514</v>
      </c>
      <c r="G211" s="64">
        <v>0.011620370370370371</v>
      </c>
    </row>
    <row r="212">
      <c r="A212" s="61" t="s">
        <v>1466</v>
      </c>
      <c r="B212" s="61" t="s">
        <v>1476</v>
      </c>
      <c r="C212" s="61" t="s">
        <v>1399</v>
      </c>
      <c r="D212" s="74">
        <v>3.0</v>
      </c>
      <c r="E212" s="71" t="s">
        <v>516</v>
      </c>
      <c r="F212" s="71" t="s">
        <v>517</v>
      </c>
      <c r="G212" s="64">
        <v>0.015277777777777777</v>
      </c>
    </row>
    <row r="213">
      <c r="A213" s="61" t="s">
        <v>1466</v>
      </c>
      <c r="B213" s="61" t="s">
        <v>1476</v>
      </c>
      <c r="C213" s="71" t="s">
        <v>1399</v>
      </c>
      <c r="D213" s="72">
        <v>3.0</v>
      </c>
      <c r="E213" s="61" t="s">
        <v>516</v>
      </c>
      <c r="F213" s="61" t="s">
        <v>519</v>
      </c>
      <c r="G213" s="64">
        <v>0.01105324074074074</v>
      </c>
    </row>
    <row r="214">
      <c r="A214" s="61" t="s">
        <v>1466</v>
      </c>
      <c r="B214" s="61" t="s">
        <v>1476</v>
      </c>
      <c r="C214" s="71" t="s">
        <v>1399</v>
      </c>
      <c r="D214" s="72">
        <v>3.0</v>
      </c>
      <c r="E214" s="61" t="s">
        <v>516</v>
      </c>
      <c r="F214" s="61" t="s">
        <v>521</v>
      </c>
      <c r="G214" s="77">
        <v>0.05555555555555555</v>
      </c>
    </row>
    <row r="215">
      <c r="A215" s="61" t="s">
        <v>1466</v>
      </c>
      <c r="B215" s="61" t="s">
        <v>1476</v>
      </c>
      <c r="C215" s="71" t="s">
        <v>1399</v>
      </c>
      <c r="D215" s="72">
        <v>4.0</v>
      </c>
      <c r="E215" s="73" t="s">
        <v>524</v>
      </c>
      <c r="F215" s="61" t="s">
        <v>522</v>
      </c>
      <c r="G215" s="70">
        <v>0.010868055555555556</v>
      </c>
    </row>
    <row r="216">
      <c r="A216" s="61" t="s">
        <v>1466</v>
      </c>
      <c r="B216" s="61" t="s">
        <v>1476</v>
      </c>
      <c r="C216" s="71" t="s">
        <v>1399</v>
      </c>
      <c r="D216" s="72">
        <v>4.0</v>
      </c>
      <c r="E216" s="73" t="s">
        <v>524</v>
      </c>
      <c r="F216" s="61" t="s">
        <v>525</v>
      </c>
      <c r="G216" s="70">
        <v>0.01457175925925926</v>
      </c>
    </row>
    <row r="217">
      <c r="A217" s="61" t="s">
        <v>1466</v>
      </c>
      <c r="B217" s="61" t="s">
        <v>1476</v>
      </c>
      <c r="C217" s="71" t="s">
        <v>1399</v>
      </c>
      <c r="D217" s="72">
        <v>4.0</v>
      </c>
      <c r="E217" s="73" t="s">
        <v>524</v>
      </c>
      <c r="F217" s="61" t="s">
        <v>527</v>
      </c>
      <c r="G217" s="70">
        <v>0.00755787037037037</v>
      </c>
    </row>
    <row r="218">
      <c r="A218" s="61" t="s">
        <v>1466</v>
      </c>
      <c r="B218" s="61" t="s">
        <v>1476</v>
      </c>
      <c r="C218" s="71" t="s">
        <v>1399</v>
      </c>
      <c r="D218" s="72">
        <v>4.0</v>
      </c>
      <c r="E218" s="73" t="s">
        <v>524</v>
      </c>
      <c r="F218" s="61" t="s">
        <v>529</v>
      </c>
      <c r="G218" s="70">
        <v>0.005</v>
      </c>
    </row>
    <row r="219">
      <c r="A219" s="61" t="s">
        <v>1466</v>
      </c>
      <c r="B219" s="61" t="s">
        <v>1476</v>
      </c>
      <c r="C219" s="71" t="s">
        <v>1399</v>
      </c>
      <c r="D219" s="72">
        <v>4.0</v>
      </c>
      <c r="E219" s="73" t="s">
        <v>524</v>
      </c>
      <c r="F219" s="61" t="s">
        <v>531</v>
      </c>
      <c r="G219" s="70">
        <v>0.011493055555555555</v>
      </c>
    </row>
    <row r="220">
      <c r="A220" s="61" t="s">
        <v>1466</v>
      </c>
      <c r="B220" s="61" t="s">
        <v>1476</v>
      </c>
      <c r="C220" s="71" t="s">
        <v>1399</v>
      </c>
      <c r="D220" s="72">
        <v>4.0</v>
      </c>
      <c r="E220" s="73" t="s">
        <v>524</v>
      </c>
      <c r="F220" s="61" t="s">
        <v>533</v>
      </c>
      <c r="G220" s="70">
        <v>0.0038773148148148148</v>
      </c>
    </row>
    <row r="221">
      <c r="A221" s="61" t="s">
        <v>1466</v>
      </c>
      <c r="B221" s="61" t="s">
        <v>1476</v>
      </c>
      <c r="C221" s="71" t="s">
        <v>1399</v>
      </c>
      <c r="D221" s="72">
        <v>4.0</v>
      </c>
      <c r="E221" s="73" t="s">
        <v>524</v>
      </c>
      <c r="F221" s="61" t="s">
        <v>535</v>
      </c>
      <c r="G221" s="70">
        <v>0.002951388888888889</v>
      </c>
    </row>
    <row r="222">
      <c r="A222" s="61" t="s">
        <v>1466</v>
      </c>
      <c r="B222" s="61" t="s">
        <v>1476</v>
      </c>
      <c r="C222" s="71" t="s">
        <v>1399</v>
      </c>
      <c r="D222" s="72">
        <v>4.0</v>
      </c>
      <c r="E222" s="61" t="s">
        <v>524</v>
      </c>
      <c r="F222" s="62" t="s">
        <v>537</v>
      </c>
      <c r="G222" s="70">
        <v>0.012997685185185185</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2.56"/>
    <col customWidth="1" min="2" max="2" width="23.0"/>
    <col customWidth="1" min="3" max="3" width="28.11"/>
    <col customWidth="1" min="4" max="4" width="7.44"/>
    <col customWidth="1" min="5" max="5" width="31.89"/>
    <col customWidth="1" min="6" max="6" width="48.89"/>
    <col customWidth="1" min="7" max="7" width="7.44"/>
  </cols>
  <sheetData>
    <row r="1">
      <c r="A1" s="87" t="s">
        <v>1355</v>
      </c>
      <c r="B1" s="87" t="s">
        <v>1376</v>
      </c>
      <c r="C1" s="88" t="s">
        <v>1356</v>
      </c>
      <c r="D1" s="88" t="s">
        <v>1357</v>
      </c>
      <c r="E1" s="88" t="s">
        <v>13</v>
      </c>
      <c r="F1" s="88" t="s">
        <v>1359</v>
      </c>
      <c r="G1" s="88" t="s">
        <v>1360</v>
      </c>
    </row>
    <row r="2">
      <c r="A2" s="89" t="s">
        <v>1481</v>
      </c>
      <c r="B2" s="89" t="s">
        <v>1482</v>
      </c>
      <c r="C2" s="90" t="s">
        <v>1483</v>
      </c>
      <c r="D2" s="91">
        <v>1.0</v>
      </c>
      <c r="E2" s="90" t="s">
        <v>773</v>
      </c>
      <c r="F2" s="90" t="s">
        <v>770</v>
      </c>
      <c r="G2" s="92">
        <v>0.010428240740740741</v>
      </c>
    </row>
    <row r="3">
      <c r="A3" s="89" t="s">
        <v>1481</v>
      </c>
      <c r="B3" s="89" t="s">
        <v>1482</v>
      </c>
      <c r="C3" s="90" t="s">
        <v>1483</v>
      </c>
      <c r="D3" s="91">
        <v>1.0</v>
      </c>
      <c r="E3" s="90" t="s">
        <v>773</v>
      </c>
      <c r="F3" s="90" t="s">
        <v>710</v>
      </c>
      <c r="G3" s="92">
        <v>0.014224537037037037</v>
      </c>
    </row>
    <row r="4">
      <c r="A4" s="89" t="s">
        <v>1481</v>
      </c>
      <c r="B4" s="89" t="s">
        <v>1482</v>
      </c>
      <c r="C4" s="90" t="s">
        <v>1483</v>
      </c>
      <c r="D4" s="91">
        <v>1.0</v>
      </c>
      <c r="E4" s="90" t="s">
        <v>773</v>
      </c>
      <c r="F4" s="90" t="s">
        <v>1484</v>
      </c>
      <c r="G4" s="92">
        <v>0.010555555555555556</v>
      </c>
    </row>
    <row r="5">
      <c r="A5" s="89" t="s">
        <v>1481</v>
      </c>
      <c r="B5" s="89" t="s">
        <v>1482</v>
      </c>
      <c r="C5" s="90" t="s">
        <v>1483</v>
      </c>
      <c r="D5" s="91">
        <v>2.0</v>
      </c>
      <c r="E5" s="90" t="s">
        <v>776</v>
      </c>
      <c r="F5" s="90" t="s">
        <v>774</v>
      </c>
      <c r="G5" s="92">
        <v>0.008599537037037037</v>
      </c>
    </row>
    <row r="6">
      <c r="A6" s="89" t="s">
        <v>1481</v>
      </c>
      <c r="B6" s="89" t="s">
        <v>1482</v>
      </c>
      <c r="C6" s="90" t="s">
        <v>1483</v>
      </c>
      <c r="D6" s="91">
        <v>2.0</v>
      </c>
      <c r="E6" s="90" t="s">
        <v>776</v>
      </c>
      <c r="F6" s="90" t="s">
        <v>1485</v>
      </c>
      <c r="G6" s="92">
        <v>0.006759259259259259</v>
      </c>
    </row>
    <row r="7">
      <c r="A7" s="89" t="s">
        <v>1481</v>
      </c>
      <c r="B7" s="89" t="s">
        <v>1482</v>
      </c>
      <c r="C7" s="90" t="s">
        <v>1483</v>
      </c>
      <c r="D7" s="91">
        <v>2.0</v>
      </c>
      <c r="E7" s="90" t="s">
        <v>776</v>
      </c>
      <c r="F7" s="90" t="s">
        <v>777</v>
      </c>
      <c r="G7" s="92">
        <v>0.020833333333333332</v>
      </c>
    </row>
    <row r="8">
      <c r="A8" s="89" t="s">
        <v>1481</v>
      </c>
      <c r="B8" s="89" t="s">
        <v>1482</v>
      </c>
      <c r="C8" s="90" t="s">
        <v>1486</v>
      </c>
      <c r="D8" s="91">
        <v>1.0</v>
      </c>
      <c r="E8" s="90" t="s">
        <v>780</v>
      </c>
      <c r="F8" s="90" t="s">
        <v>778</v>
      </c>
      <c r="G8" s="92">
        <v>0.007465277777777778</v>
      </c>
    </row>
    <row r="9">
      <c r="A9" s="89" t="s">
        <v>1481</v>
      </c>
      <c r="B9" s="89" t="s">
        <v>1482</v>
      </c>
      <c r="C9" s="90" t="s">
        <v>1486</v>
      </c>
      <c r="D9" s="91">
        <v>1.0</v>
      </c>
      <c r="E9" s="90" t="s">
        <v>780</v>
      </c>
      <c r="F9" s="90" t="s">
        <v>781</v>
      </c>
      <c r="G9" s="92">
        <v>0.005324074074074074</v>
      </c>
    </row>
    <row r="10">
      <c r="A10" s="89" t="s">
        <v>1481</v>
      </c>
      <c r="B10" s="89" t="s">
        <v>1482</v>
      </c>
      <c r="C10" s="90" t="s">
        <v>1486</v>
      </c>
      <c r="D10" s="91">
        <v>2.0</v>
      </c>
      <c r="E10" s="90" t="s">
        <v>784</v>
      </c>
      <c r="F10" s="90" t="s">
        <v>783</v>
      </c>
      <c r="G10" s="92">
        <v>0.005509259259259259</v>
      </c>
    </row>
    <row r="11">
      <c r="A11" s="89" t="s">
        <v>1481</v>
      </c>
      <c r="B11" s="89" t="s">
        <v>1482</v>
      </c>
      <c r="C11" s="90" t="s">
        <v>1486</v>
      </c>
      <c r="D11" s="91">
        <v>2.0</v>
      </c>
      <c r="E11" s="90" t="s">
        <v>784</v>
      </c>
      <c r="F11" s="90" t="s">
        <v>785</v>
      </c>
      <c r="G11" s="92">
        <v>0.008506944444444444</v>
      </c>
    </row>
    <row r="12">
      <c r="A12" s="89" t="s">
        <v>1481</v>
      </c>
      <c r="B12" s="89" t="s">
        <v>1482</v>
      </c>
      <c r="C12" s="90" t="s">
        <v>1486</v>
      </c>
      <c r="D12" s="91">
        <v>2.0</v>
      </c>
      <c r="E12" s="90" t="s">
        <v>784</v>
      </c>
      <c r="F12" s="90" t="s">
        <v>1487</v>
      </c>
      <c r="G12" s="92">
        <v>0.005567129629629629</v>
      </c>
    </row>
    <row r="13">
      <c r="A13" s="89" t="s">
        <v>1481</v>
      </c>
      <c r="B13" s="89" t="s">
        <v>1482</v>
      </c>
      <c r="C13" s="90" t="s">
        <v>1486</v>
      </c>
      <c r="D13" s="91">
        <v>2.0</v>
      </c>
      <c r="E13" s="90" t="s">
        <v>784</v>
      </c>
      <c r="F13" s="90" t="s">
        <v>787</v>
      </c>
      <c r="G13" s="92">
        <v>0.005393518518518519</v>
      </c>
    </row>
    <row r="14">
      <c r="A14" s="89" t="s">
        <v>1481</v>
      </c>
      <c r="B14" s="89" t="s">
        <v>1482</v>
      </c>
      <c r="C14" s="90" t="s">
        <v>1486</v>
      </c>
      <c r="D14" s="91">
        <v>2.0</v>
      </c>
      <c r="E14" s="90" t="s">
        <v>784</v>
      </c>
      <c r="F14" s="90" t="s">
        <v>789</v>
      </c>
      <c r="G14" s="92">
        <v>0.010162037037037037</v>
      </c>
    </row>
    <row r="15">
      <c r="A15" s="89" t="s">
        <v>1481</v>
      </c>
      <c r="B15" s="89" t="s">
        <v>1482</v>
      </c>
      <c r="C15" s="90" t="s">
        <v>1486</v>
      </c>
      <c r="D15" s="91">
        <v>2.0</v>
      </c>
      <c r="E15" s="90" t="s">
        <v>784</v>
      </c>
      <c r="F15" s="90" t="s">
        <v>791</v>
      </c>
      <c r="G15" s="92">
        <v>0.00681712962962963</v>
      </c>
    </row>
    <row r="16">
      <c r="A16" s="89" t="s">
        <v>1481</v>
      </c>
      <c r="B16" s="89" t="s">
        <v>1482</v>
      </c>
      <c r="C16" s="90" t="s">
        <v>1486</v>
      </c>
      <c r="D16" s="91">
        <v>2.0</v>
      </c>
      <c r="E16" s="90" t="s">
        <v>784</v>
      </c>
      <c r="F16" s="90" t="s">
        <v>793</v>
      </c>
      <c r="G16" s="92">
        <v>0.001979166666666667</v>
      </c>
    </row>
    <row r="17">
      <c r="A17" s="89" t="s">
        <v>1481</v>
      </c>
      <c r="B17" s="89" t="s">
        <v>1482</v>
      </c>
      <c r="C17" s="90" t="s">
        <v>1486</v>
      </c>
      <c r="D17" s="91">
        <v>2.0</v>
      </c>
      <c r="E17" s="90" t="s">
        <v>784</v>
      </c>
      <c r="F17" s="90" t="s">
        <v>795</v>
      </c>
      <c r="G17" s="92">
        <v>0.020833333333333332</v>
      </c>
    </row>
    <row r="18">
      <c r="A18" s="89" t="s">
        <v>1481</v>
      </c>
      <c r="B18" s="89" t="s">
        <v>1482</v>
      </c>
      <c r="C18" s="90" t="s">
        <v>1486</v>
      </c>
      <c r="D18" s="91">
        <v>3.0</v>
      </c>
      <c r="E18" s="90" t="s">
        <v>798</v>
      </c>
      <c r="F18" s="90" t="s">
        <v>796</v>
      </c>
      <c r="G18" s="92">
        <v>0.006666666666666667</v>
      </c>
    </row>
    <row r="19">
      <c r="A19" s="89" t="s">
        <v>1481</v>
      </c>
      <c r="B19" s="89" t="s">
        <v>1482</v>
      </c>
      <c r="C19" s="90" t="s">
        <v>1486</v>
      </c>
      <c r="D19" s="91">
        <v>3.0</v>
      </c>
      <c r="E19" s="90" t="s">
        <v>798</v>
      </c>
      <c r="F19" s="90" t="s">
        <v>799</v>
      </c>
      <c r="G19" s="92">
        <v>0.00738425925925926</v>
      </c>
    </row>
    <row r="20">
      <c r="A20" s="89" t="s">
        <v>1481</v>
      </c>
      <c r="B20" s="89" t="s">
        <v>1482</v>
      </c>
      <c r="C20" s="90" t="s">
        <v>1486</v>
      </c>
      <c r="D20" s="91">
        <v>3.0</v>
      </c>
      <c r="E20" s="90" t="s">
        <v>798</v>
      </c>
      <c r="F20" s="90" t="s">
        <v>801</v>
      </c>
      <c r="G20" s="92">
        <v>0.004085648148148148</v>
      </c>
    </row>
    <row r="21">
      <c r="A21" s="89" t="s">
        <v>1481</v>
      </c>
      <c r="B21" s="89" t="s">
        <v>1482</v>
      </c>
      <c r="C21" s="90" t="s">
        <v>1486</v>
      </c>
      <c r="D21" s="91">
        <v>3.0</v>
      </c>
      <c r="E21" s="90" t="s">
        <v>798</v>
      </c>
      <c r="F21" s="90" t="s">
        <v>803</v>
      </c>
      <c r="G21" s="92">
        <v>0.020833333333333332</v>
      </c>
    </row>
    <row r="22">
      <c r="A22" s="89" t="s">
        <v>1481</v>
      </c>
      <c r="B22" s="89" t="s">
        <v>1482</v>
      </c>
      <c r="C22" s="90" t="s">
        <v>1486</v>
      </c>
      <c r="D22" s="91">
        <v>3.0</v>
      </c>
      <c r="E22" s="90" t="s">
        <v>798</v>
      </c>
      <c r="F22" s="90" t="s">
        <v>804</v>
      </c>
      <c r="G22" s="92">
        <v>0.020833333333333332</v>
      </c>
    </row>
    <row r="23">
      <c r="A23" s="89" t="s">
        <v>1481</v>
      </c>
      <c r="B23" s="89" t="s">
        <v>1482</v>
      </c>
      <c r="C23" s="90" t="s">
        <v>1486</v>
      </c>
      <c r="D23" s="91">
        <v>4.0</v>
      </c>
      <c r="E23" s="90" t="s">
        <v>807</v>
      </c>
      <c r="F23" s="90" t="s">
        <v>805</v>
      </c>
      <c r="G23" s="92">
        <v>0.0125</v>
      </c>
    </row>
    <row r="24">
      <c r="A24" s="89" t="s">
        <v>1481</v>
      </c>
      <c r="B24" s="89" t="s">
        <v>1482</v>
      </c>
      <c r="C24" s="90" t="s">
        <v>1486</v>
      </c>
      <c r="D24" s="91">
        <v>4.0</v>
      </c>
      <c r="E24" s="90" t="s">
        <v>807</v>
      </c>
      <c r="F24" s="90" t="s">
        <v>808</v>
      </c>
      <c r="G24" s="92">
        <v>0.010578703703703703</v>
      </c>
    </row>
    <row r="25">
      <c r="A25" s="89" t="s">
        <v>1481</v>
      </c>
      <c r="B25" s="89" t="s">
        <v>1482</v>
      </c>
      <c r="C25" s="90" t="s">
        <v>1486</v>
      </c>
      <c r="D25" s="91">
        <v>4.0</v>
      </c>
      <c r="E25" s="90" t="s">
        <v>807</v>
      </c>
      <c r="F25" s="90" t="s">
        <v>810</v>
      </c>
      <c r="G25" s="92">
        <v>0.009432870370370371</v>
      </c>
    </row>
    <row r="26">
      <c r="A26" s="89" t="s">
        <v>1481</v>
      </c>
      <c r="B26" s="89" t="s">
        <v>1482</v>
      </c>
      <c r="C26" s="90" t="s">
        <v>1486</v>
      </c>
      <c r="D26" s="91">
        <v>4.0</v>
      </c>
      <c r="E26" s="90" t="s">
        <v>807</v>
      </c>
      <c r="F26" s="90" t="s">
        <v>812</v>
      </c>
      <c r="G26" s="92">
        <v>0.010972222222222222</v>
      </c>
    </row>
    <row r="27">
      <c r="A27" s="89" t="s">
        <v>1481</v>
      </c>
      <c r="B27" s="89" t="s">
        <v>1482</v>
      </c>
      <c r="C27" s="90" t="s">
        <v>1486</v>
      </c>
      <c r="D27" s="91">
        <v>4.0</v>
      </c>
      <c r="E27" s="90" t="s">
        <v>807</v>
      </c>
      <c r="F27" s="90" t="s">
        <v>814</v>
      </c>
      <c r="G27" s="92">
        <v>0.003310185185185185</v>
      </c>
    </row>
    <row r="28">
      <c r="A28" s="89" t="s">
        <v>1481</v>
      </c>
      <c r="B28" s="89" t="s">
        <v>1482</v>
      </c>
      <c r="C28" s="90" t="s">
        <v>1486</v>
      </c>
      <c r="D28" s="91">
        <v>4.0</v>
      </c>
      <c r="E28" s="90" t="s">
        <v>807</v>
      </c>
      <c r="F28" s="90" t="s">
        <v>1488</v>
      </c>
      <c r="G28" s="92">
        <v>0.009143518518518518</v>
      </c>
    </row>
    <row r="29">
      <c r="A29" s="89" t="s">
        <v>1481</v>
      </c>
      <c r="B29" s="89" t="s">
        <v>1482</v>
      </c>
      <c r="C29" s="90" t="s">
        <v>1486</v>
      </c>
      <c r="D29" s="91">
        <v>4.0</v>
      </c>
      <c r="E29" s="90" t="s">
        <v>807</v>
      </c>
      <c r="F29" s="90" t="s">
        <v>1489</v>
      </c>
      <c r="G29" s="92">
        <v>0.00880787037037037</v>
      </c>
    </row>
    <row r="30">
      <c r="A30" s="89" t="s">
        <v>1481</v>
      </c>
      <c r="B30" s="89" t="s">
        <v>1482</v>
      </c>
      <c r="C30" s="90" t="s">
        <v>1486</v>
      </c>
      <c r="D30" s="91">
        <v>4.0</v>
      </c>
      <c r="E30" s="90" t="s">
        <v>807</v>
      </c>
      <c r="F30" s="90" t="s">
        <v>816</v>
      </c>
      <c r="G30" s="92">
        <v>0.007604166666666667</v>
      </c>
    </row>
    <row r="31">
      <c r="A31" s="89" t="s">
        <v>1481</v>
      </c>
      <c r="B31" s="89" t="s">
        <v>1482</v>
      </c>
      <c r="C31" s="90" t="s">
        <v>1486</v>
      </c>
      <c r="D31" s="91">
        <v>4.0</v>
      </c>
      <c r="E31" s="90" t="s">
        <v>807</v>
      </c>
      <c r="F31" s="90" t="s">
        <v>818</v>
      </c>
      <c r="G31" s="92">
        <v>0.041666666666666664</v>
      </c>
    </row>
    <row r="32">
      <c r="A32" s="89" t="s">
        <v>1481</v>
      </c>
      <c r="B32" s="89" t="s">
        <v>1482</v>
      </c>
      <c r="C32" s="90" t="s">
        <v>1486</v>
      </c>
      <c r="D32" s="91">
        <v>4.0</v>
      </c>
      <c r="E32" s="90" t="s">
        <v>807</v>
      </c>
      <c r="F32" s="90" t="s">
        <v>819</v>
      </c>
      <c r="G32" s="92">
        <v>0.03125</v>
      </c>
    </row>
    <row r="33">
      <c r="A33" s="89" t="s">
        <v>1481</v>
      </c>
      <c r="B33" s="89" t="s">
        <v>1482</v>
      </c>
      <c r="C33" s="90" t="s">
        <v>1490</v>
      </c>
      <c r="D33" s="91">
        <v>1.0</v>
      </c>
      <c r="E33" s="90" t="s">
        <v>822</v>
      </c>
      <c r="F33" s="90" t="s">
        <v>1491</v>
      </c>
      <c r="G33" s="92">
        <v>0.01224537037037037</v>
      </c>
    </row>
    <row r="34">
      <c r="A34" s="89" t="s">
        <v>1481</v>
      </c>
      <c r="B34" s="89" t="s">
        <v>1482</v>
      </c>
      <c r="C34" s="90" t="s">
        <v>1490</v>
      </c>
      <c r="D34" s="91">
        <v>1.0</v>
      </c>
      <c r="E34" s="90" t="s">
        <v>822</v>
      </c>
      <c r="F34" s="90" t="s">
        <v>820</v>
      </c>
      <c r="G34" s="92">
        <v>0.009016203703703703</v>
      </c>
    </row>
    <row r="35">
      <c r="A35" s="89" t="s">
        <v>1481</v>
      </c>
      <c r="B35" s="89" t="s">
        <v>1482</v>
      </c>
      <c r="C35" s="90" t="s">
        <v>1490</v>
      </c>
      <c r="D35" s="91">
        <v>1.0</v>
      </c>
      <c r="E35" s="90" t="s">
        <v>822</v>
      </c>
      <c r="F35" s="90" t="s">
        <v>823</v>
      </c>
      <c r="G35" s="92">
        <v>0.005729166666666666</v>
      </c>
    </row>
    <row r="36">
      <c r="A36" s="89" t="s">
        <v>1481</v>
      </c>
      <c r="B36" s="89" t="s">
        <v>1482</v>
      </c>
      <c r="C36" s="90" t="s">
        <v>1490</v>
      </c>
      <c r="D36" s="91">
        <v>1.0</v>
      </c>
      <c r="E36" s="90" t="s">
        <v>822</v>
      </c>
      <c r="F36" s="90" t="s">
        <v>825</v>
      </c>
      <c r="G36" s="92">
        <v>0.004189814814814815</v>
      </c>
    </row>
    <row r="37">
      <c r="A37" s="89" t="s">
        <v>1481</v>
      </c>
      <c r="B37" s="89" t="s">
        <v>1482</v>
      </c>
      <c r="C37" s="90" t="s">
        <v>1490</v>
      </c>
      <c r="D37" s="91">
        <v>2.0</v>
      </c>
      <c r="E37" s="90" t="s">
        <v>829</v>
      </c>
      <c r="F37" s="90" t="s">
        <v>827</v>
      </c>
      <c r="G37" s="92">
        <v>0.004583333333333333</v>
      </c>
    </row>
    <row r="38">
      <c r="A38" s="89" t="s">
        <v>1481</v>
      </c>
      <c r="B38" s="89" t="s">
        <v>1482</v>
      </c>
      <c r="C38" s="90" t="s">
        <v>1490</v>
      </c>
      <c r="D38" s="91">
        <v>2.0</v>
      </c>
      <c r="E38" s="90" t="s">
        <v>829</v>
      </c>
      <c r="F38" s="90" t="s">
        <v>830</v>
      </c>
      <c r="G38" s="92">
        <v>0.00681712962962963</v>
      </c>
    </row>
    <row r="39">
      <c r="A39" s="89" t="s">
        <v>1481</v>
      </c>
      <c r="B39" s="89" t="s">
        <v>1482</v>
      </c>
      <c r="C39" s="90" t="s">
        <v>1490</v>
      </c>
      <c r="D39" s="91">
        <v>2.0</v>
      </c>
      <c r="E39" s="90" t="s">
        <v>829</v>
      </c>
      <c r="F39" s="90" t="s">
        <v>832</v>
      </c>
      <c r="G39" s="92">
        <v>0.0038657407407407408</v>
      </c>
    </row>
    <row r="40">
      <c r="A40" s="89" t="s">
        <v>1481</v>
      </c>
      <c r="B40" s="89" t="s">
        <v>1482</v>
      </c>
      <c r="C40" s="90" t="s">
        <v>1490</v>
      </c>
      <c r="D40" s="91">
        <v>2.0</v>
      </c>
      <c r="E40" s="90" t="s">
        <v>829</v>
      </c>
      <c r="F40" s="90" t="s">
        <v>1492</v>
      </c>
      <c r="G40" s="92">
        <v>0.011076388888888889</v>
      </c>
    </row>
    <row r="41">
      <c r="A41" s="89" t="s">
        <v>1481</v>
      </c>
      <c r="B41" s="89" t="s">
        <v>1482</v>
      </c>
      <c r="C41" s="90" t="s">
        <v>1490</v>
      </c>
      <c r="D41" s="91">
        <v>2.0</v>
      </c>
      <c r="E41" s="90" t="s">
        <v>829</v>
      </c>
      <c r="F41" s="90" t="s">
        <v>834</v>
      </c>
      <c r="G41" s="92">
        <v>0.003923611111111111</v>
      </c>
    </row>
    <row r="42">
      <c r="A42" s="89" t="s">
        <v>1481</v>
      </c>
      <c r="B42" s="89" t="s">
        <v>1482</v>
      </c>
      <c r="C42" s="90" t="s">
        <v>1490</v>
      </c>
      <c r="D42" s="91">
        <v>3.0</v>
      </c>
      <c r="E42" s="90" t="s">
        <v>838</v>
      </c>
      <c r="F42" s="90" t="s">
        <v>836</v>
      </c>
      <c r="G42" s="92">
        <v>0.0031944444444444446</v>
      </c>
    </row>
    <row r="43">
      <c r="A43" s="89" t="s">
        <v>1481</v>
      </c>
      <c r="B43" s="89" t="s">
        <v>1482</v>
      </c>
      <c r="C43" s="90" t="s">
        <v>1490</v>
      </c>
      <c r="D43" s="91">
        <v>3.0</v>
      </c>
      <c r="E43" s="90" t="s">
        <v>838</v>
      </c>
      <c r="F43" s="90" t="s">
        <v>839</v>
      </c>
      <c r="G43" s="92">
        <v>0.005648148148148148</v>
      </c>
    </row>
    <row r="44">
      <c r="A44" s="89" t="s">
        <v>1481</v>
      </c>
      <c r="B44" s="89" t="s">
        <v>1482</v>
      </c>
      <c r="C44" s="90" t="s">
        <v>1490</v>
      </c>
      <c r="D44" s="91">
        <v>3.0</v>
      </c>
      <c r="E44" s="90" t="s">
        <v>838</v>
      </c>
      <c r="F44" s="90" t="s">
        <v>841</v>
      </c>
      <c r="G44" s="92">
        <v>0.005138888888888889</v>
      </c>
    </row>
    <row r="45">
      <c r="A45" s="89" t="s">
        <v>1481</v>
      </c>
      <c r="B45" s="89" t="s">
        <v>1482</v>
      </c>
      <c r="C45" s="90" t="s">
        <v>1490</v>
      </c>
      <c r="D45" s="91">
        <v>3.0</v>
      </c>
      <c r="E45" s="90" t="s">
        <v>838</v>
      </c>
      <c r="F45" s="90" t="s">
        <v>1493</v>
      </c>
      <c r="G45" s="92">
        <v>0.004340277777777778</v>
      </c>
    </row>
    <row r="46">
      <c r="A46" s="89" t="s">
        <v>1481</v>
      </c>
      <c r="B46" s="89" t="s">
        <v>1482</v>
      </c>
      <c r="C46" s="90" t="s">
        <v>1490</v>
      </c>
      <c r="D46" s="91">
        <v>3.0</v>
      </c>
      <c r="E46" s="90" t="s">
        <v>838</v>
      </c>
      <c r="F46" s="90" t="s">
        <v>843</v>
      </c>
      <c r="G46" s="92">
        <v>0.004884259259259259</v>
      </c>
    </row>
    <row r="47">
      <c r="A47" s="89" t="s">
        <v>1481</v>
      </c>
      <c r="B47" s="89" t="s">
        <v>1482</v>
      </c>
      <c r="C47" s="90" t="s">
        <v>1490</v>
      </c>
      <c r="D47" s="91">
        <v>3.0</v>
      </c>
      <c r="E47" s="90" t="s">
        <v>838</v>
      </c>
      <c r="F47" s="90" t="s">
        <v>845</v>
      </c>
      <c r="G47" s="92">
        <v>0.0625</v>
      </c>
    </row>
    <row r="48">
      <c r="A48" s="89" t="s">
        <v>1481</v>
      </c>
      <c r="B48" s="89" t="s">
        <v>1482</v>
      </c>
      <c r="C48" s="90" t="s">
        <v>1494</v>
      </c>
      <c r="D48" s="91">
        <v>1.0</v>
      </c>
      <c r="E48" s="90" t="s">
        <v>848</v>
      </c>
      <c r="F48" s="90" t="s">
        <v>846</v>
      </c>
      <c r="G48" s="92">
        <v>0.0043287037037037035</v>
      </c>
    </row>
    <row r="49">
      <c r="A49" s="89" t="s">
        <v>1481</v>
      </c>
      <c r="B49" s="89" t="s">
        <v>1482</v>
      </c>
      <c r="C49" s="90" t="s">
        <v>1494</v>
      </c>
      <c r="D49" s="91">
        <v>1.0</v>
      </c>
      <c r="E49" s="90" t="s">
        <v>848</v>
      </c>
      <c r="F49" s="90" t="s">
        <v>849</v>
      </c>
      <c r="G49" s="92">
        <v>0.0020833333333333333</v>
      </c>
    </row>
    <row r="50">
      <c r="A50" s="89" t="s">
        <v>1481</v>
      </c>
      <c r="B50" s="89" t="s">
        <v>1482</v>
      </c>
      <c r="C50" s="90" t="s">
        <v>1494</v>
      </c>
      <c r="D50" s="91">
        <v>1.0</v>
      </c>
      <c r="E50" s="90" t="s">
        <v>848</v>
      </c>
      <c r="F50" s="90" t="s">
        <v>1495</v>
      </c>
      <c r="G50" s="92">
        <v>0.009328703703703704</v>
      </c>
    </row>
    <row r="51">
      <c r="A51" s="89" t="s">
        <v>1481</v>
      </c>
      <c r="B51" s="89" t="s">
        <v>1482</v>
      </c>
      <c r="C51" s="90" t="s">
        <v>1494</v>
      </c>
      <c r="D51" s="91">
        <v>2.0</v>
      </c>
      <c r="E51" s="90" t="s">
        <v>853</v>
      </c>
      <c r="F51" s="90" t="s">
        <v>851</v>
      </c>
      <c r="G51" s="92">
        <v>0.009548611111111112</v>
      </c>
    </row>
    <row r="52">
      <c r="A52" s="89" t="s">
        <v>1481</v>
      </c>
      <c r="B52" s="89" t="s">
        <v>1482</v>
      </c>
      <c r="C52" s="90" t="s">
        <v>1494</v>
      </c>
      <c r="D52" s="91">
        <v>2.0</v>
      </c>
      <c r="E52" s="90" t="s">
        <v>853</v>
      </c>
      <c r="F52" s="90" t="s">
        <v>854</v>
      </c>
      <c r="G52" s="92">
        <v>0.0028125</v>
      </c>
    </row>
    <row r="53">
      <c r="A53" s="89" t="s">
        <v>1481</v>
      </c>
      <c r="B53" s="89" t="s">
        <v>1482</v>
      </c>
      <c r="C53" s="90" t="s">
        <v>1494</v>
      </c>
      <c r="D53" s="91">
        <v>2.0</v>
      </c>
      <c r="E53" s="90" t="s">
        <v>853</v>
      </c>
      <c r="F53" s="90" t="s">
        <v>856</v>
      </c>
      <c r="G53" s="92">
        <v>0.01005787037037037</v>
      </c>
    </row>
    <row r="54">
      <c r="A54" s="89" t="s">
        <v>1481</v>
      </c>
      <c r="B54" s="89" t="s">
        <v>1482</v>
      </c>
      <c r="C54" s="90" t="s">
        <v>1494</v>
      </c>
      <c r="D54" s="91">
        <v>2.0</v>
      </c>
      <c r="E54" s="90" t="s">
        <v>853</v>
      </c>
      <c r="F54" s="90" t="s">
        <v>858</v>
      </c>
      <c r="G54" s="92">
        <v>0.001412037037037037</v>
      </c>
    </row>
    <row r="55">
      <c r="A55" s="89" t="s">
        <v>1481</v>
      </c>
      <c r="B55" s="89" t="s">
        <v>1482</v>
      </c>
      <c r="C55" s="90" t="s">
        <v>1494</v>
      </c>
      <c r="D55" s="91">
        <v>2.0</v>
      </c>
      <c r="E55" s="90" t="s">
        <v>853</v>
      </c>
      <c r="F55" s="90" t="s">
        <v>860</v>
      </c>
      <c r="G55" s="92">
        <v>0.0031944444444444446</v>
      </c>
    </row>
    <row r="56">
      <c r="A56" s="89" t="s">
        <v>1481</v>
      </c>
      <c r="B56" s="89" t="s">
        <v>1482</v>
      </c>
      <c r="C56" s="90" t="s">
        <v>1494</v>
      </c>
      <c r="D56" s="91">
        <v>2.0</v>
      </c>
      <c r="E56" s="90" t="s">
        <v>853</v>
      </c>
      <c r="F56" s="90" t="s">
        <v>862</v>
      </c>
      <c r="G56" s="92">
        <v>0.0625</v>
      </c>
    </row>
    <row r="57">
      <c r="A57" s="89" t="s">
        <v>1481</v>
      </c>
      <c r="B57" s="89" t="s">
        <v>1482</v>
      </c>
      <c r="C57" s="90" t="s">
        <v>1496</v>
      </c>
      <c r="D57" s="91">
        <v>1.0</v>
      </c>
      <c r="E57" s="90" t="s">
        <v>865</v>
      </c>
      <c r="F57" s="90" t="s">
        <v>194</v>
      </c>
      <c r="G57" s="92">
        <v>0.003414351851851852</v>
      </c>
    </row>
    <row r="58">
      <c r="A58" s="89" t="s">
        <v>1481</v>
      </c>
      <c r="B58" s="89" t="s">
        <v>1482</v>
      </c>
      <c r="C58" s="90" t="s">
        <v>1496</v>
      </c>
      <c r="D58" s="91">
        <v>1.0</v>
      </c>
      <c r="E58" s="90" t="s">
        <v>865</v>
      </c>
      <c r="F58" s="90" t="s">
        <v>863</v>
      </c>
      <c r="G58" s="92">
        <v>0.011990740740740741</v>
      </c>
    </row>
    <row r="59">
      <c r="A59" s="89" t="s">
        <v>1481</v>
      </c>
      <c r="B59" s="89" t="s">
        <v>1482</v>
      </c>
      <c r="C59" s="90" t="s">
        <v>1496</v>
      </c>
      <c r="D59" s="91">
        <v>1.0</v>
      </c>
      <c r="E59" s="90" t="s">
        <v>865</v>
      </c>
      <c r="F59" s="90" t="s">
        <v>1497</v>
      </c>
      <c r="G59" s="92">
        <v>0.0029976851851851853</v>
      </c>
    </row>
    <row r="60">
      <c r="A60" s="89" t="s">
        <v>1481</v>
      </c>
      <c r="B60" s="89" t="s">
        <v>1482</v>
      </c>
      <c r="C60" s="90" t="s">
        <v>1496</v>
      </c>
      <c r="D60" s="91">
        <v>2.0</v>
      </c>
      <c r="E60" s="90" t="s">
        <v>868</v>
      </c>
      <c r="F60" s="90" t="s">
        <v>866</v>
      </c>
      <c r="G60" s="92">
        <v>0.007418981481481481</v>
      </c>
    </row>
    <row r="61">
      <c r="A61" s="89" t="s">
        <v>1481</v>
      </c>
      <c r="B61" s="89" t="s">
        <v>1482</v>
      </c>
      <c r="C61" s="90" t="s">
        <v>1496</v>
      </c>
      <c r="D61" s="91">
        <v>2.0</v>
      </c>
      <c r="E61" s="90" t="s">
        <v>868</v>
      </c>
      <c r="F61" s="90" t="s">
        <v>869</v>
      </c>
      <c r="G61" s="92">
        <v>0.0018055555555555555</v>
      </c>
    </row>
    <row r="62">
      <c r="A62" s="89" t="s">
        <v>1481</v>
      </c>
      <c r="B62" s="89" t="s">
        <v>1482</v>
      </c>
      <c r="C62" s="90" t="s">
        <v>1496</v>
      </c>
      <c r="D62" s="91">
        <v>2.0</v>
      </c>
      <c r="E62" s="90" t="s">
        <v>868</v>
      </c>
      <c r="F62" s="90" t="s">
        <v>871</v>
      </c>
      <c r="G62" s="92">
        <v>0.0060879629629629626</v>
      </c>
    </row>
    <row r="63">
      <c r="A63" s="89" t="s">
        <v>1481</v>
      </c>
      <c r="B63" s="89" t="s">
        <v>1482</v>
      </c>
      <c r="C63" s="90" t="s">
        <v>1496</v>
      </c>
      <c r="D63" s="91">
        <v>3.0</v>
      </c>
      <c r="E63" s="90" t="s">
        <v>874</v>
      </c>
      <c r="F63" s="90" t="s">
        <v>1498</v>
      </c>
      <c r="G63" s="92">
        <v>0.01849537037037037</v>
      </c>
    </row>
    <row r="64">
      <c r="A64" s="89" t="s">
        <v>1481</v>
      </c>
      <c r="B64" s="89" t="s">
        <v>1482</v>
      </c>
      <c r="C64" s="90" t="s">
        <v>1496</v>
      </c>
      <c r="D64" s="91">
        <v>3.0</v>
      </c>
      <c r="E64" s="90" t="s">
        <v>874</v>
      </c>
      <c r="F64" s="90" t="s">
        <v>873</v>
      </c>
      <c r="G64" s="92">
        <v>0.016516203703703703</v>
      </c>
    </row>
    <row r="65">
      <c r="A65" s="89" t="s">
        <v>1481</v>
      </c>
      <c r="B65" s="89" t="s">
        <v>1482</v>
      </c>
      <c r="C65" s="90" t="s">
        <v>1496</v>
      </c>
      <c r="D65" s="91">
        <v>3.0</v>
      </c>
      <c r="E65" s="90" t="s">
        <v>874</v>
      </c>
      <c r="F65" s="90" t="s">
        <v>875</v>
      </c>
      <c r="G65" s="92">
        <v>0.012534722222222221</v>
      </c>
    </row>
    <row r="66">
      <c r="A66" s="89" t="s">
        <v>1481</v>
      </c>
      <c r="B66" s="89" t="s">
        <v>1482</v>
      </c>
      <c r="C66" s="90" t="s">
        <v>1496</v>
      </c>
      <c r="D66" s="91">
        <v>3.0</v>
      </c>
      <c r="E66" s="90" t="s">
        <v>874</v>
      </c>
      <c r="F66" s="90" t="s">
        <v>876</v>
      </c>
      <c r="G66" s="92">
        <v>0.01638888888888889</v>
      </c>
    </row>
    <row r="67">
      <c r="A67" s="89" t="s">
        <v>1481</v>
      </c>
      <c r="B67" s="89" t="s">
        <v>1482</v>
      </c>
      <c r="C67" s="90" t="s">
        <v>1496</v>
      </c>
      <c r="D67" s="91">
        <v>3.0</v>
      </c>
      <c r="E67" s="90" t="s">
        <v>874</v>
      </c>
      <c r="F67" s="90" t="s">
        <v>393</v>
      </c>
      <c r="G67" s="92">
        <v>0.05555555555555555</v>
      </c>
    </row>
    <row r="68">
      <c r="A68" s="89" t="s">
        <v>1481</v>
      </c>
      <c r="B68" s="89" t="s">
        <v>1482</v>
      </c>
      <c r="C68" s="90" t="s">
        <v>1496</v>
      </c>
      <c r="D68" s="91">
        <v>4.0</v>
      </c>
      <c r="E68" s="90" t="s">
        <v>879</v>
      </c>
      <c r="F68" s="90" t="s">
        <v>877</v>
      </c>
      <c r="G68" s="92">
        <v>0.003287037037037037</v>
      </c>
    </row>
    <row r="69">
      <c r="A69" s="89" t="s">
        <v>1481</v>
      </c>
      <c r="B69" s="89" t="s">
        <v>1482</v>
      </c>
      <c r="C69" s="90" t="s">
        <v>1496</v>
      </c>
      <c r="D69" s="91">
        <v>4.0</v>
      </c>
      <c r="E69" s="90" t="s">
        <v>879</v>
      </c>
      <c r="F69" s="90" t="s">
        <v>880</v>
      </c>
      <c r="G69" s="92">
        <v>0.0026967592592592594</v>
      </c>
    </row>
    <row r="70">
      <c r="A70" s="89" t="s">
        <v>1481</v>
      </c>
      <c r="B70" s="89" t="s">
        <v>1482</v>
      </c>
      <c r="C70" s="90" t="s">
        <v>1496</v>
      </c>
      <c r="D70" s="91">
        <v>4.0</v>
      </c>
      <c r="E70" s="90" t="s">
        <v>879</v>
      </c>
      <c r="F70" s="90" t="s">
        <v>882</v>
      </c>
      <c r="G70" s="92">
        <v>0.009085648148148148</v>
      </c>
    </row>
    <row r="71">
      <c r="A71" s="89" t="s">
        <v>1481</v>
      </c>
      <c r="B71" s="89" t="s">
        <v>1482</v>
      </c>
      <c r="C71" s="90" t="s">
        <v>1496</v>
      </c>
      <c r="D71" s="91">
        <v>4.0</v>
      </c>
      <c r="E71" s="90" t="s">
        <v>879</v>
      </c>
      <c r="F71" s="90" t="s">
        <v>884</v>
      </c>
      <c r="G71" s="92">
        <v>0.0036226851851851854</v>
      </c>
    </row>
    <row r="72">
      <c r="A72" s="89" t="s">
        <v>1481</v>
      </c>
      <c r="B72" s="89" t="s">
        <v>1482</v>
      </c>
      <c r="C72" s="90" t="s">
        <v>1496</v>
      </c>
      <c r="D72" s="91">
        <v>4.0</v>
      </c>
      <c r="E72" s="90" t="s">
        <v>879</v>
      </c>
      <c r="F72" s="90" t="s">
        <v>886</v>
      </c>
      <c r="G72" s="92">
        <v>0.0012268518518518518</v>
      </c>
    </row>
    <row r="73">
      <c r="A73" s="89" t="s">
        <v>1481</v>
      </c>
      <c r="B73" s="89" t="s">
        <v>1482</v>
      </c>
      <c r="C73" s="90" t="s">
        <v>1496</v>
      </c>
      <c r="D73" s="91">
        <v>4.0</v>
      </c>
      <c r="E73" s="90" t="s">
        <v>879</v>
      </c>
      <c r="F73" s="90" t="s">
        <v>410</v>
      </c>
      <c r="G73" s="92">
        <v>0.05555555555555555</v>
      </c>
    </row>
    <row r="74">
      <c r="A74" s="89" t="s">
        <v>1481</v>
      </c>
      <c r="B74" s="89" t="s">
        <v>1482</v>
      </c>
      <c r="C74" s="90" t="s">
        <v>1496</v>
      </c>
      <c r="D74" s="91">
        <v>4.0</v>
      </c>
      <c r="E74" s="90" t="s">
        <v>879</v>
      </c>
      <c r="F74" s="90" t="s">
        <v>415</v>
      </c>
      <c r="G74" s="92">
        <v>0.05555555555555555</v>
      </c>
    </row>
    <row r="75">
      <c r="A75" s="89" t="s">
        <v>1481</v>
      </c>
      <c r="B75" s="89" t="s">
        <v>1482</v>
      </c>
      <c r="C75" s="90" t="s">
        <v>1496</v>
      </c>
      <c r="D75" s="91">
        <v>5.0</v>
      </c>
      <c r="E75" s="90" t="s">
        <v>1499</v>
      </c>
      <c r="F75" s="90" t="s">
        <v>1500</v>
      </c>
      <c r="G75" s="92">
        <v>0.0014930555555555556</v>
      </c>
    </row>
    <row r="76">
      <c r="A76" s="89" t="s">
        <v>1481</v>
      </c>
      <c r="B76" s="89" t="s">
        <v>1482</v>
      </c>
      <c r="C76" s="90" t="s">
        <v>1496</v>
      </c>
      <c r="D76" s="91">
        <v>5.0</v>
      </c>
      <c r="E76" s="90" t="s">
        <v>1499</v>
      </c>
      <c r="F76" s="90" t="s">
        <v>1501</v>
      </c>
      <c r="G76" s="92">
        <v>0.009097222222222222</v>
      </c>
    </row>
    <row r="77">
      <c r="A77" s="89" t="s">
        <v>1481</v>
      </c>
      <c r="B77" s="89" t="s">
        <v>1482</v>
      </c>
      <c r="C77" s="90" t="s">
        <v>1496</v>
      </c>
      <c r="D77" s="91">
        <v>5.0</v>
      </c>
      <c r="E77" s="90" t="s">
        <v>1499</v>
      </c>
      <c r="F77" s="90" t="s">
        <v>416</v>
      </c>
      <c r="G77" s="92">
        <v>0.05555555555555555</v>
      </c>
    </row>
    <row r="78">
      <c r="A78" s="89" t="s">
        <v>1481</v>
      </c>
      <c r="B78" s="89" t="s">
        <v>1482</v>
      </c>
      <c r="C78" s="90" t="s">
        <v>1496</v>
      </c>
      <c r="D78" s="91">
        <v>6.0</v>
      </c>
      <c r="E78" s="90" t="s">
        <v>890</v>
      </c>
      <c r="F78" s="90" t="s">
        <v>888</v>
      </c>
      <c r="G78" s="92">
        <v>0.004907407407407407</v>
      </c>
    </row>
    <row r="79">
      <c r="A79" s="89" t="s">
        <v>1481</v>
      </c>
      <c r="B79" s="89" t="s">
        <v>1482</v>
      </c>
      <c r="C79" s="90" t="s">
        <v>1496</v>
      </c>
      <c r="D79" s="91">
        <v>6.0</v>
      </c>
      <c r="E79" s="90" t="s">
        <v>890</v>
      </c>
      <c r="F79" s="90" t="s">
        <v>1502</v>
      </c>
      <c r="G79" s="92">
        <v>0.005069444444444444</v>
      </c>
    </row>
    <row r="80">
      <c r="A80" s="89" t="s">
        <v>1481</v>
      </c>
      <c r="B80" s="89" t="s">
        <v>1482</v>
      </c>
      <c r="C80" s="90" t="s">
        <v>1496</v>
      </c>
      <c r="D80" s="91">
        <v>6.0</v>
      </c>
      <c r="E80" s="90" t="s">
        <v>890</v>
      </c>
      <c r="F80" s="90" t="s">
        <v>891</v>
      </c>
      <c r="G80" s="92">
        <v>0.0020833333333333333</v>
      </c>
    </row>
    <row r="81">
      <c r="A81" s="89" t="s">
        <v>1481</v>
      </c>
      <c r="B81" s="89" t="s">
        <v>1482</v>
      </c>
      <c r="C81" s="90" t="s">
        <v>1496</v>
      </c>
      <c r="D81" s="91">
        <v>7.0</v>
      </c>
      <c r="E81" s="90" t="s">
        <v>894</v>
      </c>
      <c r="F81" s="90" t="s">
        <v>892</v>
      </c>
      <c r="G81" s="92">
        <v>0.005648148148148148</v>
      </c>
    </row>
    <row r="82">
      <c r="A82" s="89" t="s">
        <v>1481</v>
      </c>
      <c r="B82" s="89" t="s">
        <v>1482</v>
      </c>
      <c r="C82" s="90" t="s">
        <v>1496</v>
      </c>
      <c r="D82" s="91">
        <v>7.0</v>
      </c>
      <c r="E82" s="90" t="s">
        <v>894</v>
      </c>
      <c r="F82" s="90" t="s">
        <v>1503</v>
      </c>
      <c r="G82" s="92">
        <v>0.007326388888888889</v>
      </c>
    </row>
    <row r="83">
      <c r="A83" s="89" t="s">
        <v>1481</v>
      </c>
      <c r="B83" s="89" t="s">
        <v>1482</v>
      </c>
      <c r="C83" s="90" t="s">
        <v>1496</v>
      </c>
      <c r="D83" s="91">
        <v>7.0</v>
      </c>
      <c r="E83" s="90" t="s">
        <v>894</v>
      </c>
      <c r="F83" s="90" t="s">
        <v>1504</v>
      </c>
      <c r="G83" s="92">
        <v>0.00125</v>
      </c>
    </row>
    <row r="84">
      <c r="A84" s="89" t="s">
        <v>1481</v>
      </c>
      <c r="B84" s="89" t="s">
        <v>1482</v>
      </c>
      <c r="C84" s="90" t="s">
        <v>1496</v>
      </c>
      <c r="D84" s="91">
        <v>7.0</v>
      </c>
      <c r="E84" s="90" t="s">
        <v>894</v>
      </c>
      <c r="F84" s="90" t="s">
        <v>895</v>
      </c>
      <c r="G84" s="92">
        <v>0.0020833333333333333</v>
      </c>
    </row>
    <row r="85">
      <c r="A85" s="89" t="s">
        <v>1481</v>
      </c>
      <c r="B85" s="89" t="s">
        <v>1482</v>
      </c>
      <c r="C85" s="90" t="s">
        <v>1496</v>
      </c>
      <c r="D85" s="91">
        <v>7.0</v>
      </c>
      <c r="E85" s="90" t="s">
        <v>894</v>
      </c>
      <c r="F85" s="90" t="s">
        <v>897</v>
      </c>
    </row>
    <row r="86">
      <c r="A86" s="89" t="s">
        <v>1481</v>
      </c>
      <c r="B86" s="89" t="s">
        <v>1482</v>
      </c>
      <c r="C86" s="90" t="s">
        <v>1496</v>
      </c>
      <c r="D86" s="91">
        <v>7.0</v>
      </c>
      <c r="E86" s="90" t="s">
        <v>894</v>
      </c>
      <c r="F86" s="90" t="s">
        <v>1505</v>
      </c>
      <c r="G86" s="92">
        <v>0.0032291666666666666</v>
      </c>
    </row>
    <row r="87">
      <c r="A87" s="89" t="s">
        <v>1481</v>
      </c>
      <c r="B87" s="89" t="s">
        <v>1482</v>
      </c>
      <c r="C87" s="90" t="s">
        <v>1496</v>
      </c>
      <c r="D87" s="91">
        <v>7.0</v>
      </c>
      <c r="E87" s="90" t="s">
        <v>894</v>
      </c>
      <c r="F87" s="90" t="s">
        <v>898</v>
      </c>
      <c r="G87" s="92">
        <v>0.0018171296296296297</v>
      </c>
    </row>
    <row r="88">
      <c r="A88" s="89" t="s">
        <v>1481</v>
      </c>
      <c r="B88" s="89" t="s">
        <v>1482</v>
      </c>
      <c r="C88" s="90" t="s">
        <v>1496</v>
      </c>
      <c r="D88" s="91">
        <v>7.0</v>
      </c>
      <c r="E88" s="90" t="s">
        <v>894</v>
      </c>
      <c r="F88" s="90" t="s">
        <v>900</v>
      </c>
      <c r="G88" s="92">
        <v>0.0032291666666666666</v>
      </c>
    </row>
    <row r="89">
      <c r="A89" s="89" t="s">
        <v>1481</v>
      </c>
      <c r="B89" s="89" t="s">
        <v>1482</v>
      </c>
      <c r="C89" s="90" t="s">
        <v>1496</v>
      </c>
      <c r="D89" s="91">
        <v>7.0</v>
      </c>
      <c r="E89" s="90" t="s">
        <v>894</v>
      </c>
      <c r="F89" s="90" t="s">
        <v>902</v>
      </c>
      <c r="G89" s="92">
        <v>0.0023148148148148147</v>
      </c>
    </row>
    <row r="90">
      <c r="A90" s="89" t="s">
        <v>1481</v>
      </c>
      <c r="B90" s="89" t="s">
        <v>1482</v>
      </c>
      <c r="C90" s="90" t="s">
        <v>1496</v>
      </c>
      <c r="D90" s="91">
        <v>7.0</v>
      </c>
      <c r="E90" s="90" t="s">
        <v>894</v>
      </c>
      <c r="F90" s="90" t="s">
        <v>904</v>
      </c>
    </row>
    <row r="91">
      <c r="A91" s="89" t="s">
        <v>1481</v>
      </c>
      <c r="B91" s="89" t="s">
        <v>1482</v>
      </c>
      <c r="C91" s="90" t="s">
        <v>1496</v>
      </c>
      <c r="D91" s="91">
        <v>7.0</v>
      </c>
      <c r="E91" s="90" t="s">
        <v>894</v>
      </c>
      <c r="F91" s="90" t="s">
        <v>905</v>
      </c>
    </row>
    <row r="92">
      <c r="A92" s="89" t="s">
        <v>1481</v>
      </c>
      <c r="B92" s="89" t="s">
        <v>1482</v>
      </c>
      <c r="C92" s="90" t="s">
        <v>1496</v>
      </c>
      <c r="D92" s="91">
        <v>7.0</v>
      </c>
      <c r="E92" s="90" t="s">
        <v>894</v>
      </c>
      <c r="F92" s="90" t="s">
        <v>906</v>
      </c>
    </row>
    <row r="93">
      <c r="A93" s="89" t="s">
        <v>1481</v>
      </c>
      <c r="B93" s="89" t="s">
        <v>1482</v>
      </c>
      <c r="C93" s="90" t="s">
        <v>1496</v>
      </c>
      <c r="D93" s="91">
        <v>7.0</v>
      </c>
      <c r="E93" s="90" t="s">
        <v>894</v>
      </c>
      <c r="F93" s="90" t="s">
        <v>907</v>
      </c>
      <c r="G93" s="92">
        <v>0.0014930555555555556</v>
      </c>
    </row>
    <row r="94">
      <c r="A94" s="89" t="s">
        <v>1481</v>
      </c>
      <c r="B94" s="89" t="s">
        <v>1482</v>
      </c>
      <c r="C94" s="90" t="s">
        <v>1496</v>
      </c>
      <c r="D94" s="91">
        <v>7.0</v>
      </c>
      <c r="E94" s="90" t="s">
        <v>894</v>
      </c>
      <c r="F94" s="90" t="s">
        <v>909</v>
      </c>
      <c r="G94" s="92">
        <v>0.002766203703703704</v>
      </c>
    </row>
    <row r="95">
      <c r="A95" s="89" t="s">
        <v>1481</v>
      </c>
      <c r="B95" s="89" t="s">
        <v>1482</v>
      </c>
      <c r="C95" s="90" t="s">
        <v>1496</v>
      </c>
      <c r="D95" s="91">
        <v>7.0</v>
      </c>
      <c r="E95" s="90" t="s">
        <v>894</v>
      </c>
      <c r="F95" s="90" t="s">
        <v>1506</v>
      </c>
      <c r="G95" s="92">
        <v>0.0059375</v>
      </c>
    </row>
    <row r="96">
      <c r="A96" s="89" t="s">
        <v>1481</v>
      </c>
      <c r="B96" s="89" t="s">
        <v>1482</v>
      </c>
      <c r="C96" s="90" t="s">
        <v>1496</v>
      </c>
      <c r="D96" s="91">
        <v>7.0</v>
      </c>
      <c r="E96" s="90" t="s">
        <v>894</v>
      </c>
      <c r="F96" s="90" t="s">
        <v>911</v>
      </c>
    </row>
    <row r="97">
      <c r="A97" s="89" t="s">
        <v>1481</v>
      </c>
      <c r="B97" s="89" t="s">
        <v>1482</v>
      </c>
      <c r="C97" s="90" t="s">
        <v>1496</v>
      </c>
      <c r="D97" s="91">
        <v>7.0</v>
      </c>
      <c r="E97" s="90" t="s">
        <v>894</v>
      </c>
      <c r="F97" s="90" t="s">
        <v>912</v>
      </c>
      <c r="G97" s="92">
        <v>0.002476851851851852</v>
      </c>
    </row>
    <row r="98">
      <c r="A98" s="89" t="s">
        <v>1481</v>
      </c>
      <c r="B98" s="89" t="s">
        <v>1482</v>
      </c>
      <c r="C98" s="90" t="s">
        <v>1496</v>
      </c>
      <c r="D98" s="91">
        <v>7.0</v>
      </c>
      <c r="E98" s="90" t="s">
        <v>894</v>
      </c>
      <c r="F98" s="90" t="s">
        <v>914</v>
      </c>
    </row>
    <row r="99">
      <c r="A99" s="89" t="s">
        <v>1481</v>
      </c>
      <c r="B99" s="89" t="s">
        <v>1482</v>
      </c>
      <c r="C99" s="90" t="s">
        <v>1496</v>
      </c>
      <c r="D99" s="91">
        <v>7.0</v>
      </c>
      <c r="E99" s="90" t="s">
        <v>894</v>
      </c>
      <c r="F99" s="90" t="s">
        <v>915</v>
      </c>
    </row>
    <row r="100">
      <c r="A100" s="89" t="s">
        <v>1481</v>
      </c>
      <c r="B100" s="89" t="s">
        <v>1482</v>
      </c>
      <c r="C100" s="90" t="s">
        <v>1496</v>
      </c>
      <c r="D100" s="91">
        <v>7.0</v>
      </c>
      <c r="E100" s="90" t="s">
        <v>894</v>
      </c>
      <c r="F100" s="90" t="s">
        <v>916</v>
      </c>
    </row>
    <row r="101">
      <c r="A101" s="89" t="s">
        <v>1481</v>
      </c>
      <c r="B101" s="89" t="s">
        <v>1482</v>
      </c>
      <c r="C101" s="90" t="s">
        <v>1496</v>
      </c>
      <c r="D101" s="91">
        <v>7.0</v>
      </c>
      <c r="E101" s="90" t="s">
        <v>894</v>
      </c>
      <c r="F101" s="90" t="s">
        <v>1507</v>
      </c>
    </row>
    <row r="102">
      <c r="A102" s="89" t="s">
        <v>1481</v>
      </c>
      <c r="B102" s="89" t="s">
        <v>1482</v>
      </c>
      <c r="C102" s="90" t="s">
        <v>1496</v>
      </c>
      <c r="D102" s="91">
        <v>7.0</v>
      </c>
      <c r="E102" s="90" t="s">
        <v>894</v>
      </c>
      <c r="F102" s="90" t="s">
        <v>435</v>
      </c>
      <c r="G102" s="92">
        <v>0.05555555555555555</v>
      </c>
    </row>
    <row r="103">
      <c r="A103" s="89" t="s">
        <v>1481</v>
      </c>
      <c r="B103" s="89" t="s">
        <v>1482</v>
      </c>
      <c r="C103" s="90" t="s">
        <v>1496</v>
      </c>
      <c r="D103" s="91">
        <v>7.0</v>
      </c>
      <c r="E103" s="90" t="s">
        <v>894</v>
      </c>
      <c r="F103" s="90" t="s">
        <v>436</v>
      </c>
      <c r="G103" s="92">
        <v>0.013888888888888888</v>
      </c>
    </row>
    <row r="104">
      <c r="A104" s="89" t="s">
        <v>1481</v>
      </c>
      <c r="B104" s="89" t="s">
        <v>1482</v>
      </c>
      <c r="C104" s="90" t="s">
        <v>1496</v>
      </c>
      <c r="D104" s="91">
        <v>8.0</v>
      </c>
      <c r="E104" s="90" t="s">
        <v>919</v>
      </c>
      <c r="F104" s="90" t="s">
        <v>917</v>
      </c>
      <c r="G104" s="92">
        <v>0.0021759259259259258</v>
      </c>
    </row>
    <row r="105">
      <c r="A105" s="89" t="s">
        <v>1481</v>
      </c>
      <c r="B105" s="89" t="s">
        <v>1482</v>
      </c>
      <c r="C105" s="90" t="s">
        <v>1496</v>
      </c>
      <c r="D105" s="91">
        <v>8.0</v>
      </c>
      <c r="E105" s="90" t="s">
        <v>919</v>
      </c>
      <c r="F105" s="90" t="s">
        <v>920</v>
      </c>
      <c r="G105" s="92">
        <v>0.0017013888888888888</v>
      </c>
    </row>
    <row r="106">
      <c r="A106" s="89" t="s">
        <v>1481</v>
      </c>
      <c r="B106" s="89" t="s">
        <v>1482</v>
      </c>
      <c r="C106" s="90" t="s">
        <v>1496</v>
      </c>
      <c r="D106" s="91">
        <v>8.0</v>
      </c>
      <c r="E106" s="90" t="s">
        <v>919</v>
      </c>
      <c r="F106" s="90" t="s">
        <v>922</v>
      </c>
      <c r="G106" s="92">
        <v>0.0029976851851851853</v>
      </c>
    </row>
    <row r="107">
      <c r="A107" s="89" t="s">
        <v>1481</v>
      </c>
      <c r="B107" s="89" t="s">
        <v>1482</v>
      </c>
      <c r="C107" s="90" t="s">
        <v>1496</v>
      </c>
      <c r="D107" s="91">
        <v>8.0</v>
      </c>
      <c r="E107" s="90" t="s">
        <v>919</v>
      </c>
      <c r="F107" s="90" t="s">
        <v>923</v>
      </c>
      <c r="G107" s="92">
        <v>0.0037962962962962963</v>
      </c>
    </row>
    <row r="108">
      <c r="A108" s="89" t="s">
        <v>1481</v>
      </c>
      <c r="B108" s="89" t="s">
        <v>1482</v>
      </c>
      <c r="C108" s="90" t="s">
        <v>1496</v>
      </c>
      <c r="D108" s="91">
        <v>8.0</v>
      </c>
      <c r="E108" s="90" t="s">
        <v>919</v>
      </c>
      <c r="F108" s="90" t="s">
        <v>727</v>
      </c>
      <c r="G108" s="92">
        <v>0.05555555555555555</v>
      </c>
    </row>
    <row r="109">
      <c r="A109" s="89" t="s">
        <v>1481</v>
      </c>
      <c r="B109" s="89" t="s">
        <v>1482</v>
      </c>
      <c r="C109" s="90" t="s">
        <v>1496</v>
      </c>
      <c r="D109" s="91">
        <v>9.0</v>
      </c>
      <c r="E109" s="90" t="s">
        <v>927</v>
      </c>
      <c r="F109" s="90" t="s">
        <v>925</v>
      </c>
      <c r="G109" s="92">
        <v>0.0013425925925925925</v>
      </c>
    </row>
    <row r="110">
      <c r="A110" s="89" t="s">
        <v>1481</v>
      </c>
      <c r="B110" s="89" t="s">
        <v>1482</v>
      </c>
      <c r="C110" s="90" t="s">
        <v>1496</v>
      </c>
      <c r="D110" s="91">
        <v>9.0</v>
      </c>
      <c r="E110" s="90" t="s">
        <v>927</v>
      </c>
      <c r="F110" s="90" t="s">
        <v>928</v>
      </c>
      <c r="G110" s="92">
        <v>0.0020601851851851853</v>
      </c>
    </row>
    <row r="111">
      <c r="A111" s="89" t="s">
        <v>1481</v>
      </c>
      <c r="B111" s="89" t="s">
        <v>1482</v>
      </c>
      <c r="C111" s="90" t="s">
        <v>1496</v>
      </c>
      <c r="D111" s="91">
        <v>10.0</v>
      </c>
      <c r="E111" s="90" t="s">
        <v>932</v>
      </c>
      <c r="F111" s="90" t="s">
        <v>1508</v>
      </c>
      <c r="G111" s="92">
        <v>0.015104166666666667</v>
      </c>
    </row>
    <row r="112">
      <c r="A112" s="89" t="s">
        <v>1481</v>
      </c>
      <c r="B112" s="89" t="s">
        <v>1482</v>
      </c>
      <c r="C112" s="90" t="s">
        <v>1496</v>
      </c>
      <c r="D112" s="91">
        <v>10.0</v>
      </c>
      <c r="E112" s="90" t="s">
        <v>932</v>
      </c>
      <c r="F112" s="90" t="s">
        <v>930</v>
      </c>
      <c r="G112" s="92">
        <v>0.007222222222222222</v>
      </c>
    </row>
    <row r="113">
      <c r="A113" s="89" t="s">
        <v>1481</v>
      </c>
      <c r="B113" s="89" t="s">
        <v>1482</v>
      </c>
      <c r="C113" s="90" t="s">
        <v>1496</v>
      </c>
      <c r="D113" s="91">
        <v>10.0</v>
      </c>
      <c r="E113" s="90" t="s">
        <v>932</v>
      </c>
      <c r="F113" s="90" t="s">
        <v>933</v>
      </c>
      <c r="G113" s="92">
        <v>0.004039351851851852</v>
      </c>
    </row>
    <row r="114">
      <c r="A114" s="89" t="s">
        <v>1481</v>
      </c>
      <c r="B114" s="89" t="s">
        <v>1482</v>
      </c>
      <c r="C114" s="90" t="s">
        <v>1496</v>
      </c>
      <c r="D114" s="91">
        <v>11.0</v>
      </c>
      <c r="E114" s="90" t="s">
        <v>936</v>
      </c>
      <c r="F114" s="90" t="s">
        <v>935</v>
      </c>
      <c r="G114" s="92">
        <v>0.005127314814814815</v>
      </c>
    </row>
    <row r="115">
      <c r="A115" s="89" t="s">
        <v>1481</v>
      </c>
      <c r="B115" s="89" t="s">
        <v>1482</v>
      </c>
      <c r="C115" s="90" t="s">
        <v>1496</v>
      </c>
      <c r="D115" s="91">
        <v>11.0</v>
      </c>
      <c r="E115" s="90" t="s">
        <v>936</v>
      </c>
      <c r="F115" s="90" t="s">
        <v>937</v>
      </c>
      <c r="G115" s="92">
        <v>0.006967592592592593</v>
      </c>
    </row>
    <row r="116">
      <c r="A116" s="89" t="s">
        <v>1481</v>
      </c>
      <c r="B116" s="89" t="s">
        <v>1482</v>
      </c>
      <c r="C116" s="90" t="s">
        <v>1496</v>
      </c>
      <c r="D116" s="91">
        <v>11.0</v>
      </c>
      <c r="E116" s="90" t="s">
        <v>936</v>
      </c>
      <c r="F116" s="90" t="s">
        <v>1509</v>
      </c>
      <c r="G116" s="92">
        <v>0.004050925925925926</v>
      </c>
    </row>
    <row r="117">
      <c r="A117" s="89" t="s">
        <v>1481</v>
      </c>
      <c r="B117" s="89" t="s">
        <v>1482</v>
      </c>
      <c r="C117" s="90" t="s">
        <v>1496</v>
      </c>
      <c r="D117" s="91">
        <v>11.0</v>
      </c>
      <c r="E117" s="90" t="s">
        <v>936</v>
      </c>
      <c r="F117" s="90" t="s">
        <v>481</v>
      </c>
      <c r="G117" s="92">
        <v>0.014212962962962964</v>
      </c>
    </row>
    <row r="118">
      <c r="A118" s="89" t="s">
        <v>1481</v>
      </c>
      <c r="B118" s="89" t="s">
        <v>1482</v>
      </c>
      <c r="C118" s="90" t="s">
        <v>1496</v>
      </c>
      <c r="D118" s="91">
        <v>11.0</v>
      </c>
      <c r="E118" s="90" t="s">
        <v>936</v>
      </c>
      <c r="F118" s="90" t="s">
        <v>938</v>
      </c>
      <c r="G118" s="92">
        <v>0.002800925925925926</v>
      </c>
    </row>
    <row r="119">
      <c r="A119" s="89" t="s">
        <v>1481</v>
      </c>
      <c r="B119" s="89" t="s">
        <v>1482</v>
      </c>
      <c r="C119" s="90" t="s">
        <v>1496</v>
      </c>
      <c r="D119" s="91">
        <v>12.0</v>
      </c>
      <c r="E119" s="90" t="s">
        <v>941</v>
      </c>
      <c r="F119" s="90" t="s">
        <v>940</v>
      </c>
      <c r="G119" s="92">
        <v>0.004594907407407408</v>
      </c>
    </row>
    <row r="120">
      <c r="A120" s="89" t="s">
        <v>1481</v>
      </c>
      <c r="B120" s="89" t="s">
        <v>1482</v>
      </c>
      <c r="C120" s="90" t="s">
        <v>1496</v>
      </c>
      <c r="D120" s="91">
        <v>12.0</v>
      </c>
      <c r="E120" s="90" t="s">
        <v>941</v>
      </c>
      <c r="F120" s="90" t="s">
        <v>942</v>
      </c>
      <c r="G120" s="92">
        <v>0.0032407407407407406</v>
      </c>
    </row>
    <row r="121">
      <c r="A121" s="89" t="s">
        <v>1481</v>
      </c>
      <c r="B121" s="89" t="s">
        <v>1482</v>
      </c>
      <c r="C121" s="90" t="s">
        <v>1496</v>
      </c>
      <c r="D121" s="91">
        <v>12.0</v>
      </c>
      <c r="E121" s="90" t="s">
        <v>941</v>
      </c>
      <c r="F121" s="90" t="s">
        <v>944</v>
      </c>
      <c r="G121" s="92">
        <v>0.0015509259259259259</v>
      </c>
    </row>
    <row r="122">
      <c r="A122" s="89" t="s">
        <v>1481</v>
      </c>
      <c r="B122" s="89" t="s">
        <v>1482</v>
      </c>
      <c r="C122" s="90" t="s">
        <v>1496</v>
      </c>
      <c r="D122" s="91">
        <v>12.0</v>
      </c>
      <c r="E122" s="90" t="s">
        <v>941</v>
      </c>
      <c r="F122" s="90" t="s">
        <v>946</v>
      </c>
      <c r="G122" s="92">
        <v>0.0030555555555555557</v>
      </c>
    </row>
    <row r="123">
      <c r="A123" s="89" t="s">
        <v>1481</v>
      </c>
      <c r="B123" s="89" t="s">
        <v>1482</v>
      </c>
      <c r="C123" s="90" t="s">
        <v>1496</v>
      </c>
      <c r="D123" s="91">
        <v>12.0</v>
      </c>
      <c r="E123" s="90" t="s">
        <v>941</v>
      </c>
      <c r="F123" s="90" t="s">
        <v>477</v>
      </c>
      <c r="G123" s="92">
        <v>0.05555555555555555</v>
      </c>
    </row>
    <row r="124">
      <c r="A124" s="89" t="s">
        <v>1481</v>
      </c>
      <c r="B124" s="89" t="s">
        <v>1482</v>
      </c>
      <c r="C124" s="90" t="s">
        <v>1496</v>
      </c>
      <c r="D124" s="91">
        <v>12.0</v>
      </c>
      <c r="E124" s="90" t="s">
        <v>941</v>
      </c>
      <c r="F124" s="90" t="s">
        <v>489</v>
      </c>
      <c r="G124" s="92">
        <v>0.05555555555555555</v>
      </c>
    </row>
    <row r="125">
      <c r="A125" s="89" t="s">
        <v>1481</v>
      </c>
      <c r="B125" s="89" t="s">
        <v>1482</v>
      </c>
      <c r="C125" s="90" t="s">
        <v>1510</v>
      </c>
      <c r="D125" s="91">
        <v>1.0</v>
      </c>
      <c r="E125" s="90" t="s">
        <v>950</v>
      </c>
      <c r="F125" s="90" t="s">
        <v>948</v>
      </c>
      <c r="G125" s="92">
        <v>0.006875</v>
      </c>
    </row>
    <row r="126">
      <c r="A126" s="89" t="s">
        <v>1481</v>
      </c>
      <c r="B126" s="89" t="s">
        <v>1482</v>
      </c>
      <c r="C126" s="90" t="s">
        <v>1510</v>
      </c>
      <c r="D126" s="91">
        <v>1.0</v>
      </c>
      <c r="E126" s="90" t="s">
        <v>950</v>
      </c>
      <c r="F126" s="90" t="s">
        <v>951</v>
      </c>
      <c r="G126" s="92">
        <v>0.002361111111111111</v>
      </c>
    </row>
    <row r="127">
      <c r="A127" s="89" t="s">
        <v>1481</v>
      </c>
      <c r="B127" s="89" t="s">
        <v>1482</v>
      </c>
      <c r="C127" s="90" t="s">
        <v>1510</v>
      </c>
      <c r="D127" s="91">
        <v>1.0</v>
      </c>
      <c r="E127" s="90" t="s">
        <v>950</v>
      </c>
      <c r="F127" s="90" t="s">
        <v>1511</v>
      </c>
      <c r="G127" s="92">
        <v>0.004641203703703704</v>
      </c>
    </row>
    <row r="128">
      <c r="A128" s="89" t="s">
        <v>1481</v>
      </c>
      <c r="B128" s="89" t="s">
        <v>1482</v>
      </c>
      <c r="C128" s="90" t="s">
        <v>1510</v>
      </c>
      <c r="D128" s="91">
        <v>1.0</v>
      </c>
      <c r="E128" s="90" t="s">
        <v>950</v>
      </c>
      <c r="F128" s="90" t="s">
        <v>953</v>
      </c>
      <c r="G128" s="92">
        <v>0.006805555555555555</v>
      </c>
    </row>
    <row r="129">
      <c r="A129" s="89" t="s">
        <v>1481</v>
      </c>
      <c r="B129" s="89" t="s">
        <v>1482</v>
      </c>
      <c r="C129" s="90" t="s">
        <v>1510</v>
      </c>
      <c r="D129" s="91">
        <v>1.0</v>
      </c>
      <c r="E129" s="90" t="s">
        <v>950</v>
      </c>
      <c r="F129" s="90" t="s">
        <v>955</v>
      </c>
      <c r="G129" s="92">
        <v>0.0036226851851851854</v>
      </c>
    </row>
    <row r="130">
      <c r="A130" s="89" t="s">
        <v>1481</v>
      </c>
      <c r="B130" s="89" t="s">
        <v>1482</v>
      </c>
      <c r="C130" s="90" t="s">
        <v>1510</v>
      </c>
      <c r="D130" s="91">
        <v>2.0</v>
      </c>
      <c r="E130" s="90" t="s">
        <v>959</v>
      </c>
      <c r="F130" s="90" t="s">
        <v>957</v>
      </c>
      <c r="G130" s="92">
        <v>0.006898148148148148</v>
      </c>
    </row>
    <row r="131">
      <c r="A131" s="89" t="s">
        <v>1481</v>
      </c>
      <c r="B131" s="89" t="s">
        <v>1482</v>
      </c>
      <c r="C131" s="90" t="s">
        <v>1510</v>
      </c>
      <c r="D131" s="91">
        <v>2.0</v>
      </c>
      <c r="E131" s="90" t="s">
        <v>959</v>
      </c>
      <c r="F131" s="90" t="s">
        <v>960</v>
      </c>
      <c r="G131" s="92">
        <v>0.005810185185185186</v>
      </c>
    </row>
    <row r="132">
      <c r="A132" s="89" t="s">
        <v>1481</v>
      </c>
      <c r="B132" s="89" t="s">
        <v>1482</v>
      </c>
      <c r="C132" s="90" t="s">
        <v>1510</v>
      </c>
      <c r="D132" s="91">
        <v>2.0</v>
      </c>
      <c r="E132" s="90" t="s">
        <v>959</v>
      </c>
      <c r="F132" s="90" t="s">
        <v>962</v>
      </c>
      <c r="G132" s="92">
        <v>0.016493055555555556</v>
      </c>
    </row>
    <row r="133">
      <c r="A133" s="89" t="s">
        <v>1481</v>
      </c>
      <c r="B133" s="89" t="s">
        <v>1482</v>
      </c>
      <c r="C133" s="90" t="s">
        <v>1510</v>
      </c>
      <c r="D133" s="91">
        <v>2.0</v>
      </c>
      <c r="E133" s="90" t="s">
        <v>959</v>
      </c>
      <c r="F133" s="90" t="s">
        <v>1512</v>
      </c>
      <c r="G133" s="92">
        <v>0.006307870370370371</v>
      </c>
    </row>
    <row r="134">
      <c r="A134" s="89" t="s">
        <v>1481</v>
      </c>
      <c r="B134" s="89" t="s">
        <v>1482</v>
      </c>
      <c r="C134" s="90" t="s">
        <v>1510</v>
      </c>
      <c r="D134" s="91">
        <v>2.0</v>
      </c>
      <c r="E134" s="90" t="s">
        <v>959</v>
      </c>
      <c r="F134" s="90" t="s">
        <v>1513</v>
      </c>
      <c r="G134" s="92">
        <v>0.002673611111111111</v>
      </c>
    </row>
    <row r="135">
      <c r="A135" s="89" t="s">
        <v>1481</v>
      </c>
      <c r="B135" s="89" t="s">
        <v>1482</v>
      </c>
      <c r="C135" s="90" t="s">
        <v>1510</v>
      </c>
      <c r="D135" s="91">
        <v>2.0</v>
      </c>
      <c r="E135" s="90" t="s">
        <v>959</v>
      </c>
      <c r="F135" s="90" t="s">
        <v>964</v>
      </c>
      <c r="G135" s="92">
        <v>0.008958333333333334</v>
      </c>
    </row>
    <row r="136">
      <c r="A136" s="89" t="s">
        <v>1481</v>
      </c>
      <c r="B136" s="89" t="s">
        <v>1482</v>
      </c>
      <c r="C136" s="90" t="s">
        <v>1510</v>
      </c>
      <c r="D136" s="91">
        <v>2.0</v>
      </c>
      <c r="E136" s="90" t="s">
        <v>959</v>
      </c>
      <c r="F136" s="90" t="s">
        <v>966</v>
      </c>
      <c r="G136" s="92">
        <v>0.05555555555555555</v>
      </c>
    </row>
    <row r="137">
      <c r="A137" s="89" t="s">
        <v>1481</v>
      </c>
      <c r="B137" s="89" t="s">
        <v>1482</v>
      </c>
      <c r="C137" s="90" t="s">
        <v>1514</v>
      </c>
      <c r="D137" s="91">
        <v>1.0</v>
      </c>
      <c r="E137" s="90" t="s">
        <v>969</v>
      </c>
      <c r="F137" s="90" t="s">
        <v>967</v>
      </c>
      <c r="G137" s="92">
        <v>0.005706018518518518</v>
      </c>
    </row>
    <row r="138">
      <c r="A138" s="89" t="s">
        <v>1481</v>
      </c>
      <c r="B138" s="89" t="s">
        <v>1482</v>
      </c>
      <c r="C138" s="90" t="s">
        <v>1514</v>
      </c>
      <c r="D138" s="91">
        <v>1.0</v>
      </c>
      <c r="E138" s="90" t="s">
        <v>969</v>
      </c>
      <c r="F138" s="90" t="s">
        <v>970</v>
      </c>
      <c r="G138" s="92">
        <v>0.005590277777777777</v>
      </c>
    </row>
    <row r="139">
      <c r="A139" s="89" t="s">
        <v>1481</v>
      </c>
      <c r="B139" s="89" t="s">
        <v>1482</v>
      </c>
      <c r="C139" s="90" t="s">
        <v>1514</v>
      </c>
      <c r="D139" s="91">
        <v>1.0</v>
      </c>
      <c r="E139" s="90" t="s">
        <v>969</v>
      </c>
      <c r="F139" s="90" t="s">
        <v>972</v>
      </c>
      <c r="G139" s="92">
        <v>0.004293981481481481</v>
      </c>
    </row>
    <row r="140">
      <c r="A140" s="89" t="s">
        <v>1481</v>
      </c>
      <c r="B140" s="89" t="s">
        <v>1482</v>
      </c>
      <c r="C140" s="90" t="s">
        <v>1514</v>
      </c>
      <c r="D140" s="91">
        <v>1.0</v>
      </c>
      <c r="E140" s="90" t="s">
        <v>969</v>
      </c>
      <c r="F140" s="90" t="s">
        <v>974</v>
      </c>
      <c r="G140" s="92">
        <v>0.0050578703703703706</v>
      </c>
    </row>
    <row r="141">
      <c r="A141" s="89" t="s">
        <v>1481</v>
      </c>
      <c r="B141" s="89" t="s">
        <v>1482</v>
      </c>
      <c r="C141" s="90" t="s">
        <v>1514</v>
      </c>
      <c r="D141" s="91">
        <v>1.0</v>
      </c>
      <c r="E141" s="90" t="s">
        <v>969</v>
      </c>
      <c r="F141" s="90" t="s">
        <v>976</v>
      </c>
      <c r="G141" s="92">
        <v>0.00125</v>
      </c>
    </row>
    <row r="142">
      <c r="A142" s="89" t="s">
        <v>1481</v>
      </c>
      <c r="B142" s="89" t="s">
        <v>1482</v>
      </c>
      <c r="C142" s="90" t="s">
        <v>1514</v>
      </c>
      <c r="D142" s="91">
        <v>2.0</v>
      </c>
      <c r="E142" s="90" t="s">
        <v>979</v>
      </c>
      <c r="F142" s="90" t="s">
        <v>1515</v>
      </c>
      <c r="G142" s="92">
        <v>0.002210648148148148</v>
      </c>
    </row>
    <row r="143">
      <c r="A143" s="89" t="s">
        <v>1481</v>
      </c>
      <c r="B143" s="89" t="s">
        <v>1482</v>
      </c>
      <c r="C143" s="90" t="s">
        <v>1514</v>
      </c>
      <c r="D143" s="91">
        <v>2.0</v>
      </c>
      <c r="E143" s="90" t="s">
        <v>979</v>
      </c>
      <c r="F143" s="90" t="s">
        <v>977</v>
      </c>
      <c r="G143" s="92">
        <v>0.005069444444444444</v>
      </c>
    </row>
    <row r="144">
      <c r="A144" s="89" t="s">
        <v>1481</v>
      </c>
      <c r="B144" s="89" t="s">
        <v>1482</v>
      </c>
      <c r="C144" s="90" t="s">
        <v>1514</v>
      </c>
      <c r="D144" s="91">
        <v>2.0</v>
      </c>
      <c r="E144" s="90" t="s">
        <v>979</v>
      </c>
      <c r="F144" s="90" t="s">
        <v>980</v>
      </c>
      <c r="G144" s="92">
        <v>0.0030555555555555557</v>
      </c>
    </row>
    <row r="145">
      <c r="A145" s="89" t="s">
        <v>1481</v>
      </c>
      <c r="B145" s="89" t="s">
        <v>1482</v>
      </c>
      <c r="C145" s="90" t="s">
        <v>1514</v>
      </c>
      <c r="D145" s="91">
        <v>2.0</v>
      </c>
      <c r="E145" s="90" t="s">
        <v>979</v>
      </c>
      <c r="F145" s="90" t="s">
        <v>982</v>
      </c>
      <c r="G145" s="92">
        <v>0.00375</v>
      </c>
    </row>
    <row r="146">
      <c r="A146" s="89" t="s">
        <v>1481</v>
      </c>
      <c r="B146" s="89" t="s">
        <v>1482</v>
      </c>
      <c r="C146" s="90" t="s">
        <v>1514</v>
      </c>
      <c r="D146" s="91">
        <v>2.0</v>
      </c>
      <c r="E146" s="90" t="s">
        <v>979</v>
      </c>
      <c r="F146" s="90" t="s">
        <v>984</v>
      </c>
      <c r="G146" s="92">
        <v>0.003958333333333334</v>
      </c>
    </row>
    <row r="147">
      <c r="A147" s="89" t="s">
        <v>1481</v>
      </c>
      <c r="B147" s="89" t="s">
        <v>1482</v>
      </c>
      <c r="C147" s="90" t="s">
        <v>1514</v>
      </c>
      <c r="D147" s="91">
        <v>2.0</v>
      </c>
      <c r="E147" s="90" t="s">
        <v>979</v>
      </c>
      <c r="F147" s="90" t="s">
        <v>986</v>
      </c>
      <c r="G147" s="92">
        <v>0.0011111111111111111</v>
      </c>
    </row>
    <row r="148">
      <c r="A148" s="89" t="s">
        <v>1481</v>
      </c>
      <c r="B148" s="89" t="s">
        <v>1482</v>
      </c>
      <c r="C148" s="90" t="s">
        <v>1514</v>
      </c>
      <c r="D148" s="91">
        <v>3.0</v>
      </c>
      <c r="E148" s="90" t="s">
        <v>990</v>
      </c>
      <c r="F148" s="90" t="s">
        <v>988</v>
      </c>
      <c r="G148" s="92">
        <v>0.0030787037037037037</v>
      </c>
    </row>
    <row r="149">
      <c r="A149" s="89" t="s">
        <v>1481</v>
      </c>
      <c r="B149" s="89" t="s">
        <v>1482</v>
      </c>
      <c r="C149" s="90" t="s">
        <v>1514</v>
      </c>
      <c r="D149" s="91">
        <v>3.0</v>
      </c>
      <c r="E149" s="90" t="s">
        <v>990</v>
      </c>
      <c r="F149" s="90" t="s">
        <v>991</v>
      </c>
      <c r="G149" s="92">
        <v>0.006261574074074074</v>
      </c>
    </row>
    <row r="150">
      <c r="A150" s="89" t="s">
        <v>1481</v>
      </c>
      <c r="B150" s="89" t="s">
        <v>1482</v>
      </c>
      <c r="C150" s="90" t="s">
        <v>1514</v>
      </c>
      <c r="D150" s="91">
        <v>3.0</v>
      </c>
      <c r="E150" s="90" t="s">
        <v>990</v>
      </c>
      <c r="F150" s="90" t="s">
        <v>993</v>
      </c>
      <c r="G150" s="92">
        <v>0.003912037037037037</v>
      </c>
    </row>
    <row r="151">
      <c r="A151" s="89" t="s">
        <v>1481</v>
      </c>
      <c r="B151" s="89" t="s">
        <v>1482</v>
      </c>
      <c r="C151" s="90" t="s">
        <v>1514</v>
      </c>
      <c r="D151" s="91">
        <v>3.0</v>
      </c>
      <c r="E151" s="90" t="s">
        <v>990</v>
      </c>
      <c r="F151" s="90" t="s">
        <v>995</v>
      </c>
      <c r="G151" s="92">
        <v>0.00494212962962963</v>
      </c>
    </row>
    <row r="152">
      <c r="A152" s="89" t="s">
        <v>1481</v>
      </c>
      <c r="B152" s="89" t="s">
        <v>1482</v>
      </c>
      <c r="C152" s="90" t="s">
        <v>1514</v>
      </c>
      <c r="D152" s="91">
        <v>3.0</v>
      </c>
      <c r="E152" s="90" t="s">
        <v>990</v>
      </c>
      <c r="F152" s="90" t="s">
        <v>997</v>
      </c>
      <c r="G152" s="92">
        <v>0.0021296296296296298</v>
      </c>
    </row>
    <row r="153">
      <c r="A153" s="89" t="s">
        <v>1481</v>
      </c>
      <c r="B153" s="89" t="s">
        <v>1482</v>
      </c>
      <c r="C153" s="90" t="s">
        <v>1514</v>
      </c>
      <c r="D153" s="91">
        <v>4.0</v>
      </c>
      <c r="E153" s="90" t="s">
        <v>1001</v>
      </c>
      <c r="F153" s="90" t="s">
        <v>999</v>
      </c>
      <c r="G153" s="92">
        <v>0.0021296296296296298</v>
      </c>
    </row>
    <row r="154">
      <c r="A154" s="89" t="s">
        <v>1481</v>
      </c>
      <c r="B154" s="89" t="s">
        <v>1482</v>
      </c>
      <c r="C154" s="90" t="s">
        <v>1514</v>
      </c>
      <c r="D154" s="91">
        <v>4.0</v>
      </c>
      <c r="E154" s="90" t="s">
        <v>1001</v>
      </c>
      <c r="F154" s="90" t="s">
        <v>1002</v>
      </c>
      <c r="G154" s="92">
        <v>0.0040625</v>
      </c>
    </row>
    <row r="155">
      <c r="A155" s="89" t="s">
        <v>1481</v>
      </c>
      <c r="B155" s="89" t="s">
        <v>1482</v>
      </c>
      <c r="C155" s="90" t="s">
        <v>1514</v>
      </c>
      <c r="D155" s="91">
        <v>4.0</v>
      </c>
      <c r="E155" s="90" t="s">
        <v>1001</v>
      </c>
      <c r="F155" s="90" t="s">
        <v>1004</v>
      </c>
      <c r="G155" s="92">
        <v>0.005671296296296297</v>
      </c>
    </row>
    <row r="156">
      <c r="A156" s="89" t="s">
        <v>1481</v>
      </c>
      <c r="B156" s="89" t="s">
        <v>1482</v>
      </c>
      <c r="C156" s="90" t="s">
        <v>1514</v>
      </c>
      <c r="D156" s="91">
        <v>4.0</v>
      </c>
      <c r="E156" s="90" t="s">
        <v>1001</v>
      </c>
      <c r="F156" s="90" t="s">
        <v>1006</v>
      </c>
      <c r="G156" s="92">
        <v>0.0039004629629629628</v>
      </c>
    </row>
    <row r="157">
      <c r="A157" s="89" t="s">
        <v>1481</v>
      </c>
      <c r="B157" s="89" t="s">
        <v>1482</v>
      </c>
      <c r="C157" s="90" t="s">
        <v>1514</v>
      </c>
      <c r="D157" s="91">
        <v>4.0</v>
      </c>
      <c r="E157" s="90" t="s">
        <v>1001</v>
      </c>
      <c r="F157" s="90" t="s">
        <v>1008</v>
      </c>
      <c r="G157" s="92">
        <v>0.005520833333333333</v>
      </c>
    </row>
    <row r="158">
      <c r="A158" s="89" t="s">
        <v>1481</v>
      </c>
      <c r="B158" s="89" t="s">
        <v>1482</v>
      </c>
      <c r="C158" s="90" t="s">
        <v>1514</v>
      </c>
      <c r="D158" s="91">
        <v>4.0</v>
      </c>
      <c r="E158" s="90" t="s">
        <v>1001</v>
      </c>
      <c r="F158" s="90" t="s">
        <v>1516</v>
      </c>
      <c r="G158" s="92">
        <v>0.0016203703703703703</v>
      </c>
    </row>
    <row r="159">
      <c r="A159" s="89" t="s">
        <v>1481</v>
      </c>
      <c r="B159" s="89" t="s">
        <v>1482</v>
      </c>
      <c r="C159" s="90" t="s">
        <v>1517</v>
      </c>
      <c r="D159" s="91">
        <v>1.0</v>
      </c>
      <c r="E159" s="90" t="s">
        <v>1012</v>
      </c>
      <c r="F159" s="90" t="s">
        <v>1518</v>
      </c>
      <c r="G159" s="92">
        <v>0.007465277777777778</v>
      </c>
    </row>
    <row r="160">
      <c r="A160" s="89" t="s">
        <v>1481</v>
      </c>
      <c r="B160" s="89" t="s">
        <v>1482</v>
      </c>
      <c r="C160" s="90" t="s">
        <v>1517</v>
      </c>
      <c r="D160" s="91">
        <v>1.0</v>
      </c>
      <c r="E160" s="90" t="s">
        <v>1012</v>
      </c>
      <c r="F160" s="90" t="s">
        <v>1010</v>
      </c>
      <c r="G160" s="92">
        <v>0.007858796296296296</v>
      </c>
    </row>
    <row r="161">
      <c r="A161" s="89" t="s">
        <v>1481</v>
      </c>
      <c r="B161" s="89" t="s">
        <v>1482</v>
      </c>
      <c r="C161" s="90" t="s">
        <v>1517</v>
      </c>
      <c r="D161" s="91">
        <v>1.0</v>
      </c>
      <c r="E161" s="90" t="s">
        <v>1012</v>
      </c>
      <c r="F161" s="90" t="s">
        <v>1013</v>
      </c>
      <c r="G161" s="92">
        <v>0.00525462962962963</v>
      </c>
    </row>
    <row r="162">
      <c r="A162" s="89" t="s">
        <v>1481</v>
      </c>
      <c r="B162" s="89" t="s">
        <v>1482</v>
      </c>
      <c r="C162" s="90" t="s">
        <v>1517</v>
      </c>
      <c r="D162" s="91">
        <v>1.0</v>
      </c>
      <c r="E162" s="90" t="s">
        <v>1012</v>
      </c>
      <c r="F162" s="90" t="s">
        <v>1015</v>
      </c>
      <c r="G162" s="92">
        <v>0.00712962962962963</v>
      </c>
    </row>
    <row r="163">
      <c r="A163" s="89" t="s">
        <v>1481</v>
      </c>
      <c r="B163" s="89" t="s">
        <v>1482</v>
      </c>
      <c r="C163" s="90" t="s">
        <v>1517</v>
      </c>
      <c r="D163" s="91">
        <v>1.0</v>
      </c>
      <c r="E163" s="90" t="s">
        <v>1012</v>
      </c>
      <c r="F163" s="90" t="s">
        <v>1519</v>
      </c>
      <c r="G163" s="92">
        <v>0.010416666666666666</v>
      </c>
    </row>
    <row r="164">
      <c r="A164" s="89" t="s">
        <v>1481</v>
      </c>
      <c r="B164" s="89" t="s">
        <v>1482</v>
      </c>
      <c r="C164" s="90" t="s">
        <v>1517</v>
      </c>
      <c r="D164" s="91">
        <v>2.0</v>
      </c>
      <c r="E164" s="90" t="s">
        <v>1019</v>
      </c>
      <c r="F164" s="90" t="s">
        <v>1017</v>
      </c>
      <c r="G164" s="92">
        <v>0.00318287037037037</v>
      </c>
    </row>
    <row r="165">
      <c r="A165" s="89" t="s">
        <v>1481</v>
      </c>
      <c r="B165" s="89" t="s">
        <v>1482</v>
      </c>
      <c r="C165" s="90" t="s">
        <v>1517</v>
      </c>
      <c r="D165" s="91">
        <v>2.0</v>
      </c>
      <c r="E165" s="90" t="s">
        <v>1019</v>
      </c>
      <c r="F165" s="90" t="s">
        <v>1020</v>
      </c>
      <c r="G165" s="92">
        <v>0.004016203703703704</v>
      </c>
    </row>
    <row r="166">
      <c r="A166" s="89" t="s">
        <v>1481</v>
      </c>
      <c r="B166" s="89" t="s">
        <v>1482</v>
      </c>
      <c r="C166" s="90" t="s">
        <v>1517</v>
      </c>
      <c r="D166" s="91">
        <v>2.0</v>
      </c>
      <c r="E166" s="90" t="s">
        <v>1019</v>
      </c>
      <c r="F166" s="90" t="s">
        <v>1520</v>
      </c>
      <c r="G166" s="92">
        <v>0.006678240740740741</v>
      </c>
    </row>
    <row r="167">
      <c r="A167" s="89" t="s">
        <v>1481</v>
      </c>
      <c r="B167" s="89" t="s">
        <v>1482</v>
      </c>
      <c r="C167" s="90" t="s">
        <v>1517</v>
      </c>
      <c r="D167" s="91">
        <v>3.0</v>
      </c>
      <c r="E167" s="90" t="s">
        <v>1024</v>
      </c>
      <c r="F167" s="90" t="s">
        <v>1022</v>
      </c>
      <c r="G167" s="92">
        <v>0.007488425925925926</v>
      </c>
    </row>
    <row r="168">
      <c r="A168" s="89" t="s">
        <v>1481</v>
      </c>
      <c r="B168" s="89" t="s">
        <v>1482</v>
      </c>
      <c r="C168" s="90" t="s">
        <v>1517</v>
      </c>
      <c r="D168" s="91">
        <v>3.0</v>
      </c>
      <c r="E168" s="90" t="s">
        <v>1024</v>
      </c>
      <c r="F168" s="90" t="s">
        <v>1025</v>
      </c>
      <c r="G168" s="92">
        <v>0.0028125</v>
      </c>
    </row>
    <row r="169">
      <c r="A169" s="89" t="s">
        <v>1481</v>
      </c>
      <c r="B169" s="89" t="s">
        <v>1482</v>
      </c>
      <c r="C169" s="90" t="s">
        <v>1517</v>
      </c>
      <c r="D169" s="91">
        <v>3.0</v>
      </c>
      <c r="E169" s="90" t="s">
        <v>1024</v>
      </c>
      <c r="F169" s="90" t="s">
        <v>1521</v>
      </c>
      <c r="G169" s="92">
        <v>0.0028819444444444444</v>
      </c>
    </row>
    <row r="170">
      <c r="A170" s="89" t="s">
        <v>1481</v>
      </c>
      <c r="B170" s="89" t="s">
        <v>1482</v>
      </c>
      <c r="C170" s="90" t="s">
        <v>1517</v>
      </c>
      <c r="D170" s="91">
        <v>3.0</v>
      </c>
      <c r="E170" s="90" t="s">
        <v>1024</v>
      </c>
      <c r="F170" s="90" t="s">
        <v>1027</v>
      </c>
      <c r="G170" s="92">
        <v>0.001388888888888889</v>
      </c>
    </row>
    <row r="171">
      <c r="A171" s="89" t="s">
        <v>1481</v>
      </c>
      <c r="B171" s="89" t="s">
        <v>1482</v>
      </c>
      <c r="C171" s="90" t="s">
        <v>1517</v>
      </c>
      <c r="D171" s="91">
        <v>3.0</v>
      </c>
      <c r="E171" s="90" t="s">
        <v>1024</v>
      </c>
      <c r="F171" s="90" t="s">
        <v>1029</v>
      </c>
      <c r="G171" s="92">
        <v>0.012372685185185184</v>
      </c>
    </row>
    <row r="172">
      <c r="A172" s="89" t="s">
        <v>1481</v>
      </c>
      <c r="B172" s="89" t="s">
        <v>1482</v>
      </c>
      <c r="C172" s="90" t="s">
        <v>1517</v>
      </c>
      <c r="D172" s="91">
        <v>3.0</v>
      </c>
      <c r="E172" s="90" t="s">
        <v>1024</v>
      </c>
      <c r="F172" s="90" t="s">
        <v>1031</v>
      </c>
      <c r="G172" s="92">
        <v>0.006655092592592593</v>
      </c>
    </row>
    <row r="173">
      <c r="A173" s="89" t="s">
        <v>1481</v>
      </c>
      <c r="B173" s="89" t="s">
        <v>1482</v>
      </c>
      <c r="C173" s="90" t="s">
        <v>1517</v>
      </c>
      <c r="D173" s="91">
        <v>4.0</v>
      </c>
      <c r="E173" s="90" t="s">
        <v>1035</v>
      </c>
      <c r="F173" s="90" t="s">
        <v>1033</v>
      </c>
      <c r="G173" s="92">
        <v>0.005613425925925926</v>
      </c>
    </row>
    <row r="174">
      <c r="A174" s="89" t="s">
        <v>1481</v>
      </c>
      <c r="B174" s="89" t="s">
        <v>1482</v>
      </c>
      <c r="C174" s="90" t="s">
        <v>1517</v>
      </c>
      <c r="D174" s="91">
        <v>4.0</v>
      </c>
      <c r="E174" s="90" t="s">
        <v>1035</v>
      </c>
      <c r="F174" s="90" t="s">
        <v>1036</v>
      </c>
      <c r="G174" s="92">
        <v>0.005150462962962963</v>
      </c>
    </row>
    <row r="175">
      <c r="A175" s="89" t="s">
        <v>1481</v>
      </c>
      <c r="B175" s="89" t="s">
        <v>1482</v>
      </c>
      <c r="C175" s="90" t="s">
        <v>1517</v>
      </c>
      <c r="D175" s="91">
        <v>4.0</v>
      </c>
      <c r="E175" s="90" t="s">
        <v>1035</v>
      </c>
      <c r="F175" s="90" t="s">
        <v>1038</v>
      </c>
      <c r="G175" s="92">
        <v>0.001099537037037037</v>
      </c>
    </row>
    <row r="176">
      <c r="A176" s="89" t="s">
        <v>1481</v>
      </c>
      <c r="B176" s="89" t="s">
        <v>1482</v>
      </c>
      <c r="C176" s="90" t="s">
        <v>1517</v>
      </c>
      <c r="D176" s="91">
        <v>4.0</v>
      </c>
      <c r="E176" s="90" t="s">
        <v>1035</v>
      </c>
      <c r="F176" s="90" t="s">
        <v>1040</v>
      </c>
      <c r="G176" s="92">
        <v>0.002002314814814815</v>
      </c>
    </row>
    <row r="177">
      <c r="A177" s="89" t="s">
        <v>1481</v>
      </c>
      <c r="B177" s="89" t="s">
        <v>1482</v>
      </c>
      <c r="C177" s="90" t="s">
        <v>1517</v>
      </c>
      <c r="D177" s="91">
        <v>4.0</v>
      </c>
      <c r="E177" s="90" t="s">
        <v>1035</v>
      </c>
      <c r="F177" s="90" t="s">
        <v>1522</v>
      </c>
      <c r="G177" s="92">
        <v>0.0042361111111111115</v>
      </c>
    </row>
    <row r="178">
      <c r="A178" s="89" t="s">
        <v>1481</v>
      </c>
      <c r="B178" s="89" t="s">
        <v>1482</v>
      </c>
      <c r="C178" s="90" t="s">
        <v>1517</v>
      </c>
      <c r="D178" s="91">
        <v>4.0</v>
      </c>
      <c r="E178" s="90" t="s">
        <v>1035</v>
      </c>
      <c r="F178" s="90" t="s">
        <v>1042</v>
      </c>
      <c r="G178" s="92">
        <v>0.0010416666666666667</v>
      </c>
    </row>
    <row r="179">
      <c r="A179" s="89" t="s">
        <v>1481</v>
      </c>
      <c r="B179" s="89" t="s">
        <v>1482</v>
      </c>
      <c r="C179" s="90" t="s">
        <v>1517</v>
      </c>
      <c r="D179" s="91">
        <v>5.0</v>
      </c>
      <c r="E179" s="90" t="s">
        <v>1046</v>
      </c>
      <c r="F179" s="90" t="s">
        <v>1044</v>
      </c>
      <c r="G179" s="92">
        <v>0.009386574074074073</v>
      </c>
    </row>
    <row r="180">
      <c r="A180" s="89" t="s">
        <v>1481</v>
      </c>
      <c r="B180" s="89" t="s">
        <v>1482</v>
      </c>
      <c r="C180" s="90" t="s">
        <v>1517</v>
      </c>
      <c r="D180" s="91">
        <v>5.0</v>
      </c>
      <c r="E180" s="90" t="s">
        <v>1046</v>
      </c>
      <c r="F180" s="90" t="s">
        <v>1047</v>
      </c>
      <c r="G180" s="92">
        <v>0.00712962962962963</v>
      </c>
    </row>
    <row r="181">
      <c r="A181" s="89" t="s">
        <v>1481</v>
      </c>
      <c r="B181" s="89" t="s">
        <v>1482</v>
      </c>
      <c r="C181" s="90" t="s">
        <v>1517</v>
      </c>
      <c r="D181" s="91">
        <v>5.0</v>
      </c>
      <c r="E181" s="90" t="s">
        <v>1046</v>
      </c>
      <c r="F181" s="90" t="s">
        <v>1049</v>
      </c>
      <c r="G181" s="92">
        <v>0.006527777777777778</v>
      </c>
    </row>
    <row r="182">
      <c r="A182" s="89" t="s">
        <v>1481</v>
      </c>
      <c r="B182" s="89" t="s">
        <v>1482</v>
      </c>
      <c r="C182" s="90" t="s">
        <v>1517</v>
      </c>
      <c r="D182" s="91">
        <v>5.0</v>
      </c>
      <c r="E182" s="90" t="s">
        <v>1046</v>
      </c>
      <c r="F182" s="90" t="s">
        <v>1523</v>
      </c>
      <c r="G182" s="92">
        <v>0.0022916666666666667</v>
      </c>
    </row>
    <row r="183">
      <c r="A183" s="89" t="s">
        <v>1481</v>
      </c>
      <c r="B183" s="89" t="s">
        <v>1482</v>
      </c>
      <c r="C183" s="90" t="s">
        <v>1517</v>
      </c>
      <c r="D183" s="91">
        <v>5.0</v>
      </c>
      <c r="E183" s="90" t="s">
        <v>1046</v>
      </c>
      <c r="F183" s="90" t="s">
        <v>1051</v>
      </c>
      <c r="G183" s="92">
        <v>0.0011805555555555556</v>
      </c>
    </row>
    <row r="184">
      <c r="A184" s="89" t="s">
        <v>1481</v>
      </c>
      <c r="B184" s="89" t="s">
        <v>1482</v>
      </c>
      <c r="C184" s="90" t="s">
        <v>1517</v>
      </c>
      <c r="D184" s="91">
        <v>5.0</v>
      </c>
      <c r="E184" s="90" t="s">
        <v>1046</v>
      </c>
      <c r="F184" s="90" t="s">
        <v>1053</v>
      </c>
      <c r="G184" s="92">
        <v>0.0022569444444444442</v>
      </c>
    </row>
    <row r="185">
      <c r="A185" s="89" t="s">
        <v>1481</v>
      </c>
      <c r="B185" s="89" t="s">
        <v>1482</v>
      </c>
      <c r="C185" s="90" t="s">
        <v>1517</v>
      </c>
      <c r="D185" s="91">
        <v>5.0</v>
      </c>
      <c r="E185" s="90" t="s">
        <v>1046</v>
      </c>
      <c r="F185" s="90" t="s">
        <v>1055</v>
      </c>
      <c r="G185" s="92">
        <v>0.0034027777777777776</v>
      </c>
    </row>
    <row r="186">
      <c r="A186" s="89" t="s">
        <v>1481</v>
      </c>
      <c r="B186" s="89" t="s">
        <v>1482</v>
      </c>
      <c r="C186" s="90" t="s">
        <v>1517</v>
      </c>
      <c r="D186" s="91">
        <v>6.0</v>
      </c>
      <c r="E186" s="90" t="s">
        <v>1058</v>
      </c>
      <c r="F186" s="90" t="s">
        <v>1056</v>
      </c>
      <c r="G186" s="92">
        <v>0.003136574074074074</v>
      </c>
    </row>
    <row r="187">
      <c r="A187" s="89" t="s">
        <v>1481</v>
      </c>
      <c r="B187" s="89" t="s">
        <v>1482</v>
      </c>
      <c r="C187" s="90" t="s">
        <v>1517</v>
      </c>
      <c r="D187" s="91">
        <v>6.0</v>
      </c>
      <c r="E187" s="90" t="s">
        <v>1058</v>
      </c>
      <c r="F187" s="90" t="s">
        <v>1059</v>
      </c>
      <c r="G187" s="92">
        <v>0.004837962962962963</v>
      </c>
    </row>
    <row r="188">
      <c r="A188" s="89" t="s">
        <v>1481</v>
      </c>
      <c r="B188" s="89" t="s">
        <v>1482</v>
      </c>
      <c r="C188" s="90" t="s">
        <v>1517</v>
      </c>
      <c r="D188" s="91">
        <v>7.0</v>
      </c>
      <c r="E188" s="90" t="s">
        <v>1063</v>
      </c>
      <c r="F188" s="90" t="s">
        <v>1061</v>
      </c>
      <c r="G188" s="92">
        <v>0.008912037037037038</v>
      </c>
    </row>
    <row r="189">
      <c r="D189" s="93"/>
    </row>
    <row r="190">
      <c r="D190" s="93"/>
    </row>
    <row r="191">
      <c r="D191" s="93"/>
    </row>
    <row r="192">
      <c r="D192" s="93"/>
    </row>
    <row r="193">
      <c r="D193" s="93"/>
    </row>
    <row r="194">
      <c r="D194" s="93"/>
    </row>
    <row r="195">
      <c r="D195" s="93"/>
    </row>
    <row r="196">
      <c r="D196" s="93"/>
    </row>
    <row r="197">
      <c r="D197" s="93"/>
    </row>
    <row r="198">
      <c r="D198" s="93"/>
    </row>
    <row r="199">
      <c r="D199" s="93"/>
    </row>
    <row r="200">
      <c r="D200" s="93"/>
    </row>
    <row r="201">
      <c r="D201" s="93"/>
    </row>
    <row r="202">
      <c r="D202" s="93"/>
    </row>
    <row r="203">
      <c r="D203" s="93"/>
    </row>
    <row r="204">
      <c r="D204" s="93"/>
    </row>
    <row r="205">
      <c r="D205" s="93"/>
    </row>
    <row r="206">
      <c r="D206" s="93"/>
    </row>
    <row r="207">
      <c r="D207" s="93"/>
    </row>
    <row r="208">
      <c r="D208" s="93"/>
    </row>
    <row r="209">
      <c r="D209" s="93"/>
    </row>
    <row r="210">
      <c r="D210" s="93"/>
    </row>
    <row r="211">
      <c r="D211" s="93"/>
    </row>
    <row r="212">
      <c r="D212" s="93"/>
    </row>
    <row r="213">
      <c r="D213" s="93"/>
    </row>
    <row r="214">
      <c r="D214" s="93"/>
    </row>
    <row r="215">
      <c r="D215" s="93"/>
    </row>
    <row r="216">
      <c r="D216" s="93"/>
    </row>
    <row r="217">
      <c r="D217" s="93"/>
    </row>
    <row r="218">
      <c r="D218" s="93"/>
    </row>
    <row r="219">
      <c r="D219" s="93"/>
    </row>
    <row r="220">
      <c r="D220" s="93"/>
    </row>
    <row r="221">
      <c r="D221" s="93"/>
    </row>
    <row r="222">
      <c r="D222" s="93"/>
    </row>
    <row r="223">
      <c r="D223" s="93"/>
    </row>
    <row r="224">
      <c r="D224" s="93"/>
    </row>
    <row r="225">
      <c r="D225" s="93"/>
    </row>
    <row r="226">
      <c r="D226" s="93"/>
    </row>
    <row r="227">
      <c r="D227" s="93"/>
    </row>
    <row r="228">
      <c r="D228" s="93"/>
    </row>
    <row r="229">
      <c r="D229" s="93"/>
    </row>
    <row r="230">
      <c r="D230" s="93"/>
    </row>
    <row r="231">
      <c r="D231" s="93"/>
    </row>
    <row r="232">
      <c r="D232" s="93"/>
    </row>
    <row r="233">
      <c r="D233" s="93"/>
    </row>
    <row r="234">
      <c r="D234" s="93"/>
    </row>
    <row r="235">
      <c r="D235" s="93"/>
    </row>
  </sheetData>
  <printOptions gridLines="1" horizontalCentered="1"/>
  <pageMargins bottom="0.75" footer="0.0" header="0.0" left="0.7" right="0.7" top="0.75"/>
  <pageSetup fitToHeight="0"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1.22" defaultRowHeight="15.0"/>
  <cols>
    <col customWidth="1" min="1" max="1" width="12.33"/>
    <col customWidth="1" min="2" max="2" width="15.44"/>
    <col customWidth="1" min="3" max="3" width="24.22"/>
    <col customWidth="1" min="4" max="4" width="7.33"/>
    <col customWidth="1" min="5" max="5" width="39.22"/>
    <col customWidth="1" min="6" max="6" width="53.44"/>
    <col customWidth="1" min="7" max="7" width="7.44"/>
  </cols>
  <sheetData>
    <row r="1">
      <c r="A1" s="94" t="s">
        <v>1355</v>
      </c>
      <c r="B1" s="94" t="s">
        <v>1376</v>
      </c>
      <c r="C1" s="95" t="s">
        <v>1356</v>
      </c>
      <c r="D1" s="95" t="s">
        <v>1357</v>
      </c>
      <c r="E1" s="95" t="s">
        <v>13</v>
      </c>
      <c r="F1" s="95" t="s">
        <v>1359</v>
      </c>
      <c r="G1" s="95" t="s">
        <v>1360</v>
      </c>
    </row>
    <row r="2">
      <c r="A2" s="96" t="s">
        <v>1481</v>
      </c>
      <c r="B2" s="96" t="s">
        <v>1524</v>
      </c>
      <c r="C2" s="97" t="s">
        <v>1525</v>
      </c>
      <c r="D2" s="98">
        <v>1.0</v>
      </c>
      <c r="E2" s="97" t="s">
        <v>1067</v>
      </c>
      <c r="F2" s="97" t="s">
        <v>1064</v>
      </c>
      <c r="G2" s="99">
        <v>0.009409722222222222</v>
      </c>
    </row>
    <row r="3">
      <c r="A3" s="96" t="s">
        <v>1481</v>
      </c>
      <c r="B3" s="96" t="s">
        <v>1524</v>
      </c>
      <c r="C3" s="97" t="s">
        <v>1525</v>
      </c>
      <c r="D3" s="98">
        <v>1.0</v>
      </c>
      <c r="E3" s="97" t="s">
        <v>1067</v>
      </c>
      <c r="F3" s="97" t="s">
        <v>1526</v>
      </c>
      <c r="G3" s="99">
        <v>0.007905092592592592</v>
      </c>
    </row>
    <row r="4">
      <c r="A4" s="96" t="s">
        <v>1481</v>
      </c>
      <c r="B4" s="96" t="s">
        <v>1524</v>
      </c>
      <c r="C4" s="97" t="s">
        <v>1525</v>
      </c>
      <c r="D4" s="98">
        <v>1.0</v>
      </c>
      <c r="E4" s="97" t="s">
        <v>1067</v>
      </c>
      <c r="F4" s="97" t="s">
        <v>1527</v>
      </c>
      <c r="G4" s="99">
        <v>0.011319444444444444</v>
      </c>
    </row>
    <row r="5">
      <c r="A5" s="96" t="s">
        <v>1481</v>
      </c>
      <c r="B5" s="96" t="s">
        <v>1524</v>
      </c>
      <c r="C5" s="97" t="s">
        <v>1525</v>
      </c>
      <c r="D5" s="98">
        <v>1.0</v>
      </c>
      <c r="E5" s="97" t="s">
        <v>1067</v>
      </c>
      <c r="F5" s="97" t="s">
        <v>1068</v>
      </c>
      <c r="G5" s="99">
        <v>0.010798611111111111</v>
      </c>
    </row>
    <row r="6">
      <c r="A6" s="96" t="s">
        <v>1481</v>
      </c>
      <c r="B6" s="96" t="s">
        <v>1524</v>
      </c>
      <c r="C6" s="97" t="s">
        <v>1525</v>
      </c>
      <c r="D6" s="98">
        <v>1.0</v>
      </c>
      <c r="E6" s="97" t="s">
        <v>1067</v>
      </c>
      <c r="F6" s="97" t="s">
        <v>1070</v>
      </c>
      <c r="G6" s="99">
        <v>0.009456018518518518</v>
      </c>
    </row>
    <row r="7">
      <c r="A7" s="96" t="s">
        <v>1481</v>
      </c>
      <c r="B7" s="96" t="s">
        <v>1524</v>
      </c>
      <c r="C7" s="97" t="s">
        <v>1525</v>
      </c>
      <c r="D7" s="98">
        <v>1.0</v>
      </c>
      <c r="E7" s="97" t="s">
        <v>1067</v>
      </c>
      <c r="F7" s="97" t="s">
        <v>1072</v>
      </c>
      <c r="G7" s="99">
        <v>0.011087962962962963</v>
      </c>
    </row>
    <row r="8">
      <c r="A8" s="96" t="s">
        <v>1481</v>
      </c>
      <c r="B8" s="96" t="s">
        <v>1524</v>
      </c>
      <c r="C8" s="97" t="s">
        <v>1525</v>
      </c>
      <c r="D8" s="98">
        <v>1.0</v>
      </c>
      <c r="E8" s="97" t="s">
        <v>1067</v>
      </c>
      <c r="F8" s="97" t="s">
        <v>1074</v>
      </c>
      <c r="G8" s="99">
        <v>0.004224537037037037</v>
      </c>
    </row>
    <row r="9">
      <c r="A9" s="96" t="s">
        <v>1481</v>
      </c>
      <c r="B9" s="96" t="s">
        <v>1524</v>
      </c>
      <c r="C9" s="97" t="s">
        <v>1525</v>
      </c>
      <c r="D9" s="98">
        <v>1.0</v>
      </c>
      <c r="E9" s="97" t="s">
        <v>1067</v>
      </c>
      <c r="F9" s="97" t="s">
        <v>1076</v>
      </c>
      <c r="G9" s="99">
        <v>0.007893518518518518</v>
      </c>
    </row>
    <row r="10">
      <c r="A10" s="96" t="s">
        <v>1481</v>
      </c>
      <c r="B10" s="96" t="s">
        <v>1524</v>
      </c>
      <c r="C10" s="97" t="s">
        <v>1525</v>
      </c>
      <c r="D10" s="98">
        <v>1.0</v>
      </c>
      <c r="E10" s="97" t="s">
        <v>1067</v>
      </c>
      <c r="F10" s="97" t="s">
        <v>1528</v>
      </c>
      <c r="G10" s="99">
        <v>0.012256944444444445</v>
      </c>
    </row>
    <row r="11">
      <c r="A11" s="96" t="s">
        <v>1481</v>
      </c>
      <c r="B11" s="96" t="s">
        <v>1524</v>
      </c>
      <c r="C11" s="97" t="s">
        <v>1525</v>
      </c>
      <c r="D11" s="98">
        <v>1.0</v>
      </c>
      <c r="E11" s="97" t="s">
        <v>1067</v>
      </c>
      <c r="F11" s="97" t="s">
        <v>1078</v>
      </c>
      <c r="G11" s="99">
        <v>0.011435185185185185</v>
      </c>
    </row>
    <row r="12">
      <c r="A12" s="96" t="s">
        <v>1481</v>
      </c>
      <c r="B12" s="96" t="s">
        <v>1524</v>
      </c>
      <c r="C12" s="97" t="s">
        <v>1525</v>
      </c>
      <c r="D12" s="98">
        <v>1.0</v>
      </c>
      <c r="E12" s="97" t="s">
        <v>1067</v>
      </c>
      <c r="F12" s="97" t="s">
        <v>1080</v>
      </c>
      <c r="G12" s="99">
        <v>0.01734953703703704</v>
      </c>
    </row>
    <row r="13">
      <c r="A13" s="96" t="s">
        <v>1481</v>
      </c>
      <c r="B13" s="96" t="s">
        <v>1524</v>
      </c>
      <c r="C13" s="97" t="s">
        <v>1525</v>
      </c>
      <c r="D13" s="98">
        <v>1.0</v>
      </c>
      <c r="E13" s="97" t="s">
        <v>1067</v>
      </c>
      <c r="F13" s="97" t="s">
        <v>1082</v>
      </c>
      <c r="G13" s="99">
        <v>0.013668981481481482</v>
      </c>
    </row>
    <row r="14">
      <c r="A14" s="96" t="s">
        <v>1481</v>
      </c>
      <c r="B14" s="96" t="s">
        <v>1524</v>
      </c>
      <c r="C14" s="97" t="s">
        <v>1525</v>
      </c>
      <c r="D14" s="98">
        <v>1.0</v>
      </c>
      <c r="E14" s="97" t="s">
        <v>1067</v>
      </c>
      <c r="F14" s="97" t="s">
        <v>1084</v>
      </c>
      <c r="G14" s="99">
        <v>0.014282407407407407</v>
      </c>
    </row>
    <row r="15">
      <c r="A15" s="96" t="s">
        <v>1481</v>
      </c>
      <c r="B15" s="96" t="s">
        <v>1524</v>
      </c>
      <c r="C15" s="97" t="s">
        <v>1525</v>
      </c>
      <c r="D15" s="98">
        <v>1.0</v>
      </c>
      <c r="E15" s="97" t="s">
        <v>1067</v>
      </c>
      <c r="F15" s="97" t="s">
        <v>1086</v>
      </c>
      <c r="G15" s="99">
        <v>0.009675925925925926</v>
      </c>
    </row>
    <row r="16">
      <c r="A16" s="96" t="s">
        <v>1481</v>
      </c>
      <c r="B16" s="96" t="s">
        <v>1524</v>
      </c>
      <c r="C16" s="97" t="s">
        <v>1525</v>
      </c>
      <c r="D16" s="98">
        <v>1.0</v>
      </c>
      <c r="E16" s="97" t="s">
        <v>1067</v>
      </c>
      <c r="F16" s="97" t="s">
        <v>1088</v>
      </c>
      <c r="G16" s="99">
        <v>0.05555555555555555</v>
      </c>
    </row>
    <row r="17">
      <c r="A17" s="96" t="s">
        <v>1481</v>
      </c>
      <c r="B17" s="96" t="s">
        <v>1524</v>
      </c>
      <c r="C17" s="97" t="s">
        <v>1525</v>
      </c>
      <c r="D17" s="98">
        <v>1.0</v>
      </c>
      <c r="E17" s="97" t="s">
        <v>1067</v>
      </c>
      <c r="F17" s="97" t="s">
        <v>1089</v>
      </c>
      <c r="G17" s="99">
        <v>0.05555555555555555</v>
      </c>
    </row>
    <row r="18">
      <c r="A18" s="96" t="s">
        <v>1481</v>
      </c>
      <c r="B18" s="96" t="s">
        <v>1524</v>
      </c>
      <c r="C18" s="97" t="s">
        <v>1525</v>
      </c>
      <c r="D18" s="98">
        <v>2.0</v>
      </c>
      <c r="E18" s="97" t="s">
        <v>1092</v>
      </c>
      <c r="F18" s="97" t="s">
        <v>1090</v>
      </c>
      <c r="G18" s="99">
        <v>0.015520833333333333</v>
      </c>
    </row>
    <row r="19">
      <c r="A19" s="96" t="s">
        <v>1481</v>
      </c>
      <c r="B19" s="96" t="s">
        <v>1524</v>
      </c>
      <c r="C19" s="97" t="s">
        <v>1525</v>
      </c>
      <c r="D19" s="98">
        <v>2.0</v>
      </c>
      <c r="E19" s="97" t="s">
        <v>1092</v>
      </c>
      <c r="F19" s="97" t="s">
        <v>1093</v>
      </c>
      <c r="G19" s="99">
        <v>0.014756944444444444</v>
      </c>
    </row>
    <row r="20">
      <c r="A20" s="96" t="s">
        <v>1481</v>
      </c>
      <c r="B20" s="96" t="s">
        <v>1524</v>
      </c>
      <c r="C20" s="97" t="s">
        <v>1525</v>
      </c>
      <c r="D20" s="98">
        <v>2.0</v>
      </c>
      <c r="E20" s="97" t="s">
        <v>1092</v>
      </c>
      <c r="F20" s="97" t="s">
        <v>1095</v>
      </c>
      <c r="G20" s="99">
        <v>0.011516203703703704</v>
      </c>
    </row>
    <row r="21">
      <c r="A21" s="96" t="s">
        <v>1481</v>
      </c>
      <c r="B21" s="96" t="s">
        <v>1524</v>
      </c>
      <c r="C21" s="97" t="s">
        <v>1525</v>
      </c>
      <c r="D21" s="98">
        <v>2.0</v>
      </c>
      <c r="E21" s="97" t="s">
        <v>1092</v>
      </c>
      <c r="F21" s="97" t="s">
        <v>1097</v>
      </c>
      <c r="G21" s="99">
        <v>0.01628472222222222</v>
      </c>
    </row>
    <row r="22">
      <c r="A22" s="96" t="s">
        <v>1481</v>
      </c>
      <c r="B22" s="96" t="s">
        <v>1524</v>
      </c>
      <c r="C22" s="97" t="s">
        <v>1525</v>
      </c>
      <c r="D22" s="98">
        <v>2.0</v>
      </c>
      <c r="E22" s="97" t="s">
        <v>1092</v>
      </c>
      <c r="F22" s="97" t="s">
        <v>1099</v>
      </c>
      <c r="G22" s="99">
        <v>0.01119212962962963</v>
      </c>
    </row>
    <row r="23">
      <c r="A23" s="96" t="s">
        <v>1481</v>
      </c>
      <c r="B23" s="96" t="s">
        <v>1524</v>
      </c>
      <c r="C23" s="97" t="s">
        <v>1525</v>
      </c>
      <c r="D23" s="98">
        <v>2.0</v>
      </c>
      <c r="E23" s="97" t="s">
        <v>1092</v>
      </c>
      <c r="F23" s="97" t="s">
        <v>1529</v>
      </c>
      <c r="G23" s="99">
        <v>0.013518518518518518</v>
      </c>
    </row>
    <row r="24">
      <c r="A24" s="96" t="s">
        <v>1481</v>
      </c>
      <c r="B24" s="96" t="s">
        <v>1524</v>
      </c>
      <c r="C24" s="97" t="s">
        <v>1525</v>
      </c>
      <c r="D24" s="98">
        <v>2.0</v>
      </c>
      <c r="E24" s="97" t="s">
        <v>1092</v>
      </c>
      <c r="F24" s="97" t="s">
        <v>1101</v>
      </c>
      <c r="G24" s="99">
        <v>0.010914351851851852</v>
      </c>
    </row>
    <row r="25">
      <c r="A25" s="96" t="s">
        <v>1481</v>
      </c>
      <c r="B25" s="96" t="s">
        <v>1524</v>
      </c>
      <c r="C25" s="97" t="s">
        <v>1525</v>
      </c>
      <c r="D25" s="98">
        <v>2.0</v>
      </c>
      <c r="E25" s="97" t="s">
        <v>1092</v>
      </c>
      <c r="F25" s="97" t="s">
        <v>1103</v>
      </c>
      <c r="G25" s="99">
        <v>0.011122685185185185</v>
      </c>
    </row>
    <row r="26">
      <c r="A26" s="96" t="s">
        <v>1481</v>
      </c>
      <c r="B26" s="96" t="s">
        <v>1524</v>
      </c>
      <c r="C26" s="97" t="s">
        <v>1525</v>
      </c>
      <c r="D26" s="98">
        <v>2.0</v>
      </c>
      <c r="E26" s="97" t="s">
        <v>1092</v>
      </c>
      <c r="F26" s="97" t="s">
        <v>1105</v>
      </c>
      <c r="G26" s="99">
        <v>0.016412037037037037</v>
      </c>
    </row>
    <row r="27">
      <c r="A27" s="96" t="s">
        <v>1481</v>
      </c>
      <c r="B27" s="96" t="s">
        <v>1524</v>
      </c>
      <c r="C27" s="97" t="s">
        <v>1525</v>
      </c>
      <c r="D27" s="98">
        <v>2.0</v>
      </c>
      <c r="E27" s="97" t="s">
        <v>1092</v>
      </c>
      <c r="F27" s="97" t="s">
        <v>1107</v>
      </c>
      <c r="G27" s="99">
        <v>0.011087962962962963</v>
      </c>
    </row>
    <row r="28">
      <c r="A28" s="96" t="s">
        <v>1481</v>
      </c>
      <c r="B28" s="96" t="s">
        <v>1524</v>
      </c>
      <c r="C28" s="97" t="s">
        <v>1525</v>
      </c>
      <c r="D28" s="98">
        <v>2.0</v>
      </c>
      <c r="E28" s="97" t="s">
        <v>1092</v>
      </c>
      <c r="F28" s="97" t="s">
        <v>1109</v>
      </c>
      <c r="G28" s="99">
        <v>0.041666666666666664</v>
      </c>
    </row>
    <row r="29">
      <c r="A29" s="96" t="s">
        <v>1481</v>
      </c>
      <c r="B29" s="96" t="s">
        <v>1524</v>
      </c>
      <c r="C29" s="97" t="s">
        <v>1525</v>
      </c>
      <c r="D29" s="98">
        <v>2.0</v>
      </c>
      <c r="E29" s="97" t="s">
        <v>1092</v>
      </c>
      <c r="F29" s="97" t="s">
        <v>1110</v>
      </c>
      <c r="G29" s="99">
        <v>0.05555555555555555</v>
      </c>
    </row>
    <row r="30">
      <c r="A30" s="96" t="s">
        <v>1481</v>
      </c>
      <c r="B30" s="96" t="s">
        <v>1524</v>
      </c>
      <c r="C30" s="97" t="s">
        <v>1530</v>
      </c>
      <c r="D30" s="98">
        <v>1.0</v>
      </c>
      <c r="E30" s="97" t="s">
        <v>1113</v>
      </c>
      <c r="F30" s="97" t="s">
        <v>1531</v>
      </c>
      <c r="G30" s="99">
        <v>0.018287037037037036</v>
      </c>
    </row>
    <row r="31">
      <c r="A31" s="96" t="s">
        <v>1481</v>
      </c>
      <c r="B31" s="96" t="s">
        <v>1524</v>
      </c>
      <c r="C31" s="97" t="s">
        <v>1530</v>
      </c>
      <c r="D31" s="98">
        <v>1.0</v>
      </c>
      <c r="E31" s="97" t="s">
        <v>1113</v>
      </c>
      <c r="F31" s="97" t="s">
        <v>1111</v>
      </c>
      <c r="G31" s="99">
        <v>0.010636574074074074</v>
      </c>
    </row>
    <row r="32">
      <c r="A32" s="96" t="s">
        <v>1481</v>
      </c>
      <c r="B32" s="96" t="s">
        <v>1524</v>
      </c>
      <c r="C32" s="97" t="s">
        <v>1530</v>
      </c>
      <c r="D32" s="98">
        <v>1.0</v>
      </c>
      <c r="E32" s="97" t="s">
        <v>1113</v>
      </c>
      <c r="F32" s="97" t="s">
        <v>1114</v>
      </c>
      <c r="G32" s="99">
        <v>0.014108796296296296</v>
      </c>
    </row>
    <row r="33">
      <c r="A33" s="96" t="s">
        <v>1481</v>
      </c>
      <c r="B33" s="96" t="s">
        <v>1524</v>
      </c>
      <c r="C33" s="97" t="s">
        <v>1530</v>
      </c>
      <c r="D33" s="98">
        <v>1.0</v>
      </c>
      <c r="E33" s="97" t="s">
        <v>1113</v>
      </c>
      <c r="F33" s="97" t="s">
        <v>1116</v>
      </c>
      <c r="G33" s="99">
        <v>0.041666666666666664</v>
      </c>
    </row>
    <row r="34">
      <c r="A34" s="96" t="s">
        <v>1481</v>
      </c>
      <c r="B34" s="96" t="s">
        <v>1524</v>
      </c>
      <c r="C34" s="97" t="s">
        <v>1530</v>
      </c>
      <c r="D34" s="98">
        <v>2.0</v>
      </c>
      <c r="E34" s="97" t="s">
        <v>1119</v>
      </c>
      <c r="F34" s="97" t="s">
        <v>1117</v>
      </c>
      <c r="G34" s="99">
        <v>0.01670138888888889</v>
      </c>
    </row>
    <row r="35">
      <c r="A35" s="96" t="s">
        <v>1481</v>
      </c>
      <c r="B35" s="96" t="s">
        <v>1524</v>
      </c>
      <c r="C35" s="97" t="s">
        <v>1530</v>
      </c>
      <c r="D35" s="98">
        <v>2.0</v>
      </c>
      <c r="E35" s="97" t="s">
        <v>1119</v>
      </c>
      <c r="F35" s="97" t="s">
        <v>1120</v>
      </c>
      <c r="G35" s="99">
        <v>0.012268518518518519</v>
      </c>
    </row>
    <row r="36">
      <c r="A36" s="96" t="s">
        <v>1481</v>
      </c>
      <c r="B36" s="96" t="s">
        <v>1524</v>
      </c>
      <c r="C36" s="97" t="s">
        <v>1530</v>
      </c>
      <c r="D36" s="98">
        <v>2.0</v>
      </c>
      <c r="E36" s="97" t="s">
        <v>1119</v>
      </c>
      <c r="F36" s="97" t="s">
        <v>1122</v>
      </c>
      <c r="G36" s="99">
        <v>0.00974537037037037</v>
      </c>
    </row>
    <row r="37">
      <c r="A37" s="96" t="s">
        <v>1481</v>
      </c>
      <c r="B37" s="96" t="s">
        <v>1524</v>
      </c>
      <c r="C37" s="97" t="s">
        <v>1530</v>
      </c>
      <c r="D37" s="98">
        <v>2.0</v>
      </c>
      <c r="E37" s="97" t="s">
        <v>1119</v>
      </c>
      <c r="F37" s="97" t="s">
        <v>1124</v>
      </c>
      <c r="G37" s="99">
        <v>0.006724537037037037</v>
      </c>
    </row>
    <row r="38">
      <c r="A38" s="96" t="s">
        <v>1481</v>
      </c>
      <c r="B38" s="96" t="s">
        <v>1524</v>
      </c>
      <c r="C38" s="97" t="s">
        <v>1530</v>
      </c>
      <c r="D38" s="98">
        <v>2.0</v>
      </c>
      <c r="E38" s="97" t="s">
        <v>1119</v>
      </c>
      <c r="F38" s="97" t="s">
        <v>1126</v>
      </c>
      <c r="G38" s="99">
        <v>0.010844907407407407</v>
      </c>
    </row>
    <row r="39">
      <c r="A39" s="96" t="s">
        <v>1481</v>
      </c>
      <c r="B39" s="96" t="s">
        <v>1524</v>
      </c>
      <c r="C39" s="97" t="s">
        <v>1530</v>
      </c>
      <c r="D39" s="98">
        <v>2.0</v>
      </c>
      <c r="E39" s="97" t="s">
        <v>1119</v>
      </c>
      <c r="F39" s="97" t="s">
        <v>1128</v>
      </c>
      <c r="G39" s="99">
        <v>0.007997685185185186</v>
      </c>
    </row>
    <row r="40">
      <c r="A40" s="96" t="s">
        <v>1481</v>
      </c>
      <c r="B40" s="96" t="s">
        <v>1524</v>
      </c>
      <c r="C40" s="97" t="s">
        <v>1530</v>
      </c>
      <c r="D40" s="98">
        <v>2.0</v>
      </c>
      <c r="E40" s="97" t="s">
        <v>1119</v>
      </c>
      <c r="F40" s="97" t="s">
        <v>1532</v>
      </c>
      <c r="G40" s="99">
        <v>0.041666666666666664</v>
      </c>
    </row>
    <row r="41">
      <c r="A41" s="96" t="s">
        <v>1481</v>
      </c>
      <c r="B41" s="96" t="s">
        <v>1524</v>
      </c>
      <c r="C41" s="97" t="s">
        <v>1533</v>
      </c>
      <c r="D41" s="98">
        <v>1.0</v>
      </c>
      <c r="E41" s="97" t="s">
        <v>1131</v>
      </c>
      <c r="F41" s="97" t="s">
        <v>1130</v>
      </c>
      <c r="G41" s="99">
        <v>0.012673611111111111</v>
      </c>
    </row>
    <row r="42">
      <c r="A42" s="96" t="s">
        <v>1481</v>
      </c>
      <c r="B42" s="96" t="s">
        <v>1524</v>
      </c>
      <c r="C42" s="97" t="s">
        <v>1533</v>
      </c>
      <c r="D42" s="98">
        <v>1.0</v>
      </c>
      <c r="E42" s="97" t="s">
        <v>1131</v>
      </c>
      <c r="F42" s="97" t="s">
        <v>1132</v>
      </c>
      <c r="G42" s="99">
        <v>0.013530092592592592</v>
      </c>
    </row>
    <row r="43">
      <c r="A43" s="96" t="s">
        <v>1481</v>
      </c>
      <c r="B43" s="96" t="s">
        <v>1524</v>
      </c>
      <c r="C43" s="97" t="s">
        <v>1533</v>
      </c>
      <c r="D43" s="98">
        <v>1.0</v>
      </c>
      <c r="E43" s="97" t="s">
        <v>1131</v>
      </c>
      <c r="F43" s="97" t="s">
        <v>1133</v>
      </c>
      <c r="G43" s="99">
        <v>0.008101851851851851</v>
      </c>
    </row>
    <row r="44">
      <c r="A44" s="96" t="s">
        <v>1481</v>
      </c>
      <c r="B44" s="96" t="s">
        <v>1524</v>
      </c>
      <c r="C44" s="97" t="s">
        <v>1533</v>
      </c>
      <c r="D44" s="98">
        <v>1.0</v>
      </c>
      <c r="E44" s="97" t="s">
        <v>1131</v>
      </c>
      <c r="F44" s="97" t="s">
        <v>1534</v>
      </c>
      <c r="G44" s="99">
        <v>0.006666666666666667</v>
      </c>
    </row>
    <row r="45">
      <c r="A45" s="96" t="s">
        <v>1481</v>
      </c>
      <c r="B45" s="96" t="s">
        <v>1524</v>
      </c>
      <c r="C45" s="97" t="s">
        <v>1533</v>
      </c>
      <c r="D45" s="98">
        <v>1.0</v>
      </c>
      <c r="E45" s="97" t="s">
        <v>1131</v>
      </c>
      <c r="F45" s="97" t="s">
        <v>1134</v>
      </c>
      <c r="G45" s="99">
        <v>0.017025462962962964</v>
      </c>
    </row>
    <row r="46">
      <c r="A46" s="96" t="s">
        <v>1481</v>
      </c>
      <c r="B46" s="96" t="s">
        <v>1524</v>
      </c>
      <c r="C46" s="97" t="s">
        <v>1533</v>
      </c>
      <c r="D46" s="98">
        <v>1.0</v>
      </c>
      <c r="E46" s="97" t="s">
        <v>1131</v>
      </c>
      <c r="F46" s="97" t="s">
        <v>1135</v>
      </c>
      <c r="G46" s="99">
        <v>0.021782407407407407</v>
      </c>
    </row>
    <row r="47">
      <c r="A47" s="96" t="s">
        <v>1481</v>
      </c>
      <c r="B47" s="96" t="s">
        <v>1524</v>
      </c>
      <c r="C47" s="97" t="s">
        <v>1533</v>
      </c>
      <c r="D47" s="98">
        <v>2.0</v>
      </c>
      <c r="E47" s="97" t="s">
        <v>1137</v>
      </c>
      <c r="F47" s="97" t="s">
        <v>1136</v>
      </c>
      <c r="G47" s="99">
        <v>0.013738425925925926</v>
      </c>
    </row>
    <row r="48">
      <c r="A48" s="96" t="s">
        <v>1481</v>
      </c>
      <c r="B48" s="96" t="s">
        <v>1524</v>
      </c>
      <c r="C48" s="97" t="s">
        <v>1533</v>
      </c>
      <c r="D48" s="98">
        <v>2.0</v>
      </c>
      <c r="E48" s="97" t="s">
        <v>1137</v>
      </c>
      <c r="F48" s="97" t="s">
        <v>1138</v>
      </c>
      <c r="G48" s="99">
        <v>0.009363425925925926</v>
      </c>
    </row>
    <row r="49">
      <c r="A49" s="96" t="s">
        <v>1481</v>
      </c>
      <c r="B49" s="96" t="s">
        <v>1524</v>
      </c>
      <c r="C49" s="97" t="s">
        <v>1533</v>
      </c>
      <c r="D49" s="98">
        <v>2.0</v>
      </c>
      <c r="E49" s="97" t="s">
        <v>1137</v>
      </c>
      <c r="F49" s="97" t="s">
        <v>1139</v>
      </c>
      <c r="G49" s="99">
        <v>0.00931712962962963</v>
      </c>
    </row>
    <row r="50">
      <c r="A50" s="96" t="s">
        <v>1481</v>
      </c>
      <c r="B50" s="96" t="s">
        <v>1524</v>
      </c>
      <c r="C50" s="97" t="s">
        <v>1533</v>
      </c>
      <c r="D50" s="98">
        <v>2.0</v>
      </c>
      <c r="E50" s="97" t="s">
        <v>1137</v>
      </c>
      <c r="F50" s="97" t="s">
        <v>1140</v>
      </c>
      <c r="G50" s="99">
        <v>0.01392361111111111</v>
      </c>
    </row>
    <row r="51">
      <c r="A51" s="96" t="s">
        <v>1481</v>
      </c>
      <c r="B51" s="96" t="s">
        <v>1524</v>
      </c>
      <c r="C51" s="97" t="s">
        <v>1533</v>
      </c>
      <c r="D51" s="98">
        <v>2.0</v>
      </c>
      <c r="E51" s="97" t="s">
        <v>1137</v>
      </c>
      <c r="F51" s="97" t="s">
        <v>1019</v>
      </c>
      <c r="G51" s="99">
        <v>0.015752314814814816</v>
      </c>
    </row>
    <row r="52">
      <c r="A52" s="96" t="s">
        <v>1481</v>
      </c>
      <c r="B52" s="96" t="s">
        <v>1524</v>
      </c>
      <c r="C52" s="97" t="s">
        <v>1533</v>
      </c>
      <c r="D52" s="98">
        <v>2.0</v>
      </c>
      <c r="E52" s="97" t="s">
        <v>1137</v>
      </c>
      <c r="F52" s="97" t="s">
        <v>1141</v>
      </c>
      <c r="G52" s="99">
        <v>0.019479166666666665</v>
      </c>
    </row>
    <row r="53">
      <c r="A53" s="96" t="s">
        <v>1481</v>
      </c>
      <c r="B53" s="96" t="s">
        <v>1524</v>
      </c>
      <c r="C53" s="97" t="s">
        <v>1533</v>
      </c>
      <c r="D53" s="98">
        <v>3.0</v>
      </c>
      <c r="E53" s="97" t="s">
        <v>1143</v>
      </c>
      <c r="F53" s="97" t="s">
        <v>1142</v>
      </c>
      <c r="G53" s="99">
        <v>0.00849537037037037</v>
      </c>
    </row>
    <row r="54">
      <c r="A54" s="96" t="s">
        <v>1481</v>
      </c>
      <c r="B54" s="96" t="s">
        <v>1524</v>
      </c>
      <c r="C54" s="97" t="s">
        <v>1533</v>
      </c>
      <c r="D54" s="98">
        <v>3.0</v>
      </c>
      <c r="E54" s="97" t="s">
        <v>1143</v>
      </c>
      <c r="F54" s="97" t="s">
        <v>1535</v>
      </c>
      <c r="G54" s="99">
        <v>0.013159722222222222</v>
      </c>
    </row>
    <row r="55">
      <c r="A55" s="96" t="s">
        <v>1481</v>
      </c>
      <c r="B55" s="96" t="s">
        <v>1524</v>
      </c>
      <c r="C55" s="97" t="s">
        <v>1533</v>
      </c>
      <c r="D55" s="98">
        <v>3.0</v>
      </c>
      <c r="E55" s="97" t="s">
        <v>1143</v>
      </c>
      <c r="F55" s="97" t="s">
        <v>1022</v>
      </c>
      <c r="G55" s="99">
        <v>0.012256944444444445</v>
      </c>
    </row>
    <row r="56">
      <c r="A56" s="96" t="s">
        <v>1481</v>
      </c>
      <c r="B56" s="96" t="s">
        <v>1524</v>
      </c>
      <c r="C56" s="97" t="s">
        <v>1533</v>
      </c>
      <c r="D56" s="98">
        <v>3.0</v>
      </c>
      <c r="E56" s="97" t="s">
        <v>1143</v>
      </c>
      <c r="F56" s="97" t="s">
        <v>1536</v>
      </c>
      <c r="G56" s="99">
        <v>0.01173611111111111</v>
      </c>
    </row>
    <row r="57">
      <c r="A57" s="96" t="s">
        <v>1481</v>
      </c>
      <c r="B57" s="96" t="s">
        <v>1524</v>
      </c>
      <c r="C57" s="97" t="s">
        <v>1533</v>
      </c>
      <c r="D57" s="98">
        <v>3.0</v>
      </c>
      <c r="E57" s="97" t="s">
        <v>1143</v>
      </c>
      <c r="F57" s="97" t="s">
        <v>1537</v>
      </c>
      <c r="G57" s="99">
        <v>0.01494212962962963</v>
      </c>
    </row>
    <row r="58">
      <c r="A58" s="96" t="s">
        <v>1481</v>
      </c>
      <c r="B58" s="96" t="s">
        <v>1524</v>
      </c>
      <c r="C58" s="97" t="s">
        <v>1533</v>
      </c>
      <c r="D58" s="98">
        <v>4.0</v>
      </c>
      <c r="E58" s="97" t="s">
        <v>1035</v>
      </c>
      <c r="F58" s="97" t="s">
        <v>1033</v>
      </c>
      <c r="G58" s="99">
        <v>0.014016203703703704</v>
      </c>
    </row>
    <row r="59">
      <c r="A59" s="96" t="s">
        <v>1481</v>
      </c>
      <c r="B59" s="96" t="s">
        <v>1524</v>
      </c>
      <c r="C59" s="97" t="s">
        <v>1533</v>
      </c>
      <c r="D59" s="98">
        <v>4.0</v>
      </c>
      <c r="E59" s="97" t="s">
        <v>1035</v>
      </c>
      <c r="F59" s="97" t="s">
        <v>1144</v>
      </c>
      <c r="G59" s="99">
        <v>0.011539351851851851</v>
      </c>
    </row>
    <row r="60">
      <c r="A60" s="96" t="s">
        <v>1481</v>
      </c>
      <c r="B60" s="96" t="s">
        <v>1524</v>
      </c>
      <c r="C60" s="97" t="s">
        <v>1533</v>
      </c>
      <c r="D60" s="98">
        <v>4.0</v>
      </c>
      <c r="E60" s="97" t="s">
        <v>1035</v>
      </c>
      <c r="F60" s="97" t="s">
        <v>1538</v>
      </c>
      <c r="G60" s="99">
        <v>0.02761574074074074</v>
      </c>
    </row>
    <row r="61">
      <c r="A61" s="96" t="s">
        <v>1481</v>
      </c>
      <c r="B61" s="96" t="s">
        <v>1524</v>
      </c>
      <c r="C61" s="97" t="s">
        <v>1533</v>
      </c>
      <c r="D61" s="98">
        <v>4.0</v>
      </c>
      <c r="E61" s="97" t="s">
        <v>1035</v>
      </c>
      <c r="F61" s="97" t="s">
        <v>1145</v>
      </c>
      <c r="G61" s="99">
        <v>0.012847222222222222</v>
      </c>
    </row>
    <row r="62">
      <c r="A62" s="96" t="s">
        <v>1481</v>
      </c>
      <c r="B62" s="96" t="s">
        <v>1524</v>
      </c>
      <c r="C62" s="97" t="s">
        <v>1533</v>
      </c>
      <c r="D62" s="98">
        <v>4.0</v>
      </c>
      <c r="E62" s="97" t="s">
        <v>1035</v>
      </c>
      <c r="F62" s="97" t="s">
        <v>1146</v>
      </c>
      <c r="G62" s="99">
        <v>0.010949074074074075</v>
      </c>
    </row>
    <row r="63">
      <c r="A63" s="96" t="s">
        <v>1481</v>
      </c>
      <c r="B63" s="96" t="s">
        <v>1524</v>
      </c>
      <c r="C63" s="97" t="s">
        <v>1533</v>
      </c>
      <c r="D63" s="98">
        <v>4.0</v>
      </c>
      <c r="E63" s="97" t="s">
        <v>1035</v>
      </c>
      <c r="F63" s="97" t="s">
        <v>1147</v>
      </c>
      <c r="G63" s="99">
        <v>0.01885416666666667</v>
      </c>
    </row>
    <row r="64">
      <c r="A64" s="96" t="s">
        <v>1481</v>
      </c>
      <c r="B64" s="96" t="s">
        <v>1524</v>
      </c>
      <c r="C64" s="97" t="s">
        <v>1533</v>
      </c>
      <c r="D64" s="98">
        <v>4.0</v>
      </c>
      <c r="E64" s="97" t="s">
        <v>1035</v>
      </c>
      <c r="F64" s="97" t="s">
        <v>1539</v>
      </c>
      <c r="G64" s="99">
        <v>0.05555555555555555</v>
      </c>
    </row>
    <row r="65">
      <c r="A65" s="96" t="s">
        <v>1481</v>
      </c>
      <c r="B65" s="96" t="s">
        <v>1524</v>
      </c>
      <c r="C65" s="97" t="s">
        <v>1533</v>
      </c>
      <c r="D65" s="98">
        <v>5.0</v>
      </c>
      <c r="E65" s="97" t="s">
        <v>1046</v>
      </c>
      <c r="F65" s="97" t="s">
        <v>1044</v>
      </c>
      <c r="G65" s="99">
        <v>0.013900462962962963</v>
      </c>
    </row>
    <row r="66">
      <c r="A66" s="96" t="s">
        <v>1481</v>
      </c>
      <c r="B66" s="96" t="s">
        <v>1524</v>
      </c>
      <c r="C66" s="97" t="s">
        <v>1533</v>
      </c>
      <c r="D66" s="98">
        <v>5.0</v>
      </c>
      <c r="E66" s="97" t="s">
        <v>1046</v>
      </c>
      <c r="F66" s="97" t="s">
        <v>1148</v>
      </c>
      <c r="G66" s="99">
        <v>0.005405092592592592</v>
      </c>
    </row>
    <row r="67">
      <c r="A67" s="96" t="s">
        <v>1481</v>
      </c>
      <c r="B67" s="96" t="s">
        <v>1524</v>
      </c>
      <c r="C67" s="97" t="s">
        <v>1533</v>
      </c>
      <c r="D67" s="98">
        <v>5.0</v>
      </c>
      <c r="E67" s="97" t="s">
        <v>1046</v>
      </c>
      <c r="F67" s="97" t="s">
        <v>1540</v>
      </c>
      <c r="G67" s="99">
        <v>0.01568287037037037</v>
      </c>
    </row>
    <row r="68">
      <c r="A68" s="96" t="s">
        <v>1481</v>
      </c>
      <c r="B68" s="96" t="s">
        <v>1524</v>
      </c>
      <c r="C68" s="97" t="s">
        <v>1533</v>
      </c>
      <c r="D68" s="98">
        <v>5.0</v>
      </c>
      <c r="E68" s="97" t="s">
        <v>1046</v>
      </c>
      <c r="F68" s="97" t="s">
        <v>1149</v>
      </c>
      <c r="G68" s="99">
        <v>0.00542824074074074</v>
      </c>
    </row>
    <row r="69">
      <c r="A69" s="96" t="s">
        <v>1481</v>
      </c>
      <c r="B69" s="96" t="s">
        <v>1524</v>
      </c>
      <c r="C69" s="97" t="s">
        <v>1533</v>
      </c>
      <c r="D69" s="98">
        <v>5.0</v>
      </c>
      <c r="E69" s="97" t="s">
        <v>1046</v>
      </c>
      <c r="F69" s="97" t="s">
        <v>1150</v>
      </c>
      <c r="G69" s="99">
        <v>0.02771990740740741</v>
      </c>
    </row>
    <row r="70">
      <c r="A70" s="96" t="s">
        <v>1481</v>
      </c>
      <c r="B70" s="96" t="s">
        <v>1524</v>
      </c>
      <c r="C70" s="97" t="s">
        <v>1533</v>
      </c>
      <c r="D70" s="98">
        <v>5.0</v>
      </c>
      <c r="E70" s="97" t="s">
        <v>1046</v>
      </c>
      <c r="F70" s="97" t="s">
        <v>1151</v>
      </c>
      <c r="G70" s="99">
        <v>0.01545138888888889</v>
      </c>
    </row>
    <row r="71">
      <c r="A71" s="96" t="s">
        <v>1481</v>
      </c>
      <c r="B71" s="96" t="s">
        <v>1524</v>
      </c>
      <c r="C71" s="97" t="s">
        <v>1533</v>
      </c>
      <c r="D71" s="98">
        <v>5.0</v>
      </c>
      <c r="E71" s="97" t="s">
        <v>1046</v>
      </c>
      <c r="F71" s="97" t="s">
        <v>1152</v>
      </c>
      <c r="G71" s="99">
        <v>0.012233796296296296</v>
      </c>
    </row>
    <row r="72">
      <c r="A72" s="96" t="s">
        <v>1481</v>
      </c>
      <c r="B72" s="96" t="s">
        <v>1524</v>
      </c>
      <c r="C72" s="97" t="s">
        <v>1533</v>
      </c>
      <c r="D72" s="98">
        <v>5.0</v>
      </c>
      <c r="E72" s="97" t="s">
        <v>1046</v>
      </c>
      <c r="F72" s="97" t="s">
        <v>1153</v>
      </c>
      <c r="G72" s="99">
        <v>0.013541666666666667</v>
      </c>
    </row>
    <row r="73">
      <c r="A73" s="96" t="s">
        <v>1481</v>
      </c>
      <c r="B73" s="96" t="s">
        <v>1524</v>
      </c>
      <c r="C73" s="97" t="s">
        <v>1533</v>
      </c>
      <c r="D73" s="98">
        <v>5.0</v>
      </c>
      <c r="E73" s="97" t="s">
        <v>1046</v>
      </c>
      <c r="F73" s="97" t="s">
        <v>1154</v>
      </c>
      <c r="G73" s="99">
        <v>0.015324074074074073</v>
      </c>
    </row>
    <row r="74">
      <c r="A74" s="96" t="s">
        <v>1481</v>
      </c>
      <c r="B74" s="96" t="s">
        <v>1524</v>
      </c>
      <c r="C74" s="97" t="s">
        <v>1533</v>
      </c>
      <c r="D74" s="98">
        <v>5.0</v>
      </c>
      <c r="E74" s="97" t="s">
        <v>1046</v>
      </c>
      <c r="F74" s="97" t="s">
        <v>1155</v>
      </c>
      <c r="G74" s="99">
        <v>0.05555555555555555</v>
      </c>
    </row>
    <row r="75">
      <c r="A75" s="96" t="s">
        <v>1481</v>
      </c>
      <c r="B75" s="96" t="s">
        <v>1524</v>
      </c>
      <c r="C75" s="97" t="s">
        <v>1533</v>
      </c>
      <c r="D75" s="98">
        <v>6.0</v>
      </c>
      <c r="E75" s="97" t="s">
        <v>1157</v>
      </c>
      <c r="F75" s="97" t="s">
        <v>1541</v>
      </c>
      <c r="G75" s="99">
        <v>0.019097222222222224</v>
      </c>
    </row>
    <row r="76">
      <c r="A76" s="96" t="s">
        <v>1481</v>
      </c>
      <c r="B76" s="96" t="s">
        <v>1524</v>
      </c>
      <c r="C76" s="97" t="s">
        <v>1533</v>
      </c>
      <c r="D76" s="98">
        <v>6.0</v>
      </c>
      <c r="E76" s="97" t="s">
        <v>1157</v>
      </c>
      <c r="F76" s="97" t="s">
        <v>1156</v>
      </c>
      <c r="G76" s="99">
        <v>0.021608796296296296</v>
      </c>
    </row>
    <row r="77">
      <c r="A77" s="96" t="s">
        <v>1481</v>
      </c>
      <c r="B77" s="96" t="s">
        <v>1524</v>
      </c>
      <c r="C77" s="97" t="s">
        <v>1533</v>
      </c>
      <c r="D77" s="98">
        <v>6.0</v>
      </c>
      <c r="E77" s="97" t="s">
        <v>1157</v>
      </c>
      <c r="F77" s="97" t="s">
        <v>1158</v>
      </c>
      <c r="G77" s="99">
        <v>0.019837962962962963</v>
      </c>
    </row>
    <row r="78">
      <c r="A78" s="96" t="s">
        <v>1481</v>
      </c>
      <c r="B78" s="96" t="s">
        <v>1524</v>
      </c>
      <c r="C78" s="97" t="s">
        <v>1533</v>
      </c>
      <c r="D78" s="98">
        <v>6.0</v>
      </c>
      <c r="E78" s="97" t="s">
        <v>1157</v>
      </c>
      <c r="F78" s="97" t="s">
        <v>1159</v>
      </c>
      <c r="G78" s="99">
        <v>0.017106481481481483</v>
      </c>
    </row>
    <row r="79">
      <c r="A79" s="96" t="s">
        <v>1481</v>
      </c>
      <c r="B79" s="96" t="s">
        <v>1524</v>
      </c>
      <c r="C79" s="97" t="s">
        <v>1533</v>
      </c>
      <c r="D79" s="98">
        <v>6.0</v>
      </c>
      <c r="E79" s="97" t="s">
        <v>1157</v>
      </c>
      <c r="F79" s="97" t="s">
        <v>1160</v>
      </c>
      <c r="G79" s="99">
        <v>0.023541666666666666</v>
      </c>
    </row>
    <row r="80">
      <c r="A80" s="96" t="s">
        <v>1481</v>
      </c>
      <c r="B80" s="96" t="s">
        <v>1524</v>
      </c>
      <c r="C80" s="97" t="s">
        <v>1533</v>
      </c>
      <c r="D80" s="98">
        <v>6.0</v>
      </c>
      <c r="E80" s="97" t="s">
        <v>1157</v>
      </c>
      <c r="F80" s="97" t="s">
        <v>1161</v>
      </c>
      <c r="G80" s="99">
        <v>0.016840277777777777</v>
      </c>
    </row>
    <row r="81">
      <c r="A81" s="96" t="s">
        <v>1481</v>
      </c>
      <c r="B81" s="96" t="s">
        <v>1524</v>
      </c>
      <c r="C81" s="97" t="s">
        <v>1533</v>
      </c>
      <c r="D81" s="98">
        <v>6.0</v>
      </c>
      <c r="E81" s="97" t="s">
        <v>1157</v>
      </c>
      <c r="F81" s="97" t="s">
        <v>1542</v>
      </c>
      <c r="G81" s="99">
        <v>0.018425925925925925</v>
      </c>
    </row>
    <row r="82">
      <c r="A82" s="96" t="s">
        <v>1481</v>
      </c>
      <c r="B82" s="96" t="s">
        <v>1524</v>
      </c>
      <c r="C82" s="97" t="s">
        <v>1533</v>
      </c>
      <c r="D82" s="98">
        <v>6.0</v>
      </c>
      <c r="E82" s="97" t="s">
        <v>1157</v>
      </c>
      <c r="F82" s="97" t="s">
        <v>1162</v>
      </c>
      <c r="G82" s="99">
        <v>0.016493055555555556</v>
      </c>
    </row>
    <row r="83">
      <c r="A83" s="96" t="s">
        <v>1481</v>
      </c>
      <c r="B83" s="96" t="s">
        <v>1524</v>
      </c>
      <c r="C83" s="97" t="s">
        <v>1533</v>
      </c>
      <c r="D83" s="98">
        <v>6.0</v>
      </c>
      <c r="E83" s="97" t="s">
        <v>1157</v>
      </c>
      <c r="F83" s="97" t="s">
        <v>1163</v>
      </c>
      <c r="G83" s="99">
        <v>0.05555555555555555</v>
      </c>
    </row>
    <row r="84">
      <c r="A84" s="96" t="s">
        <v>1481</v>
      </c>
      <c r="B84" s="96" t="s">
        <v>1524</v>
      </c>
      <c r="C84" s="97" t="s">
        <v>1533</v>
      </c>
      <c r="D84" s="98">
        <v>7.0</v>
      </c>
      <c r="E84" s="97" t="s">
        <v>1165</v>
      </c>
      <c r="F84" s="97" t="s">
        <v>1164</v>
      </c>
      <c r="G84" s="99">
        <v>0.017222222222222222</v>
      </c>
    </row>
    <row r="85">
      <c r="A85" s="96" t="s">
        <v>1481</v>
      </c>
      <c r="B85" s="96" t="s">
        <v>1524</v>
      </c>
      <c r="C85" s="97" t="s">
        <v>1533</v>
      </c>
      <c r="D85" s="98">
        <v>7.0</v>
      </c>
      <c r="E85" s="97" t="s">
        <v>1165</v>
      </c>
      <c r="F85" s="97" t="s">
        <v>1166</v>
      </c>
      <c r="G85" s="99">
        <v>0.015439814814814814</v>
      </c>
    </row>
    <row r="86">
      <c r="A86" s="96" t="s">
        <v>1481</v>
      </c>
      <c r="B86" s="96" t="s">
        <v>1524</v>
      </c>
      <c r="C86" s="97" t="s">
        <v>1543</v>
      </c>
      <c r="D86" s="98">
        <v>1.0</v>
      </c>
      <c r="E86" s="97" t="s">
        <v>1168</v>
      </c>
      <c r="F86" s="97" t="s">
        <v>1167</v>
      </c>
      <c r="G86" s="99">
        <v>0.015636574074074074</v>
      </c>
    </row>
    <row r="87">
      <c r="A87" s="96" t="s">
        <v>1481</v>
      </c>
      <c r="B87" s="96" t="s">
        <v>1524</v>
      </c>
      <c r="C87" s="97" t="s">
        <v>1543</v>
      </c>
      <c r="D87" s="98">
        <v>2.0</v>
      </c>
      <c r="E87" s="97" t="s">
        <v>1170</v>
      </c>
      <c r="F87" s="97" t="s">
        <v>1169</v>
      </c>
      <c r="G87" s="99">
        <v>0.011909722222222223</v>
      </c>
    </row>
    <row r="88">
      <c r="A88" s="96" t="s">
        <v>1481</v>
      </c>
      <c r="B88" s="96" t="s">
        <v>1524</v>
      </c>
      <c r="C88" s="97" t="s">
        <v>1543</v>
      </c>
      <c r="D88" s="98">
        <v>2.0</v>
      </c>
      <c r="E88" s="97" t="s">
        <v>1170</v>
      </c>
      <c r="F88" s="97" t="s">
        <v>1171</v>
      </c>
      <c r="G88" s="99">
        <v>0.01369212962962963</v>
      </c>
    </row>
    <row r="89">
      <c r="A89" s="96" t="s">
        <v>1481</v>
      </c>
      <c r="B89" s="96" t="s">
        <v>1524</v>
      </c>
      <c r="C89" s="97" t="s">
        <v>1543</v>
      </c>
      <c r="D89" s="98">
        <v>2.0</v>
      </c>
      <c r="E89" s="97" t="s">
        <v>1170</v>
      </c>
      <c r="F89" s="97" t="s">
        <v>1544</v>
      </c>
      <c r="G89" s="99">
        <v>0.01074074074074074</v>
      </c>
    </row>
    <row r="90">
      <c r="A90" s="96" t="s">
        <v>1481</v>
      </c>
      <c r="B90" s="96" t="s">
        <v>1524</v>
      </c>
      <c r="C90" s="97" t="s">
        <v>1543</v>
      </c>
      <c r="D90" s="98">
        <v>2.0</v>
      </c>
      <c r="E90" s="97" t="s">
        <v>1170</v>
      </c>
      <c r="F90" s="97" t="s">
        <v>1545</v>
      </c>
      <c r="G90" s="99">
        <v>0.00980324074074074</v>
      </c>
    </row>
    <row r="91">
      <c r="A91" s="96" t="s">
        <v>1481</v>
      </c>
      <c r="B91" s="96" t="s">
        <v>1524</v>
      </c>
      <c r="C91" s="97" t="s">
        <v>1543</v>
      </c>
      <c r="D91" s="98">
        <v>3.0</v>
      </c>
      <c r="E91" s="97" t="s">
        <v>1173</v>
      </c>
      <c r="F91" s="97" t="s">
        <v>1172</v>
      </c>
      <c r="G91" s="99">
        <v>0.016226851851851853</v>
      </c>
    </row>
    <row r="92">
      <c r="A92" s="96" t="s">
        <v>1481</v>
      </c>
      <c r="B92" s="96" t="s">
        <v>1524</v>
      </c>
      <c r="C92" s="97" t="s">
        <v>1543</v>
      </c>
      <c r="D92" s="98">
        <v>3.0</v>
      </c>
      <c r="E92" s="97" t="s">
        <v>1173</v>
      </c>
      <c r="F92" s="97" t="s">
        <v>1174</v>
      </c>
      <c r="G92" s="99">
        <v>0.017025462962962964</v>
      </c>
    </row>
    <row r="93">
      <c r="A93" s="96" t="s">
        <v>1481</v>
      </c>
      <c r="B93" s="96" t="s">
        <v>1524</v>
      </c>
      <c r="C93" s="97" t="s">
        <v>1543</v>
      </c>
      <c r="D93" s="98">
        <v>3.0</v>
      </c>
      <c r="E93" s="97" t="s">
        <v>1173</v>
      </c>
      <c r="F93" s="97" t="s">
        <v>1175</v>
      </c>
      <c r="G93" s="99">
        <v>0.019664351851851853</v>
      </c>
    </row>
    <row r="94">
      <c r="A94" s="96" t="s">
        <v>1481</v>
      </c>
      <c r="B94" s="96" t="s">
        <v>1524</v>
      </c>
      <c r="C94" s="97" t="s">
        <v>1543</v>
      </c>
      <c r="D94" s="98">
        <v>3.0</v>
      </c>
      <c r="E94" s="97" t="s">
        <v>1173</v>
      </c>
      <c r="F94" s="97" t="s">
        <v>1176</v>
      </c>
      <c r="G94" s="99">
        <v>0.011909722222222223</v>
      </c>
    </row>
    <row r="95">
      <c r="A95" s="96" t="s">
        <v>1481</v>
      </c>
      <c r="B95" s="96" t="s">
        <v>1524</v>
      </c>
      <c r="C95" s="97" t="s">
        <v>1543</v>
      </c>
      <c r="D95" s="98">
        <v>4.0</v>
      </c>
      <c r="E95" s="97" t="s">
        <v>1178</v>
      </c>
      <c r="F95" s="97" t="s">
        <v>1177</v>
      </c>
      <c r="G95" s="99">
        <v>0.014155092592592592</v>
      </c>
    </row>
    <row r="96">
      <c r="A96" s="96" t="s">
        <v>1481</v>
      </c>
      <c r="B96" s="96" t="s">
        <v>1524</v>
      </c>
      <c r="C96" s="97" t="s">
        <v>1543</v>
      </c>
      <c r="D96" s="98">
        <v>4.0</v>
      </c>
      <c r="E96" s="97" t="s">
        <v>1178</v>
      </c>
      <c r="F96" s="97" t="s">
        <v>1179</v>
      </c>
      <c r="G96" s="99">
        <v>0.013148148148148148</v>
      </c>
    </row>
    <row r="97">
      <c r="A97" s="96" t="s">
        <v>1481</v>
      </c>
      <c r="B97" s="96" t="s">
        <v>1524</v>
      </c>
      <c r="C97" s="97" t="s">
        <v>1543</v>
      </c>
      <c r="D97" s="98">
        <v>4.0</v>
      </c>
      <c r="E97" s="97" t="s">
        <v>1178</v>
      </c>
      <c r="F97" s="97" t="s">
        <v>1180</v>
      </c>
      <c r="G97" s="99">
        <v>0.05555555555555555</v>
      </c>
    </row>
    <row r="98">
      <c r="A98" s="96" t="s">
        <v>1481</v>
      </c>
      <c r="B98" s="96" t="s">
        <v>1524</v>
      </c>
      <c r="C98" s="97" t="s">
        <v>1546</v>
      </c>
      <c r="D98" s="98">
        <v>1.0</v>
      </c>
      <c r="E98" s="97" t="s">
        <v>1186</v>
      </c>
      <c r="F98" s="97" t="s">
        <v>672</v>
      </c>
      <c r="G98" s="99">
        <v>0.006724537037037037</v>
      </c>
    </row>
    <row r="99">
      <c r="A99" s="96" t="s">
        <v>1481</v>
      </c>
      <c r="B99" s="96" t="s">
        <v>1524</v>
      </c>
      <c r="C99" s="97" t="s">
        <v>1546</v>
      </c>
      <c r="D99" s="98">
        <v>1.0</v>
      </c>
      <c r="E99" s="97" t="s">
        <v>1186</v>
      </c>
      <c r="F99" s="97" t="s">
        <v>675</v>
      </c>
      <c r="G99" s="99">
        <v>0.011979166666666667</v>
      </c>
    </row>
    <row r="100">
      <c r="A100" s="96" t="s">
        <v>1481</v>
      </c>
      <c r="B100" s="96" t="s">
        <v>1524</v>
      </c>
      <c r="C100" s="100"/>
      <c r="D100" s="101"/>
      <c r="E100" s="100"/>
      <c r="F100" s="100"/>
      <c r="G100" s="100"/>
    </row>
    <row r="101">
      <c r="A101" s="96" t="s">
        <v>1481</v>
      </c>
      <c r="B101" s="96" t="s">
        <v>1524</v>
      </c>
      <c r="C101" s="97" t="s">
        <v>1546</v>
      </c>
      <c r="D101" s="98">
        <v>1.0</v>
      </c>
      <c r="E101" s="97" t="s">
        <v>1186</v>
      </c>
      <c r="F101" s="97" t="s">
        <v>677</v>
      </c>
      <c r="G101" s="99">
        <v>0.006122685185185185</v>
      </c>
    </row>
    <row r="102">
      <c r="A102" s="96" t="s">
        <v>1481</v>
      </c>
      <c r="B102" s="96" t="s">
        <v>1524</v>
      </c>
      <c r="C102" s="97" t="s">
        <v>1546</v>
      </c>
      <c r="D102" s="98">
        <v>1.0</v>
      </c>
      <c r="E102" s="97" t="s">
        <v>1186</v>
      </c>
      <c r="F102" s="97" t="s">
        <v>679</v>
      </c>
      <c r="G102" s="99">
        <v>0.011041666666666667</v>
      </c>
    </row>
    <row r="103">
      <c r="A103" s="96" t="s">
        <v>1481</v>
      </c>
      <c r="B103" s="96" t="s">
        <v>1524</v>
      </c>
      <c r="C103" s="97" t="s">
        <v>1546</v>
      </c>
      <c r="D103" s="98">
        <v>1.0</v>
      </c>
      <c r="E103" s="97" t="s">
        <v>1186</v>
      </c>
      <c r="F103" s="97" t="s">
        <v>1181</v>
      </c>
      <c r="G103" s="99">
        <v>0.00869212962962963</v>
      </c>
    </row>
    <row r="104">
      <c r="A104" s="96" t="s">
        <v>1481</v>
      </c>
      <c r="B104" s="96" t="s">
        <v>1524</v>
      </c>
      <c r="C104" s="97" t="s">
        <v>1546</v>
      </c>
      <c r="D104" s="98">
        <v>1.0</v>
      </c>
      <c r="E104" s="97" t="s">
        <v>1186</v>
      </c>
      <c r="F104" s="97" t="s">
        <v>732</v>
      </c>
      <c r="G104" s="99">
        <v>0.0076851851851851855</v>
      </c>
    </row>
    <row r="105">
      <c r="A105" s="96" t="s">
        <v>1481</v>
      </c>
      <c r="B105" s="96" t="s">
        <v>1524</v>
      </c>
      <c r="C105" s="97" t="s">
        <v>1546</v>
      </c>
      <c r="D105" s="98">
        <v>1.0</v>
      </c>
      <c r="E105" s="97" t="s">
        <v>1186</v>
      </c>
      <c r="F105" s="97" t="s">
        <v>734</v>
      </c>
      <c r="G105" s="99">
        <v>0.005497685185185185</v>
      </c>
    </row>
    <row r="106">
      <c r="A106" s="96" t="s">
        <v>1481</v>
      </c>
      <c r="B106" s="96" t="s">
        <v>1524</v>
      </c>
      <c r="C106" s="97" t="s">
        <v>1546</v>
      </c>
      <c r="D106" s="98">
        <v>1.0</v>
      </c>
      <c r="E106" s="97" t="s">
        <v>1186</v>
      </c>
      <c r="F106" s="97" t="s">
        <v>1183</v>
      </c>
      <c r="G106" s="99">
        <v>0.007476851851851852</v>
      </c>
    </row>
    <row r="107">
      <c r="A107" s="96" t="s">
        <v>1481</v>
      </c>
      <c r="B107" s="96" t="s">
        <v>1524</v>
      </c>
      <c r="C107" s="97" t="s">
        <v>1546</v>
      </c>
      <c r="D107" s="98">
        <v>1.0</v>
      </c>
      <c r="E107" s="97" t="s">
        <v>1186</v>
      </c>
      <c r="F107" s="97" t="s">
        <v>1547</v>
      </c>
      <c r="G107" s="99">
        <v>0.05555555555555555</v>
      </c>
    </row>
    <row r="108">
      <c r="A108" s="96" t="s">
        <v>1481</v>
      </c>
      <c r="B108" s="96" t="s">
        <v>1524</v>
      </c>
      <c r="C108" s="97" t="s">
        <v>1546</v>
      </c>
      <c r="D108" s="98">
        <v>1.0</v>
      </c>
      <c r="E108" s="97" t="s">
        <v>1186</v>
      </c>
      <c r="F108" s="97" t="s">
        <v>1185</v>
      </c>
      <c r="G108" s="99">
        <v>0.05555555555555555</v>
      </c>
    </row>
    <row r="109">
      <c r="A109" s="96" t="s">
        <v>1481</v>
      </c>
      <c r="B109" s="96" t="s">
        <v>1524</v>
      </c>
      <c r="C109" s="97" t="s">
        <v>1546</v>
      </c>
      <c r="D109" s="98">
        <v>2.0</v>
      </c>
      <c r="E109" s="97" t="s">
        <v>1189</v>
      </c>
      <c r="F109" s="97" t="s">
        <v>1187</v>
      </c>
      <c r="G109" s="99">
        <v>0.014212962962962964</v>
      </c>
    </row>
    <row r="110">
      <c r="A110" s="96" t="s">
        <v>1481</v>
      </c>
      <c r="B110" s="96" t="s">
        <v>1524</v>
      </c>
      <c r="C110" s="97" t="s">
        <v>1546</v>
      </c>
      <c r="D110" s="98">
        <v>2.0</v>
      </c>
      <c r="E110" s="97" t="s">
        <v>1189</v>
      </c>
      <c r="F110" s="97" t="s">
        <v>707</v>
      </c>
      <c r="G110" s="99">
        <v>0.01885416666666667</v>
      </c>
    </row>
    <row r="111">
      <c r="A111" s="96" t="s">
        <v>1481</v>
      </c>
      <c r="B111" s="96" t="s">
        <v>1524</v>
      </c>
      <c r="C111" s="97" t="s">
        <v>1546</v>
      </c>
      <c r="D111" s="98">
        <v>2.0</v>
      </c>
      <c r="E111" s="97" t="s">
        <v>1189</v>
      </c>
      <c r="F111" s="97" t="s">
        <v>747</v>
      </c>
      <c r="G111" s="99">
        <v>0.008680555555555556</v>
      </c>
    </row>
    <row r="112">
      <c r="A112" s="96" t="s">
        <v>1481</v>
      </c>
      <c r="B112" s="96" t="s">
        <v>1524</v>
      </c>
      <c r="C112" s="97" t="s">
        <v>1546</v>
      </c>
      <c r="D112" s="98">
        <v>2.0</v>
      </c>
      <c r="E112" s="97" t="s">
        <v>1189</v>
      </c>
      <c r="F112" s="97" t="s">
        <v>1190</v>
      </c>
      <c r="G112" s="99">
        <v>0.007094907407407407</v>
      </c>
    </row>
    <row r="113">
      <c r="A113" s="96" t="s">
        <v>1481</v>
      </c>
      <c r="B113" s="96" t="s">
        <v>1524</v>
      </c>
      <c r="C113" s="97" t="s">
        <v>1546</v>
      </c>
      <c r="D113" s="98">
        <v>2.0</v>
      </c>
      <c r="E113" s="97" t="s">
        <v>1189</v>
      </c>
      <c r="F113" s="97" t="s">
        <v>1478</v>
      </c>
      <c r="G113" s="99">
        <v>0.006076388888888889</v>
      </c>
    </row>
    <row r="114">
      <c r="A114" s="96" t="s">
        <v>1481</v>
      </c>
      <c r="B114" s="96" t="s">
        <v>1524</v>
      </c>
      <c r="C114" s="97" t="s">
        <v>1546</v>
      </c>
      <c r="D114" s="98">
        <v>2.0</v>
      </c>
      <c r="E114" s="97" t="s">
        <v>1189</v>
      </c>
      <c r="F114" s="97" t="s">
        <v>750</v>
      </c>
      <c r="G114" s="99">
        <v>0.005300925925925926</v>
      </c>
    </row>
    <row r="115">
      <c r="A115" s="96" t="s">
        <v>1481</v>
      </c>
      <c r="B115" s="96" t="s">
        <v>1524</v>
      </c>
      <c r="C115" s="97" t="s">
        <v>1546</v>
      </c>
      <c r="D115" s="98">
        <v>2.0</v>
      </c>
      <c r="E115" s="97" t="s">
        <v>1189</v>
      </c>
      <c r="F115" s="97" t="s">
        <v>752</v>
      </c>
      <c r="G115" s="99">
        <v>0.006574074074074074</v>
      </c>
    </row>
    <row r="116">
      <c r="A116" s="96" t="s">
        <v>1481</v>
      </c>
      <c r="B116" s="96" t="s">
        <v>1524</v>
      </c>
      <c r="C116" s="97" t="s">
        <v>1546</v>
      </c>
      <c r="D116" s="98">
        <v>2.0</v>
      </c>
      <c r="E116" s="97" t="s">
        <v>1189</v>
      </c>
      <c r="F116" s="97" t="s">
        <v>754</v>
      </c>
      <c r="G116" s="99">
        <v>0.004837962962962963</v>
      </c>
    </row>
    <row r="117">
      <c r="A117" s="96" t="s">
        <v>1481</v>
      </c>
      <c r="B117" s="96" t="s">
        <v>1524</v>
      </c>
      <c r="C117" s="97" t="s">
        <v>1546</v>
      </c>
      <c r="D117" s="98">
        <v>2.0</v>
      </c>
      <c r="E117" s="97" t="s">
        <v>1189</v>
      </c>
      <c r="F117" s="97" t="s">
        <v>756</v>
      </c>
      <c r="G117" s="99">
        <v>0.006851851851851852</v>
      </c>
    </row>
    <row r="118">
      <c r="A118" s="96" t="s">
        <v>1481</v>
      </c>
      <c r="B118" s="96" t="s">
        <v>1524</v>
      </c>
      <c r="C118" s="97" t="s">
        <v>1546</v>
      </c>
      <c r="D118" s="98">
        <v>2.0</v>
      </c>
      <c r="E118" s="97" t="s">
        <v>1189</v>
      </c>
      <c r="F118" s="97" t="s">
        <v>1192</v>
      </c>
      <c r="G118" s="99">
        <v>0.05555555555555555</v>
      </c>
    </row>
    <row r="119">
      <c r="A119" s="96" t="s">
        <v>1481</v>
      </c>
      <c r="B119" s="96" t="s">
        <v>1524</v>
      </c>
      <c r="C119" s="97" t="s">
        <v>1546</v>
      </c>
      <c r="D119" s="98">
        <v>2.0</v>
      </c>
      <c r="E119" s="97" t="s">
        <v>1189</v>
      </c>
      <c r="F119" s="97" t="s">
        <v>1193</v>
      </c>
      <c r="G119" s="99">
        <v>0.05555555555555555</v>
      </c>
    </row>
    <row r="120">
      <c r="A120" s="96" t="s">
        <v>1481</v>
      </c>
      <c r="B120" s="96" t="s">
        <v>1524</v>
      </c>
      <c r="C120" s="97" t="s">
        <v>1546</v>
      </c>
      <c r="D120" s="98">
        <v>3.0</v>
      </c>
      <c r="E120" s="97" t="s">
        <v>1195</v>
      </c>
      <c r="F120" s="97" t="s">
        <v>1194</v>
      </c>
      <c r="G120" s="99">
        <v>0.005092592592592593</v>
      </c>
    </row>
    <row r="121">
      <c r="A121" s="96" t="s">
        <v>1481</v>
      </c>
      <c r="B121" s="96" t="s">
        <v>1524</v>
      </c>
      <c r="C121" s="97" t="s">
        <v>1546</v>
      </c>
      <c r="D121" s="98">
        <v>3.0</v>
      </c>
      <c r="E121" s="97" t="s">
        <v>1195</v>
      </c>
      <c r="F121" s="97" t="s">
        <v>1196</v>
      </c>
      <c r="G121" s="99">
        <v>0.006284722222222222</v>
      </c>
    </row>
    <row r="122">
      <c r="A122" s="96" t="s">
        <v>1481</v>
      </c>
      <c r="B122" s="96" t="s">
        <v>1524</v>
      </c>
      <c r="C122" s="97" t="s">
        <v>1546</v>
      </c>
      <c r="D122" s="98">
        <v>3.0</v>
      </c>
      <c r="E122" s="97" t="s">
        <v>1195</v>
      </c>
      <c r="F122" s="97" t="s">
        <v>1197</v>
      </c>
      <c r="G122" s="99">
        <v>0.006666666666666667</v>
      </c>
    </row>
    <row r="123">
      <c r="A123" s="96" t="s">
        <v>1481</v>
      </c>
      <c r="B123" s="96" t="s">
        <v>1524</v>
      </c>
      <c r="C123" s="97" t="s">
        <v>1546</v>
      </c>
      <c r="D123" s="98">
        <v>3.0</v>
      </c>
      <c r="E123" s="97" t="s">
        <v>1195</v>
      </c>
      <c r="F123" s="97" t="s">
        <v>1198</v>
      </c>
      <c r="G123" s="99">
        <v>0.021770833333333333</v>
      </c>
    </row>
    <row r="124">
      <c r="A124" s="96" t="s">
        <v>1481</v>
      </c>
      <c r="B124" s="96" t="s">
        <v>1524</v>
      </c>
      <c r="C124" s="97" t="s">
        <v>1546</v>
      </c>
      <c r="D124" s="98">
        <v>3.0</v>
      </c>
      <c r="E124" s="97" t="s">
        <v>1195</v>
      </c>
      <c r="F124" s="97" t="s">
        <v>1548</v>
      </c>
      <c r="G124" s="99">
        <v>0.01849537037037037</v>
      </c>
    </row>
    <row r="125">
      <c r="A125" s="96" t="s">
        <v>1481</v>
      </c>
      <c r="B125" s="96" t="s">
        <v>1524</v>
      </c>
      <c r="C125" s="97" t="s">
        <v>1546</v>
      </c>
      <c r="D125" s="98">
        <v>3.0</v>
      </c>
      <c r="E125" s="97" t="s">
        <v>1195</v>
      </c>
      <c r="F125" s="97" t="s">
        <v>1199</v>
      </c>
      <c r="G125" s="99">
        <v>0.016550925925925927</v>
      </c>
    </row>
    <row r="126">
      <c r="A126" s="96" t="s">
        <v>1481</v>
      </c>
      <c r="B126" s="96" t="s">
        <v>1524</v>
      </c>
      <c r="C126" s="97" t="s">
        <v>1546</v>
      </c>
      <c r="D126" s="98">
        <v>3.0</v>
      </c>
      <c r="E126" s="97" t="s">
        <v>1195</v>
      </c>
      <c r="F126" s="97" t="s">
        <v>1200</v>
      </c>
      <c r="G126" s="99">
        <v>0.01607638888888889</v>
      </c>
    </row>
    <row r="127">
      <c r="A127" s="96" t="s">
        <v>1481</v>
      </c>
      <c r="B127" s="96" t="s">
        <v>1524</v>
      </c>
      <c r="C127" s="97" t="s">
        <v>1546</v>
      </c>
      <c r="D127" s="98">
        <v>3.0</v>
      </c>
      <c r="E127" s="97" t="s">
        <v>1195</v>
      </c>
      <c r="F127" s="97" t="s">
        <v>1201</v>
      </c>
      <c r="G127" s="99">
        <v>0.05555555555555555</v>
      </c>
    </row>
    <row r="128">
      <c r="A128" s="96" t="s">
        <v>1481</v>
      </c>
      <c r="B128" s="96" t="s">
        <v>1524</v>
      </c>
      <c r="C128" s="97" t="s">
        <v>1546</v>
      </c>
      <c r="D128" s="98">
        <v>3.0</v>
      </c>
      <c r="E128" s="97" t="s">
        <v>1195</v>
      </c>
      <c r="F128" s="97" t="s">
        <v>1202</v>
      </c>
      <c r="G128" s="99">
        <v>0.05555555555555555</v>
      </c>
    </row>
    <row r="129">
      <c r="A129" s="100"/>
      <c r="B129" s="100"/>
      <c r="C129" s="100"/>
      <c r="D129" s="101"/>
      <c r="E129" s="100"/>
      <c r="F129" s="100"/>
      <c r="G129" s="100"/>
    </row>
    <row r="130" ht="30.0" customHeight="1">
      <c r="A130" s="100"/>
      <c r="B130" s="100"/>
      <c r="C130" s="100"/>
      <c r="D130" s="101"/>
      <c r="E130" s="100"/>
      <c r="F130" s="100"/>
      <c r="G130" s="100"/>
    </row>
    <row r="131">
      <c r="A131" s="100"/>
      <c r="B131" s="100"/>
      <c r="C131" s="100"/>
      <c r="D131" s="101"/>
      <c r="E131" s="100"/>
      <c r="F131" s="100"/>
      <c r="G131" s="100"/>
    </row>
    <row r="132">
      <c r="A132" s="100"/>
      <c r="B132" s="100"/>
      <c r="C132" s="100"/>
      <c r="D132" s="101"/>
      <c r="E132" s="100"/>
      <c r="F132" s="100"/>
      <c r="G132" s="100"/>
    </row>
    <row r="133">
      <c r="A133" s="100"/>
      <c r="B133" s="100"/>
      <c r="C133" s="100"/>
      <c r="D133" s="101"/>
      <c r="E133" s="100"/>
      <c r="F133" s="100"/>
      <c r="G133" s="100"/>
    </row>
    <row r="134">
      <c r="A134" s="100"/>
      <c r="B134" s="100"/>
      <c r="C134" s="100"/>
      <c r="D134" s="101"/>
      <c r="E134" s="100"/>
      <c r="F134" s="100"/>
      <c r="G134" s="100"/>
    </row>
    <row r="135">
      <c r="A135" s="100"/>
      <c r="B135" s="100"/>
      <c r="C135" s="100"/>
      <c r="D135" s="101"/>
      <c r="E135" s="100"/>
      <c r="F135" s="100"/>
      <c r="G135" s="100"/>
    </row>
    <row r="136">
      <c r="A136" s="100"/>
      <c r="B136" s="100"/>
      <c r="C136" s="100"/>
      <c r="D136" s="101"/>
      <c r="E136" s="100"/>
      <c r="F136" s="100"/>
      <c r="G136" s="100"/>
    </row>
    <row r="137">
      <c r="A137" s="100"/>
      <c r="B137" s="100"/>
      <c r="C137" s="100"/>
      <c r="D137" s="101"/>
      <c r="E137" s="100"/>
      <c r="F137" s="100"/>
      <c r="G137" s="100"/>
    </row>
    <row r="138">
      <c r="A138" s="100"/>
      <c r="B138" s="100"/>
      <c r="C138" s="100"/>
      <c r="D138" s="101"/>
      <c r="E138" s="100"/>
      <c r="F138" s="100"/>
      <c r="G138" s="100"/>
    </row>
    <row r="139">
      <c r="A139" s="100"/>
      <c r="B139" s="100"/>
      <c r="C139" s="100"/>
      <c r="D139" s="101"/>
      <c r="E139" s="100"/>
      <c r="F139" s="100"/>
      <c r="G139" s="100"/>
    </row>
    <row r="140">
      <c r="A140" s="100"/>
      <c r="B140" s="100"/>
      <c r="C140" s="100"/>
      <c r="D140" s="101"/>
      <c r="E140" s="100"/>
      <c r="F140" s="100"/>
      <c r="G140" s="100"/>
    </row>
    <row r="141">
      <c r="A141" s="100"/>
      <c r="B141" s="100"/>
      <c r="C141" s="100"/>
      <c r="D141" s="101"/>
      <c r="E141" s="100"/>
      <c r="F141" s="100"/>
      <c r="G141" s="100"/>
    </row>
    <row r="142">
      <c r="A142" s="100"/>
      <c r="B142" s="100"/>
      <c r="C142" s="100"/>
      <c r="D142" s="101"/>
      <c r="E142" s="100"/>
      <c r="F142" s="100"/>
      <c r="G142" s="100"/>
    </row>
    <row r="143">
      <c r="A143" s="100"/>
      <c r="B143" s="100"/>
      <c r="C143" s="100"/>
      <c r="D143" s="101"/>
      <c r="E143" s="100"/>
      <c r="F143" s="100"/>
      <c r="G143" s="100"/>
    </row>
    <row r="144">
      <c r="A144" s="100"/>
      <c r="B144" s="100"/>
      <c r="C144" s="100"/>
      <c r="D144" s="101"/>
      <c r="E144" s="100"/>
      <c r="F144" s="100"/>
      <c r="G144" s="100"/>
    </row>
    <row r="145">
      <c r="A145" s="100"/>
      <c r="B145" s="100"/>
      <c r="C145" s="100"/>
      <c r="D145" s="101"/>
      <c r="E145" s="100"/>
      <c r="F145" s="100"/>
      <c r="G145" s="100"/>
    </row>
    <row r="146">
      <c r="A146" s="100"/>
      <c r="B146" s="100"/>
      <c r="C146" s="100"/>
      <c r="D146" s="101"/>
      <c r="E146" s="100"/>
      <c r="F146" s="100"/>
      <c r="G146" s="100"/>
    </row>
    <row r="147">
      <c r="A147" s="100"/>
      <c r="B147" s="100"/>
      <c r="C147" s="100"/>
      <c r="D147" s="101"/>
      <c r="E147" s="100"/>
      <c r="F147" s="100"/>
      <c r="G147" s="100"/>
    </row>
    <row r="148">
      <c r="A148" s="100"/>
      <c r="B148" s="100"/>
      <c r="C148" s="100"/>
      <c r="D148" s="101"/>
      <c r="E148" s="100"/>
      <c r="F148" s="100"/>
      <c r="G148" s="100"/>
    </row>
    <row r="149">
      <c r="A149" s="100"/>
      <c r="B149" s="100"/>
      <c r="C149" s="100"/>
      <c r="D149" s="101"/>
      <c r="E149" s="100"/>
      <c r="F149" s="100"/>
      <c r="G149" s="100"/>
    </row>
    <row r="150">
      <c r="A150" s="100"/>
      <c r="B150" s="100"/>
      <c r="C150" s="100"/>
      <c r="D150" s="101"/>
      <c r="E150" s="100"/>
      <c r="F150" s="100"/>
      <c r="G150" s="100"/>
    </row>
    <row r="151">
      <c r="A151" s="100"/>
      <c r="B151" s="100"/>
      <c r="C151" s="100"/>
      <c r="D151" s="101"/>
      <c r="E151" s="100"/>
      <c r="F151" s="100"/>
      <c r="G151" s="100"/>
    </row>
  </sheetData>
  <printOptions gridLines="1" horizontalCentered="1"/>
  <pageMargins bottom="0.75" footer="0.0" header="0.0" left="0.7" right="0.7" top="0.75"/>
  <pageSetup fitToHeight="0"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1" max="3" width="20.0"/>
    <col customWidth="1" min="4" max="4" width="7.33"/>
    <col customWidth="1" min="5" max="5" width="39.0"/>
    <col customWidth="1" min="6" max="6" width="54.44"/>
    <col customWidth="1" min="7" max="7" width="7.44"/>
  </cols>
  <sheetData>
    <row r="1">
      <c r="A1" s="102" t="s">
        <v>1355</v>
      </c>
      <c r="B1" s="102" t="s">
        <v>1376</v>
      </c>
      <c r="C1" s="103" t="s">
        <v>1356</v>
      </c>
      <c r="D1" s="103" t="s">
        <v>1357</v>
      </c>
      <c r="E1" s="103" t="s">
        <v>13</v>
      </c>
      <c r="F1" s="103" t="s">
        <v>1359</v>
      </c>
      <c r="G1" s="103" t="s">
        <v>1360</v>
      </c>
    </row>
    <row r="2">
      <c r="A2" s="96" t="s">
        <v>1549</v>
      </c>
      <c r="B2" s="96" t="s">
        <v>1550</v>
      </c>
      <c r="C2" s="97" t="s">
        <v>1551</v>
      </c>
      <c r="D2" s="98">
        <v>1.0</v>
      </c>
      <c r="E2" s="97" t="s">
        <v>1205</v>
      </c>
      <c r="F2" s="97" t="s">
        <v>1203</v>
      </c>
      <c r="G2" s="99">
        <v>0.012453703703703703</v>
      </c>
    </row>
    <row r="3">
      <c r="A3" s="96" t="s">
        <v>1549</v>
      </c>
      <c r="B3" s="96" t="s">
        <v>1550</v>
      </c>
      <c r="C3" s="97" t="s">
        <v>1551</v>
      </c>
      <c r="D3" s="98">
        <v>1.0</v>
      </c>
      <c r="E3" s="97" t="s">
        <v>1205</v>
      </c>
      <c r="F3" s="97" t="s">
        <v>1206</v>
      </c>
      <c r="G3" s="99">
        <v>0.006736111111111111</v>
      </c>
    </row>
    <row r="4">
      <c r="A4" s="96" t="s">
        <v>1549</v>
      </c>
      <c r="B4" s="96" t="s">
        <v>1550</v>
      </c>
      <c r="C4" s="97" t="s">
        <v>1551</v>
      </c>
      <c r="D4" s="98">
        <v>1.0</v>
      </c>
      <c r="E4" s="97" t="s">
        <v>1205</v>
      </c>
      <c r="F4" s="97" t="s">
        <v>1208</v>
      </c>
      <c r="G4" s="99">
        <v>0.014849537037037038</v>
      </c>
    </row>
    <row r="5">
      <c r="A5" s="96" t="s">
        <v>1549</v>
      </c>
      <c r="B5" s="96" t="s">
        <v>1550</v>
      </c>
      <c r="C5" s="97" t="s">
        <v>1551</v>
      </c>
      <c r="D5" s="98">
        <v>1.0</v>
      </c>
      <c r="E5" s="97" t="s">
        <v>1205</v>
      </c>
      <c r="F5" s="97" t="s">
        <v>1210</v>
      </c>
      <c r="G5" s="99">
        <v>0.009722222222222222</v>
      </c>
    </row>
    <row r="6">
      <c r="A6" s="96" t="s">
        <v>1549</v>
      </c>
      <c r="B6" s="96" t="s">
        <v>1550</v>
      </c>
      <c r="C6" s="97" t="s">
        <v>1551</v>
      </c>
      <c r="D6" s="98">
        <v>1.0</v>
      </c>
      <c r="E6" s="97" t="s">
        <v>1205</v>
      </c>
      <c r="F6" s="97" t="s">
        <v>1212</v>
      </c>
      <c r="G6" s="99">
        <v>0.014004629629629629</v>
      </c>
    </row>
    <row r="7">
      <c r="A7" s="96" t="s">
        <v>1549</v>
      </c>
      <c r="B7" s="96" t="s">
        <v>1550</v>
      </c>
      <c r="C7" s="97" t="s">
        <v>1551</v>
      </c>
      <c r="D7" s="98">
        <v>1.0</v>
      </c>
      <c r="E7" s="97" t="s">
        <v>1205</v>
      </c>
      <c r="F7" s="97" t="s">
        <v>1214</v>
      </c>
      <c r="G7" s="99">
        <v>0.010601851851851852</v>
      </c>
    </row>
    <row r="8">
      <c r="A8" s="96" t="s">
        <v>1549</v>
      </c>
      <c r="B8" s="96" t="s">
        <v>1550</v>
      </c>
      <c r="C8" s="97" t="s">
        <v>1551</v>
      </c>
      <c r="D8" s="98">
        <v>1.0</v>
      </c>
      <c r="E8" s="97" t="s">
        <v>1205</v>
      </c>
      <c r="F8" s="97" t="s">
        <v>1216</v>
      </c>
      <c r="G8" s="99">
        <v>0.01579861111111111</v>
      </c>
    </row>
    <row r="9">
      <c r="A9" s="96" t="s">
        <v>1549</v>
      </c>
      <c r="B9" s="96" t="s">
        <v>1550</v>
      </c>
      <c r="C9" s="97" t="s">
        <v>1551</v>
      </c>
      <c r="D9" s="98">
        <v>1.0</v>
      </c>
      <c r="E9" s="97" t="s">
        <v>1205</v>
      </c>
      <c r="F9" s="97" t="s">
        <v>1218</v>
      </c>
      <c r="G9" s="99">
        <v>0.015150462962962963</v>
      </c>
    </row>
    <row r="10">
      <c r="A10" s="96" t="s">
        <v>1549</v>
      </c>
      <c r="B10" s="96" t="s">
        <v>1550</v>
      </c>
      <c r="C10" s="97" t="s">
        <v>1551</v>
      </c>
      <c r="D10" s="98">
        <v>1.0</v>
      </c>
      <c r="E10" s="97" t="s">
        <v>1205</v>
      </c>
      <c r="F10" s="97" t="s">
        <v>1220</v>
      </c>
      <c r="G10" s="99">
        <v>0.007476851851851852</v>
      </c>
    </row>
    <row r="11">
      <c r="A11" s="96" t="s">
        <v>1549</v>
      </c>
      <c r="B11" s="96" t="s">
        <v>1550</v>
      </c>
      <c r="C11" s="97" t="s">
        <v>1551</v>
      </c>
      <c r="D11" s="98">
        <v>1.0</v>
      </c>
      <c r="E11" s="97" t="s">
        <v>1205</v>
      </c>
      <c r="F11" s="97" t="s">
        <v>1552</v>
      </c>
      <c r="G11" s="99">
        <v>0.020833333333333332</v>
      </c>
    </row>
    <row r="12">
      <c r="A12" s="96" t="s">
        <v>1549</v>
      </c>
      <c r="B12" s="96" t="s">
        <v>1550</v>
      </c>
      <c r="C12" s="97" t="s">
        <v>1551</v>
      </c>
      <c r="D12" s="98">
        <v>1.0</v>
      </c>
      <c r="E12" s="97" t="s">
        <v>1205</v>
      </c>
      <c r="F12" s="97" t="s">
        <v>1553</v>
      </c>
      <c r="G12" s="99">
        <v>0.03125</v>
      </c>
    </row>
    <row r="13">
      <c r="A13" s="96" t="s">
        <v>1549</v>
      </c>
      <c r="B13" s="96" t="s">
        <v>1550</v>
      </c>
      <c r="C13" s="97" t="s">
        <v>1551</v>
      </c>
      <c r="D13" s="98">
        <v>1.0</v>
      </c>
      <c r="E13" s="97" t="s">
        <v>1205</v>
      </c>
      <c r="F13" s="97" t="s">
        <v>1554</v>
      </c>
      <c r="G13" s="99">
        <v>0.03125</v>
      </c>
    </row>
    <row r="14">
      <c r="A14" s="96" t="s">
        <v>1549</v>
      </c>
      <c r="B14" s="96" t="s">
        <v>1550</v>
      </c>
      <c r="C14" s="97" t="s">
        <v>1551</v>
      </c>
      <c r="D14" s="98">
        <v>2.0</v>
      </c>
      <c r="E14" s="97" t="s">
        <v>1224</v>
      </c>
      <c r="F14" s="97" t="s">
        <v>1222</v>
      </c>
      <c r="G14" s="99">
        <v>0.013298611111111112</v>
      </c>
    </row>
    <row r="15">
      <c r="A15" s="96" t="s">
        <v>1549</v>
      </c>
      <c r="B15" s="96" t="s">
        <v>1550</v>
      </c>
      <c r="C15" s="97" t="s">
        <v>1551</v>
      </c>
      <c r="D15" s="98">
        <v>2.0</v>
      </c>
      <c r="E15" s="97" t="s">
        <v>1224</v>
      </c>
      <c r="F15" s="97" t="s">
        <v>1225</v>
      </c>
      <c r="G15" s="99">
        <v>0.013113425925925926</v>
      </c>
    </row>
    <row r="16">
      <c r="A16" s="96" t="s">
        <v>1549</v>
      </c>
      <c r="B16" s="96" t="s">
        <v>1550</v>
      </c>
      <c r="C16" s="97" t="s">
        <v>1551</v>
      </c>
      <c r="D16" s="98">
        <v>2.0</v>
      </c>
      <c r="E16" s="97" t="s">
        <v>1224</v>
      </c>
      <c r="F16" s="97" t="s">
        <v>1227</v>
      </c>
      <c r="G16" s="99">
        <v>0.014918981481481481</v>
      </c>
    </row>
    <row r="17">
      <c r="A17" s="96" t="s">
        <v>1549</v>
      </c>
      <c r="B17" s="96" t="s">
        <v>1550</v>
      </c>
      <c r="C17" s="97" t="s">
        <v>1551</v>
      </c>
      <c r="D17" s="98">
        <v>2.0</v>
      </c>
      <c r="E17" s="97" t="s">
        <v>1224</v>
      </c>
      <c r="F17" s="97" t="s">
        <v>1555</v>
      </c>
      <c r="G17" s="99">
        <v>0.02122685185185185</v>
      </c>
    </row>
    <row r="18">
      <c r="A18" s="96" t="s">
        <v>1549</v>
      </c>
      <c r="B18" s="96" t="s">
        <v>1550</v>
      </c>
      <c r="C18" s="97" t="s">
        <v>1556</v>
      </c>
      <c r="D18" s="98">
        <v>1.0</v>
      </c>
      <c r="E18" s="97" t="s">
        <v>1231</v>
      </c>
      <c r="F18" s="97" t="s">
        <v>1229</v>
      </c>
      <c r="G18" s="99">
        <v>0.014108796296296296</v>
      </c>
    </row>
    <row r="19">
      <c r="A19" s="96" t="s">
        <v>1549</v>
      </c>
      <c r="B19" s="96" t="s">
        <v>1550</v>
      </c>
      <c r="C19" s="97" t="s">
        <v>1556</v>
      </c>
      <c r="D19" s="98">
        <v>1.0</v>
      </c>
      <c r="E19" s="97" t="s">
        <v>1231</v>
      </c>
      <c r="F19" s="97" t="s">
        <v>1557</v>
      </c>
      <c r="G19" s="99">
        <v>0.01170138888888889</v>
      </c>
    </row>
    <row r="20">
      <c r="A20" s="96" t="s">
        <v>1549</v>
      </c>
      <c r="B20" s="96" t="s">
        <v>1550</v>
      </c>
      <c r="C20" s="97" t="s">
        <v>1556</v>
      </c>
      <c r="D20" s="98">
        <v>1.0</v>
      </c>
      <c r="E20" s="97" t="s">
        <v>1231</v>
      </c>
      <c r="F20" s="97" t="s">
        <v>1558</v>
      </c>
      <c r="G20" s="99">
        <v>0.017974537037037035</v>
      </c>
    </row>
    <row r="21">
      <c r="A21" s="96" t="s">
        <v>1549</v>
      </c>
      <c r="B21" s="96" t="s">
        <v>1550</v>
      </c>
      <c r="C21" s="97" t="s">
        <v>1556</v>
      </c>
      <c r="D21" s="98">
        <v>1.0</v>
      </c>
      <c r="E21" s="97" t="s">
        <v>1231</v>
      </c>
      <c r="F21" s="97" t="s">
        <v>1232</v>
      </c>
      <c r="G21" s="99">
        <v>0.018564814814814815</v>
      </c>
    </row>
    <row r="22">
      <c r="A22" s="96" t="s">
        <v>1549</v>
      </c>
      <c r="B22" s="96" t="s">
        <v>1550</v>
      </c>
      <c r="C22" s="97" t="s">
        <v>1556</v>
      </c>
      <c r="D22" s="98">
        <v>1.0</v>
      </c>
      <c r="E22" s="97" t="s">
        <v>1231</v>
      </c>
      <c r="F22" s="97" t="s">
        <v>1234</v>
      </c>
      <c r="G22" s="99">
        <v>0.012777777777777779</v>
      </c>
    </row>
    <row r="23">
      <c r="A23" s="96" t="s">
        <v>1549</v>
      </c>
      <c r="B23" s="96" t="s">
        <v>1550</v>
      </c>
      <c r="C23" s="97" t="s">
        <v>1556</v>
      </c>
      <c r="D23" s="98">
        <v>2.0</v>
      </c>
      <c r="E23" s="97" t="s">
        <v>1238</v>
      </c>
      <c r="F23" s="97" t="s">
        <v>1236</v>
      </c>
      <c r="G23" s="99">
        <v>0.007951388888888888</v>
      </c>
    </row>
    <row r="24">
      <c r="A24" s="96" t="s">
        <v>1549</v>
      </c>
      <c r="B24" s="96" t="s">
        <v>1550</v>
      </c>
      <c r="C24" s="97" t="s">
        <v>1556</v>
      </c>
      <c r="D24" s="98">
        <v>2.0</v>
      </c>
      <c r="E24" s="97" t="s">
        <v>1238</v>
      </c>
      <c r="F24" s="97" t="s">
        <v>1239</v>
      </c>
      <c r="G24" s="99">
        <v>0.008460648148148148</v>
      </c>
    </row>
    <row r="25">
      <c r="A25" s="96" t="s">
        <v>1549</v>
      </c>
      <c r="B25" s="96" t="s">
        <v>1550</v>
      </c>
      <c r="C25" s="97" t="s">
        <v>1556</v>
      </c>
      <c r="D25" s="98">
        <v>2.0</v>
      </c>
      <c r="E25" s="97" t="s">
        <v>1238</v>
      </c>
      <c r="F25" s="97" t="s">
        <v>1241</v>
      </c>
      <c r="G25" s="99">
        <v>0.0038888888888888888</v>
      </c>
    </row>
    <row r="26">
      <c r="A26" s="96" t="s">
        <v>1549</v>
      </c>
      <c r="B26" s="96" t="s">
        <v>1550</v>
      </c>
      <c r="C26" s="97" t="s">
        <v>1556</v>
      </c>
      <c r="D26" s="98">
        <v>2.0</v>
      </c>
      <c r="E26" s="97" t="s">
        <v>1238</v>
      </c>
      <c r="F26" s="97" t="s">
        <v>1243</v>
      </c>
      <c r="G26" s="99">
        <v>0.007905092592592592</v>
      </c>
    </row>
    <row r="27">
      <c r="A27" s="96" t="s">
        <v>1549</v>
      </c>
      <c r="B27" s="96" t="s">
        <v>1550</v>
      </c>
      <c r="C27" s="97" t="s">
        <v>1556</v>
      </c>
      <c r="D27" s="98">
        <v>2.0</v>
      </c>
      <c r="E27" s="97" t="s">
        <v>1238</v>
      </c>
      <c r="F27" s="97" t="s">
        <v>1245</v>
      </c>
      <c r="G27" s="99">
        <v>0.03125</v>
      </c>
    </row>
    <row r="28">
      <c r="A28" s="96" t="s">
        <v>1549</v>
      </c>
      <c r="B28" s="96" t="s">
        <v>1550</v>
      </c>
      <c r="C28" s="97" t="s">
        <v>1556</v>
      </c>
      <c r="D28" s="98">
        <v>3.0</v>
      </c>
      <c r="E28" s="97" t="s">
        <v>1559</v>
      </c>
      <c r="F28" s="97" t="s">
        <v>327</v>
      </c>
      <c r="G28" s="99">
        <v>0.015636574074074074</v>
      </c>
    </row>
    <row r="29">
      <c r="A29" s="96" t="s">
        <v>1549</v>
      </c>
      <c r="B29" s="96" t="s">
        <v>1550</v>
      </c>
      <c r="C29" s="97" t="s">
        <v>1556</v>
      </c>
      <c r="D29" s="98">
        <v>3.0</v>
      </c>
      <c r="E29" s="97" t="s">
        <v>1559</v>
      </c>
      <c r="F29" s="97" t="s">
        <v>330</v>
      </c>
      <c r="G29" s="99">
        <v>0.018703703703703705</v>
      </c>
    </row>
    <row r="30">
      <c r="A30" s="96" t="s">
        <v>1549</v>
      </c>
      <c r="B30" s="96" t="s">
        <v>1550</v>
      </c>
      <c r="C30" s="97" t="s">
        <v>1556</v>
      </c>
      <c r="D30" s="98">
        <v>3.0</v>
      </c>
      <c r="E30" s="97" t="s">
        <v>1559</v>
      </c>
      <c r="F30" s="97" t="s">
        <v>332</v>
      </c>
      <c r="G30" s="99">
        <v>0.016030092592592592</v>
      </c>
    </row>
    <row r="31">
      <c r="A31" s="96" t="s">
        <v>1549</v>
      </c>
      <c r="B31" s="96" t="s">
        <v>1550</v>
      </c>
      <c r="C31" s="97" t="s">
        <v>1556</v>
      </c>
      <c r="D31" s="98">
        <v>3.0</v>
      </c>
      <c r="E31" s="97" t="s">
        <v>1559</v>
      </c>
      <c r="F31" s="97" t="s">
        <v>340</v>
      </c>
      <c r="G31" s="99">
        <v>0.019363425925925926</v>
      </c>
    </row>
    <row r="32">
      <c r="A32" s="96" t="s">
        <v>1549</v>
      </c>
      <c r="B32" s="96" t="s">
        <v>1550</v>
      </c>
      <c r="C32" s="97" t="s">
        <v>1556</v>
      </c>
      <c r="D32" s="98">
        <v>4.0</v>
      </c>
      <c r="E32" s="97" t="s">
        <v>1248</v>
      </c>
      <c r="F32" s="97" t="s">
        <v>1246</v>
      </c>
      <c r="G32" s="99">
        <v>0.0030092592592592593</v>
      </c>
    </row>
    <row r="33">
      <c r="A33" s="96" t="s">
        <v>1549</v>
      </c>
      <c r="B33" s="96" t="s">
        <v>1550</v>
      </c>
      <c r="C33" s="97" t="s">
        <v>1556</v>
      </c>
      <c r="D33" s="98">
        <v>4.0</v>
      </c>
      <c r="E33" s="97" t="s">
        <v>1248</v>
      </c>
      <c r="F33" s="97" t="s">
        <v>1249</v>
      </c>
      <c r="G33" s="99">
        <v>0.01412037037037037</v>
      </c>
    </row>
    <row r="34">
      <c r="A34" s="96" t="s">
        <v>1549</v>
      </c>
      <c r="B34" s="96" t="s">
        <v>1550</v>
      </c>
      <c r="C34" s="97" t="s">
        <v>1556</v>
      </c>
      <c r="D34" s="98">
        <v>4.0</v>
      </c>
      <c r="E34" s="97" t="s">
        <v>1248</v>
      </c>
      <c r="F34" s="97" t="s">
        <v>1251</v>
      </c>
      <c r="G34" s="99">
        <v>0.01565972222222222</v>
      </c>
    </row>
    <row r="35">
      <c r="A35" s="96" t="s">
        <v>1549</v>
      </c>
      <c r="B35" s="96" t="s">
        <v>1550</v>
      </c>
      <c r="C35" s="97" t="s">
        <v>1556</v>
      </c>
      <c r="D35" s="98">
        <v>4.0</v>
      </c>
      <c r="E35" s="97" t="s">
        <v>1248</v>
      </c>
      <c r="F35" s="97" t="s">
        <v>1560</v>
      </c>
      <c r="G35" s="99">
        <v>0.041666666666666664</v>
      </c>
    </row>
    <row r="36">
      <c r="A36" s="96" t="s">
        <v>1549</v>
      </c>
      <c r="B36" s="96" t="s">
        <v>1550</v>
      </c>
      <c r="C36" s="97" t="s">
        <v>1556</v>
      </c>
      <c r="D36" s="98">
        <v>4.0</v>
      </c>
      <c r="E36" s="97" t="s">
        <v>1248</v>
      </c>
      <c r="F36" s="97" t="s">
        <v>1253</v>
      </c>
      <c r="G36" s="99">
        <v>0.0625</v>
      </c>
    </row>
    <row r="37">
      <c r="A37" s="96" t="s">
        <v>1549</v>
      </c>
      <c r="B37" s="96" t="s">
        <v>1550</v>
      </c>
      <c r="C37" s="97" t="s">
        <v>1556</v>
      </c>
      <c r="D37" s="98">
        <v>4.0</v>
      </c>
      <c r="E37" s="97" t="s">
        <v>1248</v>
      </c>
      <c r="F37" s="97" t="s">
        <v>1254</v>
      </c>
      <c r="G37" s="99">
        <v>0.041666666666666664</v>
      </c>
    </row>
    <row r="38">
      <c r="A38" s="96" t="s">
        <v>1549</v>
      </c>
      <c r="B38" s="96" t="s">
        <v>1550</v>
      </c>
      <c r="C38" s="97" t="s">
        <v>1556</v>
      </c>
      <c r="D38" s="98">
        <v>4.0</v>
      </c>
      <c r="E38" s="97" t="s">
        <v>1248</v>
      </c>
      <c r="F38" s="97" t="s">
        <v>1255</v>
      </c>
      <c r="G38" s="99">
        <v>0.03125</v>
      </c>
    </row>
    <row r="39">
      <c r="A39" s="96" t="s">
        <v>1549</v>
      </c>
      <c r="B39" s="96" t="s">
        <v>1550</v>
      </c>
      <c r="C39" s="97" t="s">
        <v>1561</v>
      </c>
      <c r="D39" s="98">
        <v>1.0</v>
      </c>
      <c r="E39" s="97" t="s">
        <v>1258</v>
      </c>
      <c r="F39" s="97" t="s">
        <v>1256</v>
      </c>
      <c r="G39" s="99">
        <v>0.01769675925925926</v>
      </c>
    </row>
    <row r="40">
      <c r="A40" s="96" t="s">
        <v>1549</v>
      </c>
      <c r="B40" s="96" t="s">
        <v>1550</v>
      </c>
      <c r="C40" s="97" t="s">
        <v>1561</v>
      </c>
      <c r="D40" s="98">
        <v>1.0</v>
      </c>
      <c r="E40" s="97" t="s">
        <v>1258</v>
      </c>
      <c r="F40" s="97" t="s">
        <v>1259</v>
      </c>
      <c r="G40" s="99">
        <v>0.009444444444444445</v>
      </c>
    </row>
    <row r="41">
      <c r="A41" s="96" t="s">
        <v>1549</v>
      </c>
      <c r="B41" s="96" t="s">
        <v>1550</v>
      </c>
      <c r="C41" s="97" t="s">
        <v>1561</v>
      </c>
      <c r="D41" s="98">
        <v>1.0</v>
      </c>
      <c r="E41" s="97" t="s">
        <v>1258</v>
      </c>
      <c r="F41" s="97" t="s">
        <v>1261</v>
      </c>
      <c r="G41" s="99">
        <v>0.015462962962962963</v>
      </c>
    </row>
    <row r="42">
      <c r="A42" s="96" t="s">
        <v>1549</v>
      </c>
      <c r="B42" s="96" t="s">
        <v>1550</v>
      </c>
      <c r="C42" s="97" t="s">
        <v>1561</v>
      </c>
      <c r="D42" s="98">
        <v>1.0</v>
      </c>
      <c r="E42" s="97" t="s">
        <v>1258</v>
      </c>
      <c r="F42" s="97" t="s">
        <v>1263</v>
      </c>
      <c r="G42" s="99">
        <v>0.0625</v>
      </c>
    </row>
    <row r="43">
      <c r="A43" s="96" t="s">
        <v>1549</v>
      </c>
      <c r="B43" s="96" t="s">
        <v>1550</v>
      </c>
      <c r="C43" s="97" t="s">
        <v>1561</v>
      </c>
      <c r="D43" s="98">
        <v>2.0</v>
      </c>
      <c r="E43" s="97" t="s">
        <v>1266</v>
      </c>
      <c r="F43" s="97" t="s">
        <v>1264</v>
      </c>
      <c r="G43" s="99">
        <v>0.018125</v>
      </c>
    </row>
    <row r="44">
      <c r="A44" s="96" t="s">
        <v>1549</v>
      </c>
      <c r="B44" s="96" t="s">
        <v>1550</v>
      </c>
      <c r="C44" s="97" t="s">
        <v>1561</v>
      </c>
      <c r="D44" s="98">
        <v>2.0</v>
      </c>
      <c r="E44" s="97" t="s">
        <v>1266</v>
      </c>
      <c r="F44" s="97" t="s">
        <v>1562</v>
      </c>
      <c r="G44" s="99">
        <v>0.009664351851851851</v>
      </c>
    </row>
    <row r="45">
      <c r="A45" s="96" t="s">
        <v>1549</v>
      </c>
      <c r="B45" s="96" t="s">
        <v>1550</v>
      </c>
      <c r="C45" s="97" t="s">
        <v>1561</v>
      </c>
      <c r="D45" s="98">
        <v>2.0</v>
      </c>
      <c r="E45" s="97" t="s">
        <v>1266</v>
      </c>
      <c r="F45" s="97" t="s">
        <v>1563</v>
      </c>
      <c r="G45" s="99">
        <v>0.017083333333333332</v>
      </c>
    </row>
    <row r="46">
      <c r="A46" s="96" t="s">
        <v>1549</v>
      </c>
      <c r="B46" s="96" t="s">
        <v>1550</v>
      </c>
      <c r="C46" s="97" t="s">
        <v>1561</v>
      </c>
      <c r="D46" s="98">
        <v>2.0</v>
      </c>
      <c r="E46" s="97" t="s">
        <v>1266</v>
      </c>
      <c r="F46" s="97" t="s">
        <v>1267</v>
      </c>
      <c r="G46" s="99">
        <v>0.014560185185185185</v>
      </c>
    </row>
    <row r="47">
      <c r="A47" s="96" t="s">
        <v>1549</v>
      </c>
      <c r="B47" s="96" t="s">
        <v>1550</v>
      </c>
      <c r="C47" s="97" t="s">
        <v>1561</v>
      </c>
      <c r="D47" s="98">
        <v>2.0</v>
      </c>
      <c r="E47" s="97" t="s">
        <v>1266</v>
      </c>
      <c r="F47" s="97" t="s">
        <v>1269</v>
      </c>
      <c r="G47" s="99">
        <v>0.013969907407407407</v>
      </c>
    </row>
    <row r="48">
      <c r="A48" s="96" t="s">
        <v>1549</v>
      </c>
      <c r="B48" s="96" t="s">
        <v>1550</v>
      </c>
      <c r="C48" s="97" t="s">
        <v>1561</v>
      </c>
      <c r="D48" s="98">
        <v>2.0</v>
      </c>
      <c r="E48" s="97" t="s">
        <v>1266</v>
      </c>
      <c r="F48" s="97" t="s">
        <v>1271</v>
      </c>
      <c r="G48" s="99">
        <v>0.017916666666666668</v>
      </c>
    </row>
    <row r="49">
      <c r="A49" s="96" t="s">
        <v>1549</v>
      </c>
      <c r="B49" s="96" t="s">
        <v>1550</v>
      </c>
      <c r="C49" s="97" t="s">
        <v>1561</v>
      </c>
      <c r="D49" s="98">
        <v>2.0</v>
      </c>
      <c r="E49" s="97" t="s">
        <v>1266</v>
      </c>
      <c r="F49" s="97" t="s">
        <v>1273</v>
      </c>
      <c r="G49" s="99">
        <v>0.08333333333333333</v>
      </c>
    </row>
    <row r="50">
      <c r="A50" s="96" t="s">
        <v>1549</v>
      </c>
      <c r="B50" s="96" t="s">
        <v>1550</v>
      </c>
      <c r="C50" s="97" t="s">
        <v>1561</v>
      </c>
      <c r="D50" s="98">
        <v>2.0</v>
      </c>
      <c r="E50" s="97" t="s">
        <v>1266</v>
      </c>
      <c r="F50" s="97" t="s">
        <v>1274</v>
      </c>
      <c r="G50" s="99">
        <v>0.08333333333333333</v>
      </c>
    </row>
    <row r="51">
      <c r="A51" s="96" t="s">
        <v>1549</v>
      </c>
      <c r="B51" s="96" t="s">
        <v>1550</v>
      </c>
      <c r="C51" s="97" t="s">
        <v>1561</v>
      </c>
      <c r="D51" s="98">
        <v>2.0</v>
      </c>
      <c r="E51" s="97" t="s">
        <v>1266</v>
      </c>
      <c r="F51" s="97" t="s">
        <v>1564</v>
      </c>
      <c r="G51" s="99">
        <v>0.08333333333333333</v>
      </c>
    </row>
    <row r="52">
      <c r="A52" s="96" t="s">
        <v>1549</v>
      </c>
      <c r="B52" s="96" t="s">
        <v>1550</v>
      </c>
      <c r="C52" s="97" t="s">
        <v>1565</v>
      </c>
      <c r="D52" s="98">
        <v>1.0</v>
      </c>
      <c r="E52" s="97" t="s">
        <v>1277</v>
      </c>
      <c r="F52" s="97" t="s">
        <v>1275</v>
      </c>
      <c r="G52" s="99">
        <v>0.012847222222222222</v>
      </c>
    </row>
    <row r="53">
      <c r="A53" s="96" t="s">
        <v>1549</v>
      </c>
      <c r="B53" s="96" t="s">
        <v>1550</v>
      </c>
      <c r="C53" s="97" t="s">
        <v>1565</v>
      </c>
      <c r="D53" s="98">
        <v>1.0</v>
      </c>
      <c r="E53" s="97" t="s">
        <v>1277</v>
      </c>
      <c r="F53" s="97" t="s">
        <v>1278</v>
      </c>
      <c r="G53" s="99">
        <v>0.012326388888888888</v>
      </c>
    </row>
    <row r="54">
      <c r="A54" s="96" t="s">
        <v>1549</v>
      </c>
      <c r="B54" s="96" t="s">
        <v>1550</v>
      </c>
      <c r="C54" s="97" t="s">
        <v>1565</v>
      </c>
      <c r="D54" s="98">
        <v>1.0</v>
      </c>
      <c r="E54" s="97" t="s">
        <v>1277</v>
      </c>
      <c r="F54" s="97" t="s">
        <v>1280</v>
      </c>
      <c r="G54" s="99">
        <v>0.016770833333333332</v>
      </c>
    </row>
    <row r="55">
      <c r="A55" s="96" t="s">
        <v>1549</v>
      </c>
      <c r="B55" s="96" t="s">
        <v>1550</v>
      </c>
      <c r="C55" s="97" t="s">
        <v>1565</v>
      </c>
      <c r="D55" s="98">
        <v>1.0</v>
      </c>
      <c r="E55" s="97" t="s">
        <v>1277</v>
      </c>
      <c r="F55" s="97" t="s">
        <v>1282</v>
      </c>
      <c r="G55" s="99">
        <v>0.013020833333333334</v>
      </c>
    </row>
    <row r="56">
      <c r="A56" s="96" t="s">
        <v>1549</v>
      </c>
      <c r="B56" s="96" t="s">
        <v>1550</v>
      </c>
      <c r="C56" s="97" t="s">
        <v>1565</v>
      </c>
      <c r="D56" s="98">
        <v>1.0</v>
      </c>
      <c r="E56" s="97" t="s">
        <v>1277</v>
      </c>
      <c r="F56" s="97" t="s">
        <v>1284</v>
      </c>
      <c r="G56" s="99">
        <v>0.022372685185185186</v>
      </c>
    </row>
    <row r="57">
      <c r="A57" s="96" t="s">
        <v>1549</v>
      </c>
      <c r="B57" s="96" t="s">
        <v>1550</v>
      </c>
      <c r="C57" s="97" t="s">
        <v>1565</v>
      </c>
      <c r="D57" s="98">
        <v>1.0</v>
      </c>
      <c r="E57" s="97" t="s">
        <v>1277</v>
      </c>
      <c r="F57" s="97" t="s">
        <v>1566</v>
      </c>
      <c r="G57" s="99">
        <v>0.013958333333333333</v>
      </c>
    </row>
    <row r="58">
      <c r="A58" s="96" t="s">
        <v>1549</v>
      </c>
      <c r="B58" s="96" t="s">
        <v>1550</v>
      </c>
      <c r="C58" s="97" t="s">
        <v>1565</v>
      </c>
      <c r="D58" s="98">
        <v>1.0</v>
      </c>
      <c r="E58" s="97" t="s">
        <v>1277</v>
      </c>
      <c r="F58" s="97" t="s">
        <v>1286</v>
      </c>
      <c r="G58" s="99">
        <v>0.08333333333333333</v>
      </c>
    </row>
    <row r="59">
      <c r="A59" s="96" t="s">
        <v>1549</v>
      </c>
      <c r="B59" s="96" t="s">
        <v>1550</v>
      </c>
      <c r="C59" s="97" t="s">
        <v>1565</v>
      </c>
      <c r="D59" s="98">
        <v>2.0</v>
      </c>
      <c r="E59" s="97" t="s">
        <v>1289</v>
      </c>
      <c r="F59" s="97" t="s">
        <v>1287</v>
      </c>
      <c r="G59" s="99">
        <v>0.010127314814814815</v>
      </c>
    </row>
    <row r="60">
      <c r="A60" s="96" t="s">
        <v>1549</v>
      </c>
      <c r="B60" s="96" t="s">
        <v>1550</v>
      </c>
      <c r="C60" s="97" t="s">
        <v>1565</v>
      </c>
      <c r="D60" s="98">
        <v>2.0</v>
      </c>
      <c r="E60" s="97" t="s">
        <v>1289</v>
      </c>
      <c r="F60" s="97" t="s">
        <v>1290</v>
      </c>
      <c r="G60" s="99">
        <v>0.017708333333333333</v>
      </c>
    </row>
    <row r="61">
      <c r="A61" s="96" t="s">
        <v>1549</v>
      </c>
      <c r="B61" s="96" t="s">
        <v>1550</v>
      </c>
      <c r="C61" s="97" t="s">
        <v>1565</v>
      </c>
      <c r="D61" s="98">
        <v>2.0</v>
      </c>
      <c r="E61" s="97" t="s">
        <v>1289</v>
      </c>
      <c r="F61" s="97" t="s">
        <v>1292</v>
      </c>
      <c r="G61" s="99">
        <v>0.015023148148148148</v>
      </c>
    </row>
    <row r="62">
      <c r="A62" s="96" t="s">
        <v>1549</v>
      </c>
      <c r="B62" s="96" t="s">
        <v>1550</v>
      </c>
      <c r="C62" s="97" t="s">
        <v>1565</v>
      </c>
      <c r="D62" s="98">
        <v>2.0</v>
      </c>
      <c r="E62" s="97" t="s">
        <v>1289</v>
      </c>
      <c r="F62" s="97" t="s">
        <v>1567</v>
      </c>
      <c r="G62" s="99">
        <v>0.017465277777777777</v>
      </c>
    </row>
    <row r="63">
      <c r="A63" s="96" t="s">
        <v>1549</v>
      </c>
      <c r="B63" s="96" t="s">
        <v>1550</v>
      </c>
      <c r="C63" s="97" t="s">
        <v>1565</v>
      </c>
      <c r="D63" s="98">
        <v>2.0</v>
      </c>
      <c r="E63" s="97" t="s">
        <v>1289</v>
      </c>
      <c r="F63" s="97" t="s">
        <v>1294</v>
      </c>
      <c r="G63" s="99">
        <v>0.08333333333333333</v>
      </c>
    </row>
    <row r="64">
      <c r="A64" s="96" t="s">
        <v>1549</v>
      </c>
      <c r="B64" s="96" t="s">
        <v>1550</v>
      </c>
      <c r="C64" s="97" t="s">
        <v>1565</v>
      </c>
      <c r="D64" s="98">
        <v>2.0</v>
      </c>
      <c r="E64" s="97" t="s">
        <v>1289</v>
      </c>
      <c r="F64" s="97" t="s">
        <v>1295</v>
      </c>
      <c r="G64" s="99">
        <v>0.08333333333333333</v>
      </c>
    </row>
    <row r="65">
      <c r="A65" s="96" t="s">
        <v>1549</v>
      </c>
      <c r="B65" s="96" t="s">
        <v>1550</v>
      </c>
      <c r="C65" s="97" t="s">
        <v>1565</v>
      </c>
      <c r="D65" s="98">
        <v>2.0</v>
      </c>
      <c r="E65" s="97" t="s">
        <v>1289</v>
      </c>
      <c r="F65" s="97" t="s">
        <v>1296</v>
      </c>
      <c r="G65" s="99">
        <v>0.11458333333333333</v>
      </c>
    </row>
    <row r="66">
      <c r="A66" s="96" t="s">
        <v>1549</v>
      </c>
      <c r="B66" s="96" t="s">
        <v>1550</v>
      </c>
      <c r="C66" s="97" t="s">
        <v>1565</v>
      </c>
      <c r="D66" s="98">
        <v>2.0</v>
      </c>
      <c r="E66" s="97" t="s">
        <v>1289</v>
      </c>
      <c r="F66" s="97" t="s">
        <v>1297</v>
      </c>
      <c r="G66" s="99">
        <v>0.03125</v>
      </c>
    </row>
    <row r="67">
      <c r="A67" s="96" t="s">
        <v>1549</v>
      </c>
      <c r="B67" s="96" t="s">
        <v>1550</v>
      </c>
      <c r="C67" s="97" t="s">
        <v>1568</v>
      </c>
      <c r="D67" s="98">
        <v>1.0</v>
      </c>
      <c r="E67" s="97" t="s">
        <v>1300</v>
      </c>
      <c r="F67" s="97" t="s">
        <v>1569</v>
      </c>
      <c r="G67" s="99">
        <v>0.0053125</v>
      </c>
    </row>
    <row r="68">
      <c r="A68" s="96" t="s">
        <v>1549</v>
      </c>
      <c r="B68" s="96" t="s">
        <v>1550</v>
      </c>
      <c r="C68" s="97" t="s">
        <v>1568</v>
      </c>
      <c r="D68" s="98">
        <v>1.0</v>
      </c>
      <c r="E68" s="97" t="s">
        <v>1300</v>
      </c>
      <c r="F68" s="97" t="s">
        <v>1570</v>
      </c>
      <c r="G68" s="99">
        <v>0.0050347222222222225</v>
      </c>
    </row>
    <row r="69">
      <c r="A69" s="96" t="s">
        <v>1549</v>
      </c>
      <c r="B69" s="96" t="s">
        <v>1550</v>
      </c>
      <c r="C69" s="97" t="s">
        <v>1568</v>
      </c>
      <c r="D69" s="98">
        <v>1.0</v>
      </c>
      <c r="E69" s="97" t="s">
        <v>1300</v>
      </c>
      <c r="F69" s="97" t="s">
        <v>1298</v>
      </c>
      <c r="G69" s="99">
        <v>0.005300925925925926</v>
      </c>
    </row>
    <row r="70">
      <c r="A70" s="96" t="s">
        <v>1549</v>
      </c>
      <c r="B70" s="96" t="s">
        <v>1550</v>
      </c>
      <c r="C70" s="97" t="s">
        <v>1568</v>
      </c>
      <c r="D70" s="98">
        <v>1.0</v>
      </c>
      <c r="E70" s="97" t="s">
        <v>1300</v>
      </c>
      <c r="F70" s="97" t="s">
        <v>1301</v>
      </c>
      <c r="G70" s="99">
        <v>0.007418981481481481</v>
      </c>
    </row>
    <row r="71">
      <c r="A71" s="96" t="s">
        <v>1549</v>
      </c>
      <c r="B71" s="96" t="s">
        <v>1550</v>
      </c>
      <c r="C71" s="97" t="s">
        <v>1568</v>
      </c>
      <c r="D71" s="98">
        <v>1.0</v>
      </c>
      <c r="E71" s="97" t="s">
        <v>1300</v>
      </c>
      <c r="F71" s="97" t="s">
        <v>1303</v>
      </c>
      <c r="G71" s="99">
        <v>0.0030324074074074073</v>
      </c>
    </row>
    <row r="72">
      <c r="A72" s="96" t="s">
        <v>1549</v>
      </c>
      <c r="B72" s="96" t="s">
        <v>1550</v>
      </c>
      <c r="C72" s="97" t="s">
        <v>1568</v>
      </c>
      <c r="D72" s="98">
        <v>1.0</v>
      </c>
      <c r="E72" s="97" t="s">
        <v>1300</v>
      </c>
      <c r="F72" s="97" t="s">
        <v>1305</v>
      </c>
      <c r="G72" s="99">
        <v>0.005208333333333333</v>
      </c>
    </row>
    <row r="73">
      <c r="A73" s="96" t="s">
        <v>1549</v>
      </c>
      <c r="B73" s="96" t="s">
        <v>1550</v>
      </c>
      <c r="C73" s="97" t="s">
        <v>1568</v>
      </c>
      <c r="D73" s="98">
        <v>1.0</v>
      </c>
      <c r="E73" s="97" t="s">
        <v>1300</v>
      </c>
      <c r="F73" s="97" t="s">
        <v>1307</v>
      </c>
      <c r="G73" s="99">
        <v>0.00537037037037037</v>
      </c>
    </row>
    <row r="74">
      <c r="A74" s="96" t="s">
        <v>1549</v>
      </c>
      <c r="B74" s="96" t="s">
        <v>1550</v>
      </c>
      <c r="C74" s="97" t="s">
        <v>1568</v>
      </c>
      <c r="D74" s="98">
        <v>1.0</v>
      </c>
      <c r="E74" s="97" t="s">
        <v>1300</v>
      </c>
      <c r="F74" s="97" t="s">
        <v>1309</v>
      </c>
      <c r="G74" s="99">
        <v>0.0036458333333333334</v>
      </c>
    </row>
    <row r="75">
      <c r="A75" s="96" t="s">
        <v>1549</v>
      </c>
      <c r="B75" s="96" t="s">
        <v>1550</v>
      </c>
      <c r="C75" s="97" t="s">
        <v>1568</v>
      </c>
      <c r="D75" s="98">
        <v>1.0</v>
      </c>
      <c r="E75" s="97" t="s">
        <v>1300</v>
      </c>
      <c r="F75" s="97" t="s">
        <v>1311</v>
      </c>
      <c r="G75" s="99">
        <v>0.007893518518518518</v>
      </c>
    </row>
    <row r="76">
      <c r="A76" s="96" t="s">
        <v>1549</v>
      </c>
      <c r="B76" s="96" t="s">
        <v>1550</v>
      </c>
      <c r="C76" s="97" t="s">
        <v>1568</v>
      </c>
      <c r="D76" s="98">
        <v>1.0</v>
      </c>
      <c r="E76" s="97" t="s">
        <v>1300</v>
      </c>
      <c r="F76" s="97" t="s">
        <v>1313</v>
      </c>
      <c r="G76" s="99">
        <v>0.006099537037037037</v>
      </c>
    </row>
    <row r="77">
      <c r="A77" s="96" t="s">
        <v>1549</v>
      </c>
      <c r="B77" s="96" t="s">
        <v>1550</v>
      </c>
      <c r="C77" s="97" t="s">
        <v>1568</v>
      </c>
      <c r="D77" s="98">
        <v>2.0</v>
      </c>
      <c r="E77" s="97" t="s">
        <v>1317</v>
      </c>
      <c r="F77" s="97" t="s">
        <v>1315</v>
      </c>
      <c r="G77" s="99">
        <v>0.010393518518518519</v>
      </c>
    </row>
    <row r="78">
      <c r="A78" s="96" t="s">
        <v>1549</v>
      </c>
      <c r="B78" s="96" t="s">
        <v>1550</v>
      </c>
      <c r="C78" s="97" t="s">
        <v>1568</v>
      </c>
      <c r="D78" s="98">
        <v>2.0</v>
      </c>
      <c r="E78" s="97" t="s">
        <v>1317</v>
      </c>
      <c r="F78" s="97" t="s">
        <v>1571</v>
      </c>
      <c r="G78" s="99">
        <v>0.002337962962962963</v>
      </c>
    </row>
    <row r="79">
      <c r="A79" s="96" t="s">
        <v>1549</v>
      </c>
      <c r="B79" s="96" t="s">
        <v>1550</v>
      </c>
      <c r="C79" s="97" t="s">
        <v>1568</v>
      </c>
      <c r="D79" s="98">
        <v>2.0</v>
      </c>
      <c r="E79" s="97" t="s">
        <v>1317</v>
      </c>
      <c r="F79" s="97" t="s">
        <v>1318</v>
      </c>
      <c r="G79" s="99">
        <v>0.007060185185185185</v>
      </c>
    </row>
    <row r="80">
      <c r="A80" s="96" t="s">
        <v>1549</v>
      </c>
      <c r="B80" s="96" t="s">
        <v>1550</v>
      </c>
      <c r="C80" s="97" t="s">
        <v>1568</v>
      </c>
      <c r="D80" s="98">
        <v>2.0</v>
      </c>
      <c r="E80" s="97" t="s">
        <v>1317</v>
      </c>
      <c r="F80" s="97" t="s">
        <v>1320</v>
      </c>
      <c r="G80" s="99">
        <v>0.007592592592592593</v>
      </c>
    </row>
    <row r="81">
      <c r="A81" s="96" t="s">
        <v>1549</v>
      </c>
      <c r="B81" s="96" t="s">
        <v>1550</v>
      </c>
      <c r="C81" s="97" t="s">
        <v>1568</v>
      </c>
      <c r="D81" s="98">
        <v>2.0</v>
      </c>
      <c r="E81" s="97" t="s">
        <v>1317</v>
      </c>
      <c r="F81" s="97" t="s">
        <v>1322</v>
      </c>
      <c r="G81" s="99">
        <v>0.002928240740740741</v>
      </c>
    </row>
    <row r="82">
      <c r="A82" s="96" t="s">
        <v>1549</v>
      </c>
      <c r="B82" s="96" t="s">
        <v>1550</v>
      </c>
      <c r="C82" s="97" t="s">
        <v>1568</v>
      </c>
      <c r="D82" s="98">
        <v>2.0</v>
      </c>
      <c r="E82" s="97" t="s">
        <v>1317</v>
      </c>
      <c r="F82" s="97" t="s">
        <v>1324</v>
      </c>
      <c r="G82" s="99">
        <v>0.03125</v>
      </c>
    </row>
    <row r="83">
      <c r="A83" s="96" t="s">
        <v>1549</v>
      </c>
      <c r="B83" s="96" t="s">
        <v>1550</v>
      </c>
      <c r="C83" s="97" t="s">
        <v>1568</v>
      </c>
      <c r="D83" s="98">
        <v>2.0</v>
      </c>
      <c r="E83" s="97" t="s">
        <v>1317</v>
      </c>
      <c r="F83" s="97" t="s">
        <v>1325</v>
      </c>
      <c r="G83" s="104">
        <v>0.041666666666666664</v>
      </c>
    </row>
    <row r="84">
      <c r="A84" s="96" t="s">
        <v>1549</v>
      </c>
      <c r="B84" s="96" t="s">
        <v>1550</v>
      </c>
      <c r="C84" s="97" t="s">
        <v>1568</v>
      </c>
      <c r="D84" s="98">
        <v>3.0</v>
      </c>
      <c r="E84" s="97" t="s">
        <v>1328</v>
      </c>
      <c r="F84" s="97" t="s">
        <v>1326</v>
      </c>
      <c r="G84" s="99">
        <v>0.021423611111111112</v>
      </c>
    </row>
    <row r="85">
      <c r="A85" s="96" t="s">
        <v>1549</v>
      </c>
      <c r="B85" s="96" t="s">
        <v>1550</v>
      </c>
      <c r="C85" s="97" t="s">
        <v>1568</v>
      </c>
      <c r="D85" s="98">
        <v>3.0</v>
      </c>
      <c r="E85" s="97" t="s">
        <v>1328</v>
      </c>
      <c r="F85" s="97" t="s">
        <v>1329</v>
      </c>
      <c r="G85" s="99">
        <v>0.007465277777777778</v>
      </c>
    </row>
    <row r="86">
      <c r="A86" s="96" t="s">
        <v>1549</v>
      </c>
      <c r="B86" s="96" t="s">
        <v>1550</v>
      </c>
      <c r="C86" s="97" t="s">
        <v>1568</v>
      </c>
      <c r="D86" s="98">
        <v>3.0</v>
      </c>
      <c r="E86" s="97" t="s">
        <v>1328</v>
      </c>
      <c r="F86" s="97" t="s">
        <v>1331</v>
      </c>
      <c r="G86" s="99">
        <v>0.006805555555555555</v>
      </c>
    </row>
    <row r="87">
      <c r="A87" s="96" t="s">
        <v>1549</v>
      </c>
      <c r="B87" s="96" t="s">
        <v>1550</v>
      </c>
      <c r="C87" s="97" t="s">
        <v>1568</v>
      </c>
      <c r="D87" s="98">
        <v>3.0</v>
      </c>
      <c r="E87" s="97" t="s">
        <v>1328</v>
      </c>
      <c r="F87" s="97" t="s">
        <v>1333</v>
      </c>
      <c r="G87" s="99">
        <v>0.006307870370370371</v>
      </c>
    </row>
    <row r="88">
      <c r="A88" s="96" t="s">
        <v>1549</v>
      </c>
      <c r="B88" s="96" t="s">
        <v>1550</v>
      </c>
      <c r="C88" s="97" t="s">
        <v>1568</v>
      </c>
      <c r="D88" s="98">
        <v>3.0</v>
      </c>
      <c r="E88" s="97" t="s">
        <v>1328</v>
      </c>
      <c r="F88" s="97" t="s">
        <v>1335</v>
      </c>
      <c r="G88" s="99">
        <v>0.003981481481481482</v>
      </c>
    </row>
    <row r="89">
      <c r="A89" s="96" t="s">
        <v>1549</v>
      </c>
      <c r="B89" s="96" t="s">
        <v>1550</v>
      </c>
      <c r="C89" s="97" t="s">
        <v>1568</v>
      </c>
      <c r="D89" s="98">
        <v>3.0</v>
      </c>
      <c r="E89" s="97" t="s">
        <v>1328</v>
      </c>
      <c r="F89" s="97" t="s">
        <v>1337</v>
      </c>
      <c r="G89" s="99">
        <v>0.018449074074074073</v>
      </c>
    </row>
    <row r="90">
      <c r="A90" s="96" t="s">
        <v>1549</v>
      </c>
      <c r="B90" s="96" t="s">
        <v>1550</v>
      </c>
      <c r="C90" s="97" t="s">
        <v>1568</v>
      </c>
      <c r="D90" s="98">
        <v>3.0</v>
      </c>
      <c r="E90" s="97" t="s">
        <v>1328</v>
      </c>
      <c r="F90" s="97" t="s">
        <v>1339</v>
      </c>
      <c r="G90" s="99">
        <v>0.004629629629629629</v>
      </c>
    </row>
    <row r="91">
      <c r="A91" s="96" t="s">
        <v>1549</v>
      </c>
      <c r="B91" s="96" t="s">
        <v>1550</v>
      </c>
      <c r="C91" s="97" t="s">
        <v>1568</v>
      </c>
      <c r="D91" s="98">
        <v>3.0</v>
      </c>
      <c r="E91" s="97" t="s">
        <v>1328</v>
      </c>
      <c r="F91" s="97" t="s">
        <v>1341</v>
      </c>
      <c r="G91" s="99">
        <v>0.0625</v>
      </c>
    </row>
    <row r="92">
      <c r="A92" s="96" t="s">
        <v>1549</v>
      </c>
      <c r="B92" s="96" t="s">
        <v>1550</v>
      </c>
      <c r="C92" s="97" t="s">
        <v>1568</v>
      </c>
      <c r="D92" s="98">
        <v>3.0</v>
      </c>
      <c r="E92" s="97" t="s">
        <v>1328</v>
      </c>
      <c r="F92" s="97" t="s">
        <v>1342</v>
      </c>
      <c r="G92" s="99">
        <v>0.03125</v>
      </c>
    </row>
    <row r="93">
      <c r="A93" s="96" t="s">
        <v>1549</v>
      </c>
      <c r="B93" s="96" t="s">
        <v>1550</v>
      </c>
      <c r="C93" s="97" t="s">
        <v>1568</v>
      </c>
      <c r="D93" s="98">
        <v>3.0</v>
      </c>
      <c r="E93" s="97" t="s">
        <v>1328</v>
      </c>
      <c r="F93" s="97" t="s">
        <v>1343</v>
      </c>
      <c r="G93" s="99">
        <v>0.0625</v>
      </c>
    </row>
    <row r="94">
      <c r="A94" s="96" t="s">
        <v>1549</v>
      </c>
      <c r="B94" s="96" t="s">
        <v>1550</v>
      </c>
      <c r="C94" s="97" t="s">
        <v>1568</v>
      </c>
      <c r="D94" s="98">
        <v>3.0</v>
      </c>
      <c r="E94" s="97" t="s">
        <v>1328</v>
      </c>
      <c r="F94" s="97" t="s">
        <v>1344</v>
      </c>
      <c r="G94" s="99">
        <v>0.0625</v>
      </c>
    </row>
    <row r="95">
      <c r="A95" s="96" t="s">
        <v>1549</v>
      </c>
      <c r="B95" s="96" t="s">
        <v>1550</v>
      </c>
      <c r="C95" s="97" t="s">
        <v>1347</v>
      </c>
      <c r="D95" s="98">
        <v>1.0</v>
      </c>
      <c r="E95" s="97" t="s">
        <v>1347</v>
      </c>
      <c r="F95" s="97" t="s">
        <v>1572</v>
      </c>
      <c r="G95" s="99">
        <v>0.003460648148148148</v>
      </c>
    </row>
    <row r="96">
      <c r="A96" s="96" t="s">
        <v>1549</v>
      </c>
      <c r="B96" s="96" t="s">
        <v>1550</v>
      </c>
      <c r="C96" s="97" t="s">
        <v>1347</v>
      </c>
      <c r="D96" s="98">
        <v>1.0</v>
      </c>
      <c r="E96" s="97" t="s">
        <v>1347</v>
      </c>
      <c r="F96" s="97" t="s">
        <v>1573</v>
      </c>
      <c r="G96" s="99">
        <v>0.003576388888888889</v>
      </c>
    </row>
    <row r="97">
      <c r="A97" s="96" t="s">
        <v>1549</v>
      </c>
      <c r="B97" s="96" t="s">
        <v>1550</v>
      </c>
      <c r="C97" s="97" t="s">
        <v>1347</v>
      </c>
      <c r="D97" s="98">
        <v>1.0</v>
      </c>
      <c r="E97" s="97" t="s">
        <v>1347</v>
      </c>
      <c r="F97" s="97" t="s">
        <v>1345</v>
      </c>
      <c r="G97" s="99">
        <v>0.002962962962962963</v>
      </c>
    </row>
    <row r="98">
      <c r="A98" s="96" t="s">
        <v>1549</v>
      </c>
      <c r="B98" s="96" t="s">
        <v>1550</v>
      </c>
      <c r="C98" s="97" t="s">
        <v>1347</v>
      </c>
      <c r="D98" s="98">
        <v>1.0</v>
      </c>
      <c r="E98" s="97" t="s">
        <v>1347</v>
      </c>
      <c r="F98" s="97" t="s">
        <v>1348</v>
      </c>
      <c r="G98" s="99">
        <v>0.005439814814814815</v>
      </c>
    </row>
    <row r="99">
      <c r="A99" s="96" t="s">
        <v>1549</v>
      </c>
      <c r="B99" s="96" t="s">
        <v>1550</v>
      </c>
      <c r="C99" s="97" t="s">
        <v>1347</v>
      </c>
      <c r="D99" s="98">
        <v>1.0</v>
      </c>
      <c r="E99" s="97" t="s">
        <v>1347</v>
      </c>
      <c r="F99" s="97" t="s">
        <v>1350</v>
      </c>
      <c r="G99" s="99">
        <v>0.004178240740740741</v>
      </c>
    </row>
    <row r="100">
      <c r="A100" s="96" t="s">
        <v>1549</v>
      </c>
      <c r="B100" s="96" t="s">
        <v>1550</v>
      </c>
      <c r="C100" s="97" t="s">
        <v>1347</v>
      </c>
      <c r="D100" s="98">
        <v>1.0</v>
      </c>
      <c r="E100" s="97" t="s">
        <v>1347</v>
      </c>
      <c r="F100" s="97" t="s">
        <v>1352</v>
      </c>
      <c r="G100" s="104">
        <v>0.42569444444444443</v>
      </c>
    </row>
    <row r="101">
      <c r="A101" s="96" t="s">
        <v>1549</v>
      </c>
      <c r="B101" s="96" t="s">
        <v>1550</v>
      </c>
      <c r="C101" s="97" t="s">
        <v>1347</v>
      </c>
      <c r="D101" s="98">
        <v>1.0</v>
      </c>
      <c r="E101" s="97" t="s">
        <v>1347</v>
      </c>
      <c r="F101" s="97" t="s">
        <v>1354</v>
      </c>
      <c r="G101" s="99">
        <v>0.125</v>
      </c>
    </row>
    <row r="102">
      <c r="A102" s="100"/>
      <c r="B102" s="100"/>
      <c r="C102" s="100"/>
      <c r="D102" s="101"/>
      <c r="E102" s="100"/>
      <c r="F102" s="100"/>
      <c r="G102" s="100"/>
    </row>
    <row r="103">
      <c r="A103" s="100"/>
      <c r="B103" s="100"/>
      <c r="C103" s="100"/>
      <c r="D103" s="101"/>
      <c r="E103" s="100"/>
      <c r="F103" s="100"/>
      <c r="G103" s="100"/>
    </row>
    <row r="104">
      <c r="A104" s="100"/>
      <c r="B104" s="100"/>
      <c r="C104" s="100"/>
      <c r="D104" s="101"/>
      <c r="E104" s="100"/>
      <c r="F104" s="100"/>
      <c r="G104" s="100"/>
    </row>
    <row r="105">
      <c r="A105" s="100"/>
      <c r="B105" s="100"/>
      <c r="C105" s="100"/>
      <c r="D105" s="101"/>
      <c r="E105" s="100"/>
      <c r="F105" s="100"/>
      <c r="G105" s="100"/>
    </row>
    <row r="106">
      <c r="A106" s="100"/>
      <c r="B106" s="100"/>
      <c r="C106" s="100"/>
      <c r="D106" s="101"/>
      <c r="E106" s="100"/>
      <c r="F106" s="100"/>
      <c r="G106" s="100"/>
    </row>
    <row r="107">
      <c r="A107" s="100"/>
      <c r="B107" s="100"/>
      <c r="C107" s="100"/>
      <c r="D107" s="101"/>
      <c r="E107" s="100"/>
      <c r="F107" s="100"/>
      <c r="G107" s="100"/>
    </row>
    <row r="108">
      <c r="A108" s="100"/>
      <c r="B108" s="100"/>
      <c r="C108" s="100"/>
      <c r="D108" s="101"/>
      <c r="E108" s="100"/>
      <c r="F108" s="100"/>
      <c r="G108" s="100"/>
    </row>
    <row r="109">
      <c r="A109" s="100"/>
      <c r="B109" s="100"/>
      <c r="C109" s="100"/>
      <c r="D109" s="101"/>
      <c r="E109" s="100"/>
      <c r="F109" s="100"/>
      <c r="G109" s="100"/>
    </row>
    <row r="110">
      <c r="A110" s="100"/>
      <c r="B110" s="100"/>
      <c r="C110" s="100"/>
      <c r="D110" s="101"/>
      <c r="E110" s="100"/>
      <c r="F110" s="100"/>
      <c r="G110" s="100"/>
    </row>
    <row r="111">
      <c r="A111" s="100"/>
      <c r="B111" s="100"/>
      <c r="C111" s="100"/>
      <c r="D111" s="101"/>
      <c r="E111" s="100"/>
      <c r="F111" s="100"/>
      <c r="G111" s="100"/>
    </row>
    <row r="112">
      <c r="A112" s="100"/>
      <c r="B112" s="100"/>
      <c r="C112" s="100"/>
      <c r="D112" s="101"/>
      <c r="E112" s="100"/>
      <c r="F112" s="100"/>
      <c r="G112" s="100"/>
    </row>
    <row r="113">
      <c r="A113" s="100"/>
      <c r="B113" s="100"/>
      <c r="C113" s="100"/>
      <c r="D113" s="101"/>
      <c r="E113" s="100"/>
      <c r="F113" s="100"/>
      <c r="G113" s="100"/>
    </row>
    <row r="114">
      <c r="A114" s="100"/>
      <c r="B114" s="100"/>
      <c r="C114" s="100"/>
      <c r="D114" s="101"/>
      <c r="E114" s="100"/>
      <c r="F114" s="100"/>
      <c r="G114" s="100"/>
    </row>
    <row r="115">
      <c r="A115" s="100"/>
      <c r="B115" s="100"/>
      <c r="C115" s="100"/>
      <c r="D115" s="101"/>
      <c r="E115" s="100"/>
      <c r="F115" s="100"/>
      <c r="G115" s="100"/>
    </row>
    <row r="116">
      <c r="A116" s="100"/>
      <c r="B116" s="100"/>
      <c r="C116" s="100"/>
      <c r="D116" s="101"/>
      <c r="E116" s="100"/>
      <c r="F116" s="100"/>
      <c r="G116" s="100"/>
    </row>
    <row r="117">
      <c r="A117" s="100"/>
      <c r="B117" s="100"/>
      <c r="C117" s="100"/>
      <c r="D117" s="101"/>
      <c r="E117" s="100"/>
      <c r="F117" s="100"/>
      <c r="G117" s="100"/>
    </row>
    <row r="118">
      <c r="A118" s="100"/>
      <c r="B118" s="100"/>
      <c r="C118" s="100"/>
      <c r="D118" s="101"/>
      <c r="E118" s="100"/>
      <c r="F118" s="100"/>
      <c r="G118" s="100"/>
    </row>
    <row r="119">
      <c r="A119" s="100"/>
      <c r="B119" s="100"/>
      <c r="C119" s="100"/>
      <c r="D119" s="101"/>
      <c r="E119" s="100"/>
      <c r="F119" s="100"/>
      <c r="G119" s="100"/>
    </row>
    <row r="120">
      <c r="A120" s="100"/>
      <c r="B120" s="100"/>
      <c r="C120" s="100"/>
      <c r="D120" s="101"/>
      <c r="E120" s="100"/>
      <c r="F120" s="100"/>
      <c r="G120" s="100"/>
    </row>
    <row r="121">
      <c r="A121" s="100"/>
      <c r="B121" s="100"/>
      <c r="C121" s="100"/>
      <c r="D121" s="101"/>
      <c r="E121" s="100"/>
      <c r="F121" s="100"/>
      <c r="G121" s="100"/>
    </row>
    <row r="122">
      <c r="A122" s="100"/>
      <c r="B122" s="100"/>
      <c r="C122" s="100"/>
      <c r="D122" s="101"/>
      <c r="E122" s="100"/>
      <c r="F122" s="100"/>
      <c r="G122" s="100"/>
    </row>
    <row r="123">
      <c r="A123" s="100"/>
      <c r="B123" s="100"/>
      <c r="C123" s="100"/>
      <c r="D123" s="101"/>
      <c r="E123" s="100"/>
      <c r="F123" s="100"/>
      <c r="G123" s="100"/>
    </row>
    <row r="124">
      <c r="A124" s="100"/>
      <c r="B124" s="100"/>
      <c r="C124" s="100"/>
      <c r="D124" s="101"/>
      <c r="E124" s="100"/>
      <c r="F124" s="100"/>
      <c r="G124" s="100"/>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1.22" defaultRowHeight="15.0"/>
  <cols>
    <col customWidth="1" min="1" max="1" width="21.78"/>
    <col customWidth="1" min="2" max="2" width="7.33"/>
    <col customWidth="1" min="3" max="3" width="47.44"/>
    <col customWidth="1" min="4" max="4" width="32.33"/>
    <col customWidth="1" min="5" max="5" width="7.44"/>
  </cols>
  <sheetData>
    <row r="1">
      <c r="A1" s="105" t="s">
        <v>1356</v>
      </c>
      <c r="B1" s="105" t="s">
        <v>1357</v>
      </c>
      <c r="C1" s="105" t="s">
        <v>13</v>
      </c>
      <c r="D1" s="105" t="s">
        <v>1359</v>
      </c>
      <c r="E1" s="105" t="s">
        <v>1360</v>
      </c>
    </row>
    <row r="2">
      <c r="A2" s="90" t="s">
        <v>1574</v>
      </c>
      <c r="B2" s="90">
        <v>1.0</v>
      </c>
      <c r="C2" s="90" t="s">
        <v>1575</v>
      </c>
      <c r="D2" s="90" t="s">
        <v>1576</v>
      </c>
      <c r="E2" s="92">
        <v>0.006793981481481482</v>
      </c>
    </row>
    <row r="3">
      <c r="A3" s="90" t="s">
        <v>1574</v>
      </c>
      <c r="B3" s="90">
        <v>1.0</v>
      </c>
      <c r="C3" s="90" t="s">
        <v>1575</v>
      </c>
      <c r="D3" s="90" t="s">
        <v>1577</v>
      </c>
      <c r="E3" s="92">
        <v>0.006550925925925926</v>
      </c>
    </row>
    <row r="4">
      <c r="A4" s="90" t="s">
        <v>1574</v>
      </c>
      <c r="B4" s="90">
        <v>1.0</v>
      </c>
      <c r="C4" s="90" t="s">
        <v>1575</v>
      </c>
      <c r="D4" s="90" t="s">
        <v>1578</v>
      </c>
      <c r="E4" s="92">
        <v>0.005694444444444445</v>
      </c>
    </row>
    <row r="5">
      <c r="A5" s="90" t="s">
        <v>1574</v>
      </c>
      <c r="B5" s="90">
        <v>1.0</v>
      </c>
      <c r="C5" s="90" t="s">
        <v>1575</v>
      </c>
      <c r="D5" s="90" t="s">
        <v>1579</v>
      </c>
      <c r="E5" s="92">
        <v>0.005983796296296296</v>
      </c>
    </row>
    <row r="6">
      <c r="A6" s="90" t="s">
        <v>1574</v>
      </c>
      <c r="B6" s="90">
        <v>1.0</v>
      </c>
      <c r="C6" s="90" t="s">
        <v>1575</v>
      </c>
      <c r="D6" s="90" t="s">
        <v>1580</v>
      </c>
      <c r="E6" s="92">
        <v>0.006006944444444444</v>
      </c>
    </row>
    <row r="7">
      <c r="A7" s="90" t="s">
        <v>1574</v>
      </c>
      <c r="B7" s="90">
        <v>1.0</v>
      </c>
      <c r="C7" s="90" t="s">
        <v>1575</v>
      </c>
      <c r="D7" s="90" t="s">
        <v>1581</v>
      </c>
      <c r="E7" s="92">
        <v>0.008148148148148147</v>
      </c>
    </row>
    <row r="8">
      <c r="A8" s="90" t="s">
        <v>1574</v>
      </c>
      <c r="B8" s="90">
        <v>1.0</v>
      </c>
      <c r="C8" s="90" t="s">
        <v>1575</v>
      </c>
      <c r="D8" s="90" t="s">
        <v>1582</v>
      </c>
      <c r="E8" s="92">
        <v>0.005648148148148148</v>
      </c>
    </row>
    <row r="9">
      <c r="A9" s="90" t="s">
        <v>1574</v>
      </c>
      <c r="B9" s="90">
        <v>1.0</v>
      </c>
      <c r="C9" s="90" t="s">
        <v>1575</v>
      </c>
      <c r="D9" s="90" t="s">
        <v>1583</v>
      </c>
      <c r="E9" s="92">
        <v>0.0052662037037037035</v>
      </c>
    </row>
    <row r="10">
      <c r="A10" s="90" t="s">
        <v>1574</v>
      </c>
      <c r="B10" s="90">
        <v>1.0</v>
      </c>
      <c r="C10" s="90" t="s">
        <v>1575</v>
      </c>
      <c r="D10" s="90" t="s">
        <v>1584</v>
      </c>
      <c r="E10" s="92">
        <v>0.005231481481481481</v>
      </c>
    </row>
    <row r="11">
      <c r="A11" s="90" t="s">
        <v>1585</v>
      </c>
      <c r="B11" s="90">
        <v>1.0</v>
      </c>
      <c r="C11" s="90" t="s">
        <v>1585</v>
      </c>
      <c r="D11" s="90" t="s">
        <v>1586</v>
      </c>
      <c r="E11" s="92">
        <v>0.005763888888888889</v>
      </c>
    </row>
    <row r="12">
      <c r="A12" s="90" t="s">
        <v>1585</v>
      </c>
      <c r="B12" s="90">
        <v>1.0</v>
      </c>
      <c r="C12" s="90" t="s">
        <v>1585</v>
      </c>
      <c r="D12" s="90" t="s">
        <v>1587</v>
      </c>
      <c r="E12" s="92">
        <v>0.006006944444444444</v>
      </c>
    </row>
    <row r="13">
      <c r="A13" s="90" t="s">
        <v>1585</v>
      </c>
      <c r="B13" s="90">
        <v>1.0</v>
      </c>
      <c r="C13" s="90" t="s">
        <v>1585</v>
      </c>
      <c r="D13" s="90" t="s">
        <v>1588</v>
      </c>
      <c r="E13" s="92">
        <v>0.005497685185185185</v>
      </c>
    </row>
    <row r="14">
      <c r="A14" s="90" t="s">
        <v>1585</v>
      </c>
      <c r="B14" s="90">
        <v>1.0</v>
      </c>
      <c r="C14" s="90" t="s">
        <v>1585</v>
      </c>
      <c r="D14" s="90" t="s">
        <v>1589</v>
      </c>
      <c r="E14" s="92">
        <v>0.005474537037037037</v>
      </c>
    </row>
    <row r="15">
      <c r="A15" s="90" t="s">
        <v>1590</v>
      </c>
      <c r="B15" s="90">
        <v>1.0</v>
      </c>
      <c r="C15" s="90" t="s">
        <v>1591</v>
      </c>
      <c r="D15" s="90" t="s">
        <v>1592</v>
      </c>
      <c r="E15" s="92">
        <v>0.007476851851851852</v>
      </c>
    </row>
    <row r="16">
      <c r="A16" s="90" t="s">
        <v>1590</v>
      </c>
      <c r="B16" s="90">
        <v>2.0</v>
      </c>
      <c r="C16" s="90" t="s">
        <v>1593</v>
      </c>
      <c r="D16" s="90" t="s">
        <v>1594</v>
      </c>
      <c r="E16" s="92">
        <v>0.005925925925925926</v>
      </c>
    </row>
    <row r="17">
      <c r="A17" s="90" t="s">
        <v>1590</v>
      </c>
      <c r="B17" s="90">
        <v>2.0</v>
      </c>
      <c r="C17" s="90" t="s">
        <v>1593</v>
      </c>
      <c r="D17" s="90" t="s">
        <v>1595</v>
      </c>
      <c r="E17" s="92">
        <v>0.006435185185185185</v>
      </c>
    </row>
    <row r="18">
      <c r="A18" s="90" t="s">
        <v>1590</v>
      </c>
      <c r="B18" s="90">
        <v>3.0</v>
      </c>
      <c r="C18" s="90" t="s">
        <v>1596</v>
      </c>
      <c r="D18" s="90" t="s">
        <v>1597</v>
      </c>
      <c r="E18" s="92">
        <v>0.0051967592592592595</v>
      </c>
    </row>
    <row r="19">
      <c r="A19" s="90" t="s">
        <v>1590</v>
      </c>
      <c r="B19" s="90">
        <v>3.0</v>
      </c>
      <c r="C19" s="90" t="s">
        <v>1596</v>
      </c>
      <c r="D19" s="90" t="s">
        <v>1598</v>
      </c>
      <c r="E19" s="92">
        <v>0.006122685185185185</v>
      </c>
    </row>
    <row r="20">
      <c r="A20" s="90" t="s">
        <v>1590</v>
      </c>
      <c r="B20" s="90">
        <v>4.0</v>
      </c>
      <c r="C20" s="90" t="s">
        <v>1599</v>
      </c>
      <c r="D20" s="90" t="s">
        <v>1600</v>
      </c>
      <c r="E20" s="92">
        <v>0.005011574074074074</v>
      </c>
    </row>
    <row r="21">
      <c r="A21" s="90" t="s">
        <v>1590</v>
      </c>
      <c r="B21" s="90">
        <v>5.0</v>
      </c>
      <c r="C21" s="90" t="s">
        <v>1601</v>
      </c>
      <c r="D21" s="90" t="s">
        <v>1602</v>
      </c>
      <c r="E21" s="92">
        <v>0.00537037037037037</v>
      </c>
    </row>
    <row r="22">
      <c r="A22" s="90" t="s">
        <v>1590</v>
      </c>
      <c r="B22" s="90">
        <v>5.0</v>
      </c>
      <c r="C22" s="90" t="s">
        <v>1601</v>
      </c>
      <c r="D22" s="90" t="s">
        <v>1603</v>
      </c>
      <c r="E22" s="92">
        <v>0.004872685185185185</v>
      </c>
    </row>
    <row r="23">
      <c r="A23" s="90" t="s">
        <v>1604</v>
      </c>
      <c r="B23" s="90">
        <v>1.0</v>
      </c>
      <c r="C23" s="90" t="s">
        <v>1575</v>
      </c>
      <c r="D23" s="90" t="s">
        <v>1605</v>
      </c>
      <c r="E23" s="92">
        <v>0.007395833333333333</v>
      </c>
    </row>
    <row r="24">
      <c r="A24" s="90" t="s">
        <v>1604</v>
      </c>
      <c r="B24" s="90">
        <v>1.0</v>
      </c>
      <c r="C24" s="90" t="s">
        <v>1575</v>
      </c>
      <c r="D24" s="90" t="s">
        <v>1606</v>
      </c>
      <c r="E24" s="92">
        <v>0.005810185185185186</v>
      </c>
    </row>
    <row r="25">
      <c r="A25" s="90" t="s">
        <v>1604</v>
      </c>
      <c r="B25" s="90">
        <v>2.0</v>
      </c>
      <c r="C25" s="90" t="s">
        <v>1607</v>
      </c>
      <c r="D25" s="90" t="s">
        <v>1608</v>
      </c>
      <c r="E25" s="92">
        <v>0.00900462962962963</v>
      </c>
    </row>
    <row r="26">
      <c r="A26" s="90" t="s">
        <v>1604</v>
      </c>
      <c r="B26" s="90">
        <v>3.0</v>
      </c>
      <c r="C26" s="90" t="s">
        <v>1609</v>
      </c>
      <c r="D26" s="90" t="s">
        <v>1610</v>
      </c>
      <c r="E26" s="92">
        <v>0.006168981481481482</v>
      </c>
    </row>
    <row r="27">
      <c r="A27" s="90" t="s">
        <v>1604</v>
      </c>
      <c r="B27" s="90">
        <v>3.0</v>
      </c>
      <c r="C27" s="90" t="s">
        <v>1609</v>
      </c>
      <c r="D27" s="90" t="s">
        <v>1611</v>
      </c>
      <c r="E27" s="92">
        <v>0.006331018518518519</v>
      </c>
    </row>
    <row r="28">
      <c r="A28" s="90" t="s">
        <v>1604</v>
      </c>
      <c r="B28" s="90">
        <v>3.0</v>
      </c>
      <c r="C28" s="90" t="s">
        <v>1609</v>
      </c>
      <c r="D28" s="90" t="s">
        <v>1612</v>
      </c>
      <c r="E28" s="92">
        <v>0.006666666666666667</v>
      </c>
    </row>
    <row r="29">
      <c r="A29" s="90" t="s">
        <v>1604</v>
      </c>
      <c r="B29" s="90">
        <v>3.0</v>
      </c>
      <c r="C29" s="90" t="s">
        <v>1609</v>
      </c>
      <c r="D29" s="90" t="s">
        <v>1613</v>
      </c>
      <c r="E29" s="92">
        <v>0.006527777777777778</v>
      </c>
    </row>
    <row r="30">
      <c r="A30" s="90" t="s">
        <v>1604</v>
      </c>
      <c r="B30" s="90">
        <v>4.0</v>
      </c>
      <c r="C30" s="90" t="s">
        <v>1614</v>
      </c>
      <c r="D30" s="90" t="s">
        <v>1615</v>
      </c>
      <c r="E30" s="92">
        <v>0.0077083333333333335</v>
      </c>
    </row>
    <row r="31">
      <c r="A31" s="90" t="s">
        <v>1604</v>
      </c>
      <c r="B31" s="90">
        <v>4.0</v>
      </c>
      <c r="C31" s="90" t="s">
        <v>1614</v>
      </c>
      <c r="D31" s="90" t="s">
        <v>1616</v>
      </c>
      <c r="E31" s="92">
        <v>0.006284722222222222</v>
      </c>
    </row>
    <row r="32">
      <c r="A32" s="90" t="s">
        <v>1604</v>
      </c>
      <c r="B32" s="90">
        <v>4.0</v>
      </c>
      <c r="C32" s="90" t="s">
        <v>1614</v>
      </c>
      <c r="D32" s="90" t="s">
        <v>1617</v>
      </c>
      <c r="E32" s="92">
        <v>0.00537037037037037</v>
      </c>
    </row>
    <row r="33">
      <c r="A33" s="90" t="s">
        <v>1604</v>
      </c>
      <c r="B33" s="90">
        <v>4.0</v>
      </c>
      <c r="C33" s="90" t="s">
        <v>1614</v>
      </c>
      <c r="D33" s="90" t="s">
        <v>1618</v>
      </c>
      <c r="E33" s="92">
        <v>0.006574074074074074</v>
      </c>
    </row>
    <row r="34">
      <c r="A34" s="90" t="s">
        <v>1604</v>
      </c>
      <c r="B34" s="90">
        <v>4.0</v>
      </c>
      <c r="C34" s="90" t="s">
        <v>1614</v>
      </c>
      <c r="D34" s="90" t="s">
        <v>1619</v>
      </c>
      <c r="E34" s="92">
        <v>0.00712962962962963</v>
      </c>
    </row>
    <row r="35">
      <c r="A35" s="90" t="s">
        <v>1604</v>
      </c>
      <c r="B35" s="90">
        <v>5.0</v>
      </c>
      <c r="C35" s="90" t="s">
        <v>1620</v>
      </c>
      <c r="D35" s="90" t="s">
        <v>1621</v>
      </c>
      <c r="E35" s="92">
        <v>0.006215277777777778</v>
      </c>
    </row>
    <row r="36">
      <c r="A36" s="90" t="s">
        <v>1604</v>
      </c>
      <c r="B36" s="90">
        <v>6.0</v>
      </c>
      <c r="C36" s="90" t="s">
        <v>1622</v>
      </c>
      <c r="D36" s="90" t="s">
        <v>1623</v>
      </c>
      <c r="E36" s="92">
        <v>0.006215277777777778</v>
      </c>
    </row>
    <row r="37">
      <c r="A37" s="90" t="s">
        <v>1624</v>
      </c>
      <c r="B37" s="90">
        <v>1.0</v>
      </c>
      <c r="C37" s="90" t="s">
        <v>1624</v>
      </c>
      <c r="D37" s="90" t="s">
        <v>1625</v>
      </c>
      <c r="E37" s="92">
        <v>0.0060416666666666665</v>
      </c>
    </row>
    <row r="38">
      <c r="A38" s="90" t="s">
        <v>1624</v>
      </c>
      <c r="B38" s="90">
        <v>1.0</v>
      </c>
      <c r="C38" s="90" t="s">
        <v>1624</v>
      </c>
      <c r="D38" s="90" t="s">
        <v>1626</v>
      </c>
      <c r="E38" s="92">
        <v>0.006296296296296296</v>
      </c>
    </row>
    <row r="39">
      <c r="A39" s="90" t="s">
        <v>1624</v>
      </c>
      <c r="B39" s="90">
        <v>1.0</v>
      </c>
      <c r="C39" s="90" t="s">
        <v>1624</v>
      </c>
      <c r="D39" s="90" t="s">
        <v>1627</v>
      </c>
      <c r="E39" s="92">
        <v>0.006574074074074074</v>
      </c>
    </row>
    <row r="40">
      <c r="A40" s="90" t="s">
        <v>1624</v>
      </c>
      <c r="B40" s="90">
        <v>1.0</v>
      </c>
      <c r="C40" s="90" t="s">
        <v>1624</v>
      </c>
      <c r="D40" s="90" t="s">
        <v>1628</v>
      </c>
      <c r="E40" s="92">
        <v>0.006793981481481482</v>
      </c>
    </row>
    <row r="41">
      <c r="A41" s="90" t="s">
        <v>1624</v>
      </c>
      <c r="B41" s="90">
        <v>1.0</v>
      </c>
      <c r="C41" s="90" t="s">
        <v>1624</v>
      </c>
      <c r="D41" s="90" t="s">
        <v>1629</v>
      </c>
      <c r="E41" s="92">
        <v>0.006608796296296297</v>
      </c>
    </row>
    <row r="42">
      <c r="A42" s="90" t="s">
        <v>1624</v>
      </c>
      <c r="B42" s="90">
        <v>1.0</v>
      </c>
      <c r="C42" s="90" t="s">
        <v>1624</v>
      </c>
      <c r="D42" s="90" t="s">
        <v>1630</v>
      </c>
      <c r="E42" s="92">
        <v>0.007442129629629629</v>
      </c>
    </row>
    <row r="43">
      <c r="A43" s="90" t="s">
        <v>1631</v>
      </c>
      <c r="B43" s="90">
        <v>1.0</v>
      </c>
      <c r="C43" s="90" t="s">
        <v>1632</v>
      </c>
      <c r="D43" s="90" t="s">
        <v>1633</v>
      </c>
      <c r="E43" s="92">
        <v>0.0042592592592592595</v>
      </c>
    </row>
    <row r="44">
      <c r="A44" s="90" t="s">
        <v>1631</v>
      </c>
      <c r="B44" s="90">
        <v>1.0</v>
      </c>
      <c r="C44" s="90" t="s">
        <v>1632</v>
      </c>
      <c r="D44" s="90" t="s">
        <v>1634</v>
      </c>
      <c r="E44" s="92">
        <v>0.0059490740740740745</v>
      </c>
    </row>
    <row r="45">
      <c r="A45" s="90" t="s">
        <v>1631</v>
      </c>
      <c r="B45" s="90">
        <v>1.0</v>
      </c>
      <c r="C45" s="90" t="s">
        <v>1632</v>
      </c>
      <c r="D45" s="90" t="s">
        <v>1635</v>
      </c>
      <c r="E45" s="92">
        <v>0.011134259259259259</v>
      </c>
    </row>
    <row r="46">
      <c r="A46" s="90" t="s">
        <v>1631</v>
      </c>
      <c r="B46" s="90">
        <v>1.0</v>
      </c>
      <c r="C46" s="90" t="s">
        <v>1632</v>
      </c>
      <c r="D46" s="90" t="s">
        <v>1636</v>
      </c>
      <c r="E46" s="92">
        <v>0.011550925925925926</v>
      </c>
    </row>
  </sheetData>
  <printOptions gridLines="1" horizontalCentered="1"/>
  <pageMargins bottom="0.75" footer="0.0" header="0.0" left="0.7" right="0.7" top="0.75"/>
  <pageSetup fitToHeight="0" cellComments="atEnd" orientation="landscape"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19.78"/>
    <col customWidth="1" min="2" max="2" width="37.89"/>
    <col customWidth="1" min="3" max="3" width="63.11"/>
    <col customWidth="1" min="4" max="4" width="20.44"/>
    <col customWidth="1" min="8" max="8" width="274.67"/>
  </cols>
  <sheetData>
    <row r="1">
      <c r="A1" s="106" t="s">
        <v>1637</v>
      </c>
      <c r="B1" s="106" t="s">
        <v>1638</v>
      </c>
      <c r="C1" s="107" t="s">
        <v>1639</v>
      </c>
      <c r="D1" s="108" t="s">
        <v>1640</v>
      </c>
      <c r="E1" s="109" t="s">
        <v>1641</v>
      </c>
      <c r="F1" s="109" t="s">
        <v>1642</v>
      </c>
      <c r="G1" s="110"/>
      <c r="H1" s="109" t="s">
        <v>1643</v>
      </c>
    </row>
    <row r="2">
      <c r="A2" s="111" t="s">
        <v>1644</v>
      </c>
      <c r="B2" s="112"/>
      <c r="C2" s="112"/>
      <c r="D2" s="113"/>
      <c r="E2" s="112"/>
      <c r="F2" s="114">
        <f>SUM(F3+F6)</f>
        <v>0.6462962963</v>
      </c>
      <c r="G2" s="112"/>
      <c r="H2" s="112"/>
    </row>
    <row r="3">
      <c r="A3" s="115" t="s">
        <v>1645</v>
      </c>
      <c r="B3" s="116"/>
      <c r="C3" s="116"/>
      <c r="D3" s="117"/>
      <c r="E3" s="116"/>
      <c r="F3" s="118">
        <f>SUM(F4)</f>
        <v>0</v>
      </c>
      <c r="G3" s="116"/>
      <c r="H3" s="116"/>
    </row>
    <row r="4">
      <c r="A4" s="110"/>
      <c r="B4" s="110" t="s">
        <v>1646</v>
      </c>
      <c r="C4" s="110"/>
      <c r="D4" s="119"/>
      <c r="E4" s="110"/>
      <c r="F4" s="120">
        <f>SUM(D5)</f>
        <v>0</v>
      </c>
      <c r="G4" s="110"/>
      <c r="H4" s="110"/>
    </row>
    <row r="5">
      <c r="A5" s="110"/>
      <c r="B5" s="110"/>
      <c r="C5" s="121" t="s">
        <v>1647</v>
      </c>
      <c r="D5" s="119"/>
      <c r="E5" s="110"/>
      <c r="F5" s="119"/>
      <c r="G5" s="110"/>
      <c r="H5" s="110"/>
    </row>
    <row r="6">
      <c r="A6" s="115" t="s">
        <v>1637</v>
      </c>
      <c r="B6" s="116"/>
      <c r="C6" s="116"/>
      <c r="D6" s="117"/>
      <c r="E6" s="116"/>
      <c r="F6" s="118">
        <f>SUM(F7:F59)</f>
        <v>0.6462962963</v>
      </c>
      <c r="G6" s="116"/>
      <c r="H6" s="116"/>
    </row>
    <row r="7">
      <c r="A7" s="110"/>
      <c r="B7" s="121" t="s">
        <v>524</v>
      </c>
      <c r="C7" s="110"/>
      <c r="D7" s="119"/>
      <c r="E7" s="110"/>
      <c r="F7" s="120">
        <f>SUM(D8:D14)</f>
        <v>0.0559837963</v>
      </c>
      <c r="G7" s="110"/>
      <c r="H7" s="110"/>
    </row>
    <row r="8">
      <c r="A8" s="110"/>
      <c r="B8" s="110"/>
      <c r="C8" s="121" t="s">
        <v>522</v>
      </c>
      <c r="D8" s="122">
        <v>0.010844907407407407</v>
      </c>
      <c r="E8" s="110"/>
      <c r="F8" s="110"/>
      <c r="G8" s="110"/>
      <c r="H8" s="121" t="s">
        <v>523</v>
      </c>
    </row>
    <row r="9">
      <c r="A9" s="110"/>
      <c r="B9" s="110"/>
      <c r="C9" s="121" t="s">
        <v>525</v>
      </c>
      <c r="D9" s="122">
        <v>0.014456018518518519</v>
      </c>
      <c r="E9" s="110"/>
      <c r="F9" s="110"/>
      <c r="G9" s="110"/>
      <c r="H9" s="121" t="s">
        <v>526</v>
      </c>
    </row>
    <row r="10">
      <c r="A10" s="110"/>
      <c r="B10" s="110"/>
      <c r="C10" s="121" t="s">
        <v>527</v>
      </c>
      <c r="D10" s="122">
        <v>0.007337962962962963</v>
      </c>
      <c r="E10" s="110"/>
      <c r="F10" s="110"/>
      <c r="G10" s="110"/>
      <c r="H10" s="121" t="s">
        <v>528</v>
      </c>
    </row>
    <row r="11">
      <c r="A11" s="110"/>
      <c r="B11" s="110"/>
      <c r="C11" s="121" t="s">
        <v>529</v>
      </c>
      <c r="D11" s="122">
        <v>0.005104166666666667</v>
      </c>
      <c r="E11" s="110"/>
      <c r="F11" s="110"/>
      <c r="G11" s="110"/>
      <c r="H11" s="121" t="s">
        <v>530</v>
      </c>
    </row>
    <row r="12">
      <c r="A12" s="110"/>
      <c r="B12" s="110"/>
      <c r="C12" s="121" t="s">
        <v>531</v>
      </c>
      <c r="D12" s="122">
        <v>0.011458333333333333</v>
      </c>
      <c r="E12" s="110"/>
      <c r="F12" s="110"/>
      <c r="G12" s="110"/>
      <c r="H12" s="121" t="s">
        <v>532</v>
      </c>
    </row>
    <row r="13">
      <c r="A13" s="110"/>
      <c r="B13" s="110"/>
      <c r="C13" s="121" t="s">
        <v>533</v>
      </c>
      <c r="D13" s="122">
        <v>0.0038773148148148148</v>
      </c>
      <c r="E13" s="110"/>
      <c r="F13" s="119"/>
      <c r="G13" s="110"/>
      <c r="H13" s="121" t="s">
        <v>534</v>
      </c>
    </row>
    <row r="14">
      <c r="A14" s="110"/>
      <c r="B14" s="110"/>
      <c r="C14" s="121" t="s">
        <v>535</v>
      </c>
      <c r="D14" s="122">
        <v>0.002905092592592593</v>
      </c>
      <c r="E14" s="110"/>
      <c r="F14" s="110"/>
      <c r="G14" s="110"/>
      <c r="H14" s="121" t="s">
        <v>536</v>
      </c>
    </row>
    <row r="15">
      <c r="A15" s="110"/>
      <c r="B15" s="121" t="s">
        <v>577</v>
      </c>
      <c r="C15" s="110"/>
      <c r="D15" s="119"/>
      <c r="E15" s="110"/>
      <c r="F15" s="120">
        <f>SUM(D16:D29)</f>
        <v>0.1836921296</v>
      </c>
      <c r="G15" s="110"/>
      <c r="H15" s="110"/>
    </row>
    <row r="16">
      <c r="A16" s="110"/>
      <c r="B16" s="110"/>
      <c r="C16" s="121" t="s">
        <v>575</v>
      </c>
      <c r="D16" s="122">
        <v>0.011550925925925926</v>
      </c>
      <c r="E16" s="110"/>
      <c r="F16" s="119"/>
      <c r="G16" s="110"/>
      <c r="H16" s="121" t="s">
        <v>576</v>
      </c>
    </row>
    <row r="17">
      <c r="A17" s="110"/>
      <c r="B17" s="110"/>
      <c r="C17" s="121" t="s">
        <v>578</v>
      </c>
      <c r="D17" s="122">
        <v>0.015613425925925926</v>
      </c>
      <c r="E17" s="110"/>
      <c r="F17" s="119"/>
      <c r="G17" s="110"/>
      <c r="H17" s="121" t="s">
        <v>579</v>
      </c>
    </row>
    <row r="18">
      <c r="A18" s="110"/>
      <c r="B18" s="110"/>
      <c r="C18" s="121" t="s">
        <v>580</v>
      </c>
      <c r="D18" s="122">
        <v>0.007638888888888889</v>
      </c>
      <c r="E18" s="110"/>
      <c r="F18" s="119"/>
      <c r="G18" s="110"/>
      <c r="H18" s="121" t="s">
        <v>581</v>
      </c>
    </row>
    <row r="19">
      <c r="A19" s="110"/>
      <c r="B19" s="110"/>
      <c r="C19" s="121" t="s">
        <v>1408</v>
      </c>
      <c r="D19" s="122">
        <v>0.01207175925925926</v>
      </c>
      <c r="E19" s="110"/>
      <c r="F19" s="119"/>
      <c r="G19" s="110"/>
      <c r="H19" s="121" t="s">
        <v>1648</v>
      </c>
    </row>
    <row r="20">
      <c r="A20" s="110"/>
      <c r="B20" s="110"/>
      <c r="C20" s="121" t="s">
        <v>1409</v>
      </c>
      <c r="D20" s="122">
        <v>0.009837962962962963</v>
      </c>
      <c r="E20" s="110"/>
      <c r="F20" s="119"/>
      <c r="G20" s="110"/>
      <c r="H20" s="121" t="s">
        <v>1649</v>
      </c>
    </row>
    <row r="21">
      <c r="A21" s="110"/>
      <c r="B21" s="110"/>
      <c r="C21" s="121" t="s">
        <v>582</v>
      </c>
      <c r="D21" s="122">
        <v>0.014976851851851852</v>
      </c>
      <c r="E21" s="110"/>
      <c r="F21" s="119"/>
      <c r="G21" s="110"/>
      <c r="H21" s="121" t="s">
        <v>583</v>
      </c>
    </row>
    <row r="22">
      <c r="A22" s="110"/>
      <c r="B22" s="110"/>
      <c r="C22" s="121" t="s">
        <v>584</v>
      </c>
      <c r="D22" s="122">
        <v>0.018483796296296297</v>
      </c>
      <c r="E22" s="110"/>
      <c r="F22" s="110"/>
      <c r="G22" s="110"/>
      <c r="H22" s="121" t="s">
        <v>585</v>
      </c>
    </row>
    <row r="23">
      <c r="A23" s="110"/>
      <c r="B23" s="110"/>
      <c r="C23" s="121" t="s">
        <v>586</v>
      </c>
      <c r="D23" s="122">
        <v>0.019837962962962963</v>
      </c>
      <c r="E23" s="110"/>
      <c r="F23" s="110"/>
      <c r="G23" s="110"/>
      <c r="H23" s="121" t="s">
        <v>587</v>
      </c>
    </row>
    <row r="24">
      <c r="A24" s="110"/>
      <c r="B24" s="110"/>
      <c r="C24" s="121" t="s">
        <v>588</v>
      </c>
      <c r="D24" s="122">
        <v>0.016203703703703703</v>
      </c>
      <c r="E24" s="110"/>
      <c r="F24" s="119"/>
      <c r="G24" s="110"/>
      <c r="H24" s="121" t="s">
        <v>589</v>
      </c>
    </row>
    <row r="25">
      <c r="A25" s="110"/>
      <c r="B25" s="110"/>
      <c r="C25" s="121" t="s">
        <v>590</v>
      </c>
      <c r="D25" s="122">
        <v>0.01810185185185185</v>
      </c>
      <c r="E25" s="110"/>
      <c r="F25" s="119"/>
      <c r="G25" s="110"/>
      <c r="H25" s="121" t="s">
        <v>591</v>
      </c>
    </row>
    <row r="26">
      <c r="A26" s="110"/>
      <c r="B26" s="110"/>
      <c r="C26" s="121" t="s">
        <v>1410</v>
      </c>
      <c r="D26" s="122">
        <v>0.0042361111111111115</v>
      </c>
      <c r="E26" s="110"/>
      <c r="F26" s="119"/>
      <c r="G26" s="110"/>
      <c r="H26" s="121" t="s">
        <v>1650</v>
      </c>
    </row>
    <row r="27">
      <c r="A27" s="110"/>
      <c r="B27" s="110"/>
      <c r="C27" s="121" t="s">
        <v>592</v>
      </c>
      <c r="D27" s="122">
        <v>0.01136574074074074</v>
      </c>
      <c r="E27" s="110"/>
      <c r="F27" s="119"/>
      <c r="G27" s="110"/>
      <c r="H27" s="121" t="s">
        <v>593</v>
      </c>
    </row>
    <row r="28">
      <c r="A28" s="110"/>
      <c r="B28" s="110"/>
      <c r="C28" s="121" t="s">
        <v>594</v>
      </c>
      <c r="D28" s="122">
        <v>0.01511574074074074</v>
      </c>
      <c r="E28" s="110"/>
      <c r="F28" s="110"/>
      <c r="G28" s="110"/>
      <c r="H28" s="121" t="s">
        <v>595</v>
      </c>
    </row>
    <row r="29">
      <c r="A29" s="110"/>
      <c r="B29" s="110"/>
      <c r="C29" s="121" t="s">
        <v>1651</v>
      </c>
      <c r="D29" s="122">
        <v>0.008657407407407407</v>
      </c>
      <c r="E29" s="110"/>
      <c r="F29" s="110"/>
      <c r="G29" s="110"/>
      <c r="H29" s="121" t="s">
        <v>1652</v>
      </c>
    </row>
    <row r="30">
      <c r="A30" s="110"/>
      <c r="B30" s="121" t="s">
        <v>1653</v>
      </c>
      <c r="C30" s="110"/>
      <c r="D30" s="119"/>
      <c r="E30" s="110"/>
      <c r="F30" s="120">
        <f>SUM(D31:D35)</f>
        <v>0.08427083333</v>
      </c>
      <c r="G30" s="110"/>
      <c r="H30" s="110"/>
    </row>
    <row r="31">
      <c r="A31" s="110"/>
      <c r="B31" s="110"/>
      <c r="C31" s="121" t="s">
        <v>1654</v>
      </c>
      <c r="D31" s="122">
        <v>0.023310185185185184</v>
      </c>
      <c r="E31" s="110"/>
      <c r="F31" s="119"/>
      <c r="G31" s="110"/>
      <c r="H31" s="121" t="s">
        <v>1655</v>
      </c>
    </row>
    <row r="32">
      <c r="A32" s="110"/>
      <c r="B32" s="110"/>
      <c r="C32" s="121" t="s">
        <v>1656</v>
      </c>
      <c r="D32" s="122">
        <v>0.02861111111111111</v>
      </c>
      <c r="E32" s="110"/>
      <c r="F32" s="119"/>
      <c r="G32" s="110"/>
      <c r="H32" s="121" t="s">
        <v>1657</v>
      </c>
    </row>
    <row r="33">
      <c r="A33" s="110"/>
      <c r="B33" s="110"/>
      <c r="C33" s="121" t="s">
        <v>496</v>
      </c>
      <c r="D33" s="122">
        <v>0.010092592592592592</v>
      </c>
      <c r="E33" s="110"/>
      <c r="F33" s="119"/>
      <c r="G33" s="110"/>
      <c r="H33" s="121" t="s">
        <v>1658</v>
      </c>
    </row>
    <row r="34">
      <c r="A34" s="110"/>
      <c r="B34" s="110"/>
      <c r="C34" s="121" t="s">
        <v>498</v>
      </c>
      <c r="D34" s="122">
        <v>0.013564814814814814</v>
      </c>
      <c r="E34" s="110"/>
      <c r="F34" s="119"/>
      <c r="G34" s="110"/>
      <c r="H34" s="121" t="s">
        <v>499</v>
      </c>
    </row>
    <row r="35">
      <c r="A35" s="110"/>
      <c r="B35" s="110"/>
      <c r="C35" s="121" t="s">
        <v>768</v>
      </c>
      <c r="D35" s="122">
        <v>0.00869212962962963</v>
      </c>
      <c r="E35" s="110"/>
      <c r="F35" s="119"/>
      <c r="G35" s="110"/>
      <c r="H35" s="121" t="s">
        <v>769</v>
      </c>
    </row>
    <row r="36">
      <c r="A36" s="110"/>
      <c r="B36" s="121" t="s">
        <v>541</v>
      </c>
      <c r="C36" s="110"/>
      <c r="D36" s="119"/>
      <c r="E36" s="110"/>
      <c r="F36" s="120">
        <f>SUM(D37:D38)</f>
        <v>0.03841435185</v>
      </c>
      <c r="G36" s="110"/>
      <c r="H36" s="110"/>
    </row>
    <row r="37">
      <c r="A37" s="110"/>
      <c r="B37" s="110"/>
      <c r="C37" s="121" t="s">
        <v>539</v>
      </c>
      <c r="D37" s="122">
        <v>0.025347222222222222</v>
      </c>
      <c r="E37" s="110"/>
      <c r="F37" s="110"/>
      <c r="G37" s="110"/>
      <c r="H37" s="121" t="s">
        <v>540</v>
      </c>
    </row>
    <row r="38">
      <c r="A38" s="110"/>
      <c r="B38" s="110"/>
      <c r="C38" s="121" t="s">
        <v>542</v>
      </c>
      <c r="D38" s="122">
        <v>0.01306712962962963</v>
      </c>
      <c r="E38" s="110"/>
      <c r="F38" s="119"/>
      <c r="G38" s="110"/>
      <c r="H38" s="121" t="s">
        <v>543</v>
      </c>
    </row>
    <row r="39">
      <c r="A39" s="110"/>
      <c r="B39" s="121" t="s">
        <v>546</v>
      </c>
      <c r="C39" s="110"/>
      <c r="D39" s="119"/>
      <c r="E39" s="110"/>
      <c r="F39" s="120">
        <f>SUM(D40:D41)</f>
        <v>0.03563657407</v>
      </c>
      <c r="G39" s="110"/>
      <c r="H39" s="110"/>
    </row>
    <row r="40">
      <c r="A40" s="110"/>
      <c r="B40" s="110"/>
      <c r="C40" s="121" t="s">
        <v>1402</v>
      </c>
      <c r="D40" s="122">
        <v>0.022164351851851852</v>
      </c>
      <c r="E40" s="110"/>
      <c r="F40" s="119"/>
      <c r="G40" s="110"/>
      <c r="H40" s="121" t="s">
        <v>1659</v>
      </c>
    </row>
    <row r="41">
      <c r="A41" s="110"/>
      <c r="B41" s="110"/>
      <c r="C41" s="121" t="s">
        <v>544</v>
      </c>
      <c r="D41" s="122">
        <v>0.013472222222222222</v>
      </c>
      <c r="E41" s="110"/>
      <c r="F41" s="110"/>
      <c r="G41" s="110"/>
      <c r="H41" s="123" t="s">
        <v>545</v>
      </c>
    </row>
    <row r="42">
      <c r="A42" s="110"/>
      <c r="B42" s="121" t="s">
        <v>549</v>
      </c>
      <c r="C42" s="110"/>
      <c r="D42" s="119"/>
      <c r="E42" s="110"/>
      <c r="F42" s="120">
        <f>SUM(D43:D51)</f>
        <v>0.1562152778</v>
      </c>
      <c r="G42" s="110"/>
      <c r="H42" s="110"/>
    </row>
    <row r="43">
      <c r="A43" s="110"/>
      <c r="B43" s="110"/>
      <c r="C43" s="121" t="s">
        <v>1660</v>
      </c>
      <c r="D43" s="122">
        <v>0.021458333333333333</v>
      </c>
      <c r="E43" s="110"/>
      <c r="F43" s="110"/>
      <c r="G43" s="110"/>
      <c r="H43" s="123" t="s">
        <v>1661</v>
      </c>
    </row>
    <row r="44">
      <c r="A44" s="110"/>
      <c r="B44" s="110"/>
      <c r="C44" s="121" t="s">
        <v>1662</v>
      </c>
      <c r="D44" s="122">
        <v>0.013981481481481482</v>
      </c>
      <c r="E44" s="110"/>
      <c r="F44" s="110"/>
      <c r="G44" s="110"/>
      <c r="H44" s="123" t="s">
        <v>1663</v>
      </c>
    </row>
    <row r="45">
      <c r="A45" s="110"/>
      <c r="B45" s="110"/>
      <c r="C45" s="121" t="s">
        <v>1664</v>
      </c>
      <c r="D45" s="122">
        <v>0.018194444444444444</v>
      </c>
      <c r="E45" s="110"/>
      <c r="F45" s="110"/>
      <c r="G45" s="110"/>
      <c r="H45" s="123" t="s">
        <v>1665</v>
      </c>
    </row>
    <row r="46">
      <c r="A46" s="110"/>
      <c r="B46" s="110"/>
      <c r="C46" s="121" t="s">
        <v>552</v>
      </c>
      <c r="D46" s="122">
        <v>0.026643518518518518</v>
      </c>
      <c r="E46" s="110"/>
      <c r="F46" s="110"/>
      <c r="G46" s="110"/>
      <c r="H46" s="123" t="s">
        <v>553</v>
      </c>
    </row>
    <row r="47">
      <c r="A47" s="110"/>
      <c r="B47" s="110"/>
      <c r="C47" s="121" t="s">
        <v>554</v>
      </c>
      <c r="D47" s="122">
        <v>0.010034722222222223</v>
      </c>
      <c r="E47" s="110"/>
      <c r="F47" s="119"/>
      <c r="G47" s="110"/>
      <c r="H47" s="123" t="s">
        <v>555</v>
      </c>
    </row>
    <row r="48">
      <c r="A48" s="110"/>
      <c r="B48" s="110"/>
      <c r="C48" s="121" t="s">
        <v>1405</v>
      </c>
      <c r="D48" s="122">
        <v>0.013171296296296296</v>
      </c>
      <c r="E48" s="110"/>
      <c r="F48" s="110"/>
      <c r="G48" s="110"/>
      <c r="H48" s="123" t="s">
        <v>1666</v>
      </c>
    </row>
    <row r="49">
      <c r="A49" s="110"/>
      <c r="B49" s="110"/>
      <c r="C49" s="121" t="s">
        <v>556</v>
      </c>
      <c r="D49" s="122">
        <v>0.0175</v>
      </c>
      <c r="E49" s="110"/>
      <c r="F49" s="110"/>
      <c r="G49" s="110"/>
      <c r="H49" s="123" t="s">
        <v>557</v>
      </c>
    </row>
    <row r="50">
      <c r="A50" s="110"/>
      <c r="B50" s="110"/>
      <c r="C50" s="121" t="s">
        <v>558</v>
      </c>
      <c r="D50" s="122">
        <v>0.016793981481481483</v>
      </c>
      <c r="E50" s="110"/>
      <c r="F50" s="119"/>
      <c r="G50" s="110"/>
      <c r="H50" s="123" t="s">
        <v>559</v>
      </c>
    </row>
    <row r="51">
      <c r="A51" s="110"/>
      <c r="B51" s="110"/>
      <c r="C51" s="121" t="s">
        <v>560</v>
      </c>
      <c r="D51" s="122">
        <v>0.0184375</v>
      </c>
      <c r="E51" s="110"/>
      <c r="F51" s="119"/>
      <c r="G51" s="110"/>
      <c r="H51" s="123" t="s">
        <v>561</v>
      </c>
    </row>
    <row r="52">
      <c r="A52" s="110"/>
      <c r="B52" s="121" t="s">
        <v>564</v>
      </c>
      <c r="C52" s="110"/>
      <c r="D52" s="119"/>
      <c r="E52" s="110"/>
      <c r="F52" s="120">
        <f>SUM(D53:D59)</f>
        <v>0.09208333333</v>
      </c>
      <c r="G52" s="110"/>
      <c r="H52" s="110"/>
    </row>
    <row r="53">
      <c r="A53" s="110"/>
      <c r="B53" s="110"/>
      <c r="C53" s="110" t="s">
        <v>562</v>
      </c>
      <c r="D53" s="122">
        <v>0.013518518518518518</v>
      </c>
      <c r="E53" s="110"/>
      <c r="F53" s="110"/>
      <c r="G53" s="110"/>
      <c r="H53" s="121" t="s">
        <v>563</v>
      </c>
    </row>
    <row r="54">
      <c r="A54" s="110"/>
      <c r="B54" s="110"/>
      <c r="C54" s="110" t="s">
        <v>565</v>
      </c>
      <c r="D54" s="122">
        <v>0.00988425925925926</v>
      </c>
      <c r="E54" s="110"/>
      <c r="F54" s="110"/>
      <c r="G54" s="110"/>
      <c r="H54" s="121" t="s">
        <v>566</v>
      </c>
    </row>
    <row r="55">
      <c r="A55" s="110"/>
      <c r="B55" s="110"/>
      <c r="C55" s="121" t="s">
        <v>567</v>
      </c>
      <c r="D55" s="122">
        <v>0.007268518518518519</v>
      </c>
      <c r="E55" s="110"/>
      <c r="F55" s="110"/>
      <c r="G55" s="110"/>
      <c r="H55" s="121" t="s">
        <v>568</v>
      </c>
    </row>
    <row r="56">
      <c r="A56" s="110"/>
      <c r="B56" s="110"/>
      <c r="C56" s="121" t="s">
        <v>569</v>
      </c>
      <c r="D56" s="122">
        <v>0.025138888888888888</v>
      </c>
      <c r="E56" s="110"/>
      <c r="F56" s="110"/>
      <c r="G56" s="110"/>
      <c r="H56" s="121" t="s">
        <v>570</v>
      </c>
    </row>
    <row r="57">
      <c r="A57" s="110"/>
      <c r="B57" s="110"/>
      <c r="C57" s="121" t="s">
        <v>571</v>
      </c>
      <c r="D57" s="122">
        <v>0.015543981481481482</v>
      </c>
      <c r="E57" s="110"/>
      <c r="F57" s="110"/>
      <c r="G57" s="110"/>
      <c r="H57" s="121" t="s">
        <v>572</v>
      </c>
    </row>
    <row r="58">
      <c r="A58" s="110"/>
      <c r="B58" s="110"/>
      <c r="C58" s="121" t="s">
        <v>1667</v>
      </c>
      <c r="D58" s="122">
        <v>0.01355324074074074</v>
      </c>
      <c r="E58" s="110"/>
      <c r="F58" s="119"/>
      <c r="G58" s="110"/>
      <c r="H58" s="110" t="s">
        <v>1668</v>
      </c>
    </row>
    <row r="59">
      <c r="A59" s="110"/>
      <c r="B59" s="110"/>
      <c r="C59" s="121" t="s">
        <v>573</v>
      </c>
      <c r="D59" s="122">
        <v>0.007175925925925926</v>
      </c>
      <c r="E59" s="110"/>
      <c r="F59" s="119"/>
      <c r="G59" s="110"/>
      <c r="H59" s="110" t="s">
        <v>574</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19.67"/>
    <col customWidth="1" min="2" max="2" width="38.22"/>
    <col customWidth="1" min="3" max="3" width="30.11"/>
    <col customWidth="1" min="4" max="4" width="18.33"/>
    <col customWidth="1" min="8" max="8" width="160.11"/>
    <col customWidth="1" min="9" max="9" width="21.22"/>
  </cols>
  <sheetData>
    <row r="1">
      <c r="A1" s="106" t="s">
        <v>1669</v>
      </c>
      <c r="B1" s="106" t="s">
        <v>1638</v>
      </c>
      <c r="C1" s="107" t="s">
        <v>1639</v>
      </c>
      <c r="D1" s="108" t="s">
        <v>1640</v>
      </c>
      <c r="E1" s="109" t="s">
        <v>1641</v>
      </c>
      <c r="F1" s="109" t="s">
        <v>1642</v>
      </c>
      <c r="G1" s="110"/>
      <c r="H1" s="109" t="s">
        <v>1643</v>
      </c>
      <c r="I1" s="109" t="s">
        <v>1670</v>
      </c>
    </row>
    <row r="2">
      <c r="A2" s="111" t="s">
        <v>1644</v>
      </c>
      <c r="B2" s="112"/>
      <c r="C2" s="112"/>
      <c r="D2" s="113"/>
      <c r="E2" s="112"/>
      <c r="F2" s="114">
        <f>SUM(F3+F6)</f>
        <v>0.03694444444</v>
      </c>
      <c r="G2" s="112"/>
      <c r="H2" s="112"/>
      <c r="I2" s="112"/>
    </row>
    <row r="3">
      <c r="A3" s="115" t="s">
        <v>1645</v>
      </c>
      <c r="B3" s="116"/>
      <c r="C3" s="116"/>
      <c r="D3" s="117"/>
      <c r="E3" s="116"/>
      <c r="F3" s="118">
        <f>SUM(F4)</f>
        <v>0</v>
      </c>
      <c r="G3" s="116"/>
      <c r="H3" s="116"/>
      <c r="I3" s="116"/>
    </row>
    <row r="4">
      <c r="A4" s="110"/>
      <c r="B4" s="110" t="s">
        <v>1646</v>
      </c>
      <c r="C4" s="110"/>
      <c r="D4" s="119"/>
      <c r="E4" s="110"/>
      <c r="F4" s="120">
        <f>SUM(D5)</f>
        <v>0</v>
      </c>
      <c r="G4" s="110"/>
      <c r="H4" s="110"/>
      <c r="I4" s="110"/>
    </row>
    <row r="5">
      <c r="A5" s="110"/>
      <c r="B5" s="110"/>
      <c r="C5" s="121" t="s">
        <v>1647</v>
      </c>
      <c r="D5" s="119"/>
      <c r="E5" s="110"/>
      <c r="F5" s="119"/>
      <c r="G5" s="110"/>
      <c r="H5" s="110"/>
      <c r="I5" s="110"/>
    </row>
    <row r="6">
      <c r="A6" s="115"/>
      <c r="B6" s="116"/>
      <c r="C6" s="116"/>
      <c r="D6" s="117"/>
      <c r="E6" s="116"/>
      <c r="F6" s="118">
        <f>SUM(F7:F10)</f>
        <v>0.03694444444</v>
      </c>
      <c r="G6" s="116"/>
      <c r="H6" s="116"/>
      <c r="I6" s="124" t="s">
        <v>1671</v>
      </c>
    </row>
    <row r="7">
      <c r="A7" s="110"/>
      <c r="B7" s="121" t="s">
        <v>524</v>
      </c>
      <c r="C7" s="110"/>
      <c r="D7" s="119"/>
      <c r="E7" s="110"/>
      <c r="F7" s="120">
        <f>SUM(D8:D10)</f>
        <v>0.03694444444</v>
      </c>
      <c r="G7" s="110"/>
      <c r="H7" s="110"/>
      <c r="I7" s="110"/>
    </row>
    <row r="8">
      <c r="A8" s="110"/>
      <c r="B8" s="110"/>
      <c r="C8" s="121" t="s">
        <v>1672</v>
      </c>
      <c r="D8" s="122">
        <v>0.01074074074074074</v>
      </c>
      <c r="E8" s="110"/>
      <c r="F8" s="110"/>
      <c r="G8" s="110"/>
      <c r="H8" s="121" t="s">
        <v>1673</v>
      </c>
      <c r="I8" s="110"/>
    </row>
    <row r="9">
      <c r="A9" s="110"/>
      <c r="B9" s="110"/>
      <c r="C9" s="121" t="s">
        <v>1674</v>
      </c>
      <c r="D9" s="122">
        <v>0.017106481481481483</v>
      </c>
      <c r="E9" s="110"/>
      <c r="F9" s="110"/>
      <c r="G9" s="110"/>
      <c r="H9" s="121" t="s">
        <v>1675</v>
      </c>
      <c r="I9" s="110"/>
    </row>
    <row r="10">
      <c r="A10" s="110"/>
      <c r="B10" s="110"/>
      <c r="C10" s="121" t="s">
        <v>1676</v>
      </c>
      <c r="D10" s="122">
        <v>0.009097222222222222</v>
      </c>
      <c r="E10" s="110"/>
      <c r="F10" s="110"/>
      <c r="G10" s="110"/>
      <c r="H10" s="121" t="s">
        <v>1677</v>
      </c>
      <c r="I10" s="110"/>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20.56"/>
    <col customWidth="1" min="2" max="2" width="17.44"/>
    <col customWidth="1" min="3" max="3" width="58.0"/>
    <col customWidth="1" min="4" max="4" width="19.0"/>
    <col customWidth="1" min="8" max="8" width="216.78"/>
    <col customWidth="1" min="9" max="9" width="30.78"/>
  </cols>
  <sheetData>
    <row r="1">
      <c r="A1" s="106" t="s">
        <v>1678</v>
      </c>
      <c r="B1" s="106" t="s">
        <v>1638</v>
      </c>
      <c r="C1" s="107" t="s">
        <v>1639</v>
      </c>
      <c r="D1" s="108" t="s">
        <v>1640</v>
      </c>
      <c r="E1" s="109" t="s">
        <v>1641</v>
      </c>
      <c r="F1" s="109" t="s">
        <v>1642</v>
      </c>
      <c r="G1" s="110"/>
      <c r="H1" s="109" t="s">
        <v>1643</v>
      </c>
      <c r="I1" s="109" t="s">
        <v>1670</v>
      </c>
      <c r="J1" s="110"/>
      <c r="K1" s="110"/>
      <c r="L1" s="110"/>
      <c r="M1" s="110"/>
      <c r="N1" s="110"/>
    </row>
    <row r="2">
      <c r="A2" s="111" t="s">
        <v>1644</v>
      </c>
      <c r="B2" s="112"/>
      <c r="C2" s="112"/>
      <c r="D2" s="113"/>
      <c r="E2" s="112"/>
      <c r="F2" s="114">
        <f>SUM(F3+F6)</f>
        <v>0.05702546296</v>
      </c>
      <c r="G2" s="112"/>
      <c r="H2" s="112"/>
      <c r="I2" s="112"/>
      <c r="J2" s="112"/>
      <c r="K2" s="112"/>
      <c r="L2" s="112"/>
      <c r="M2" s="112"/>
      <c r="N2" s="112"/>
    </row>
    <row r="3">
      <c r="A3" s="115" t="s">
        <v>1645</v>
      </c>
      <c r="B3" s="116"/>
      <c r="C3" s="116"/>
      <c r="D3" s="117"/>
      <c r="E3" s="116"/>
      <c r="F3" s="118">
        <f>SUM(F4)</f>
        <v>0</v>
      </c>
      <c r="G3" s="116"/>
      <c r="H3" s="116"/>
      <c r="I3" s="116"/>
      <c r="J3" s="116"/>
      <c r="K3" s="116"/>
      <c r="L3" s="116"/>
      <c r="M3" s="116"/>
      <c r="N3" s="116"/>
    </row>
    <row r="4">
      <c r="A4" s="110"/>
      <c r="B4" s="110" t="s">
        <v>1646</v>
      </c>
      <c r="C4" s="110"/>
      <c r="D4" s="119"/>
      <c r="E4" s="110"/>
      <c r="F4" s="120">
        <f>SUM(D5)</f>
        <v>0</v>
      </c>
      <c r="G4" s="110"/>
      <c r="H4" s="110"/>
      <c r="I4" s="110"/>
      <c r="J4" s="110"/>
      <c r="K4" s="110"/>
      <c r="L4" s="110"/>
      <c r="M4" s="110"/>
      <c r="N4" s="110"/>
    </row>
    <row r="5">
      <c r="A5" s="110"/>
      <c r="B5" s="110"/>
      <c r="C5" s="121" t="s">
        <v>1647</v>
      </c>
      <c r="D5" s="119"/>
      <c r="E5" s="110"/>
      <c r="F5" s="119"/>
      <c r="G5" s="110"/>
      <c r="H5" s="110"/>
      <c r="I5" s="110"/>
      <c r="J5" s="110"/>
      <c r="K5" s="110"/>
      <c r="L5" s="110"/>
      <c r="M5" s="110"/>
      <c r="N5" s="110"/>
    </row>
    <row r="6">
      <c r="A6" s="115"/>
      <c r="B6" s="116"/>
      <c r="C6" s="116"/>
      <c r="D6" s="117"/>
      <c r="E6" s="116"/>
      <c r="F6" s="118">
        <f>SUM(F7:F11)</f>
        <v>0.05702546296</v>
      </c>
      <c r="G6" s="116"/>
      <c r="H6" s="116"/>
      <c r="I6" s="116"/>
      <c r="J6" s="116"/>
      <c r="K6" s="116"/>
      <c r="L6" s="116"/>
      <c r="M6" s="116"/>
      <c r="N6" s="116"/>
    </row>
    <row r="7">
      <c r="A7" s="110"/>
      <c r="B7" s="121" t="s">
        <v>1679</v>
      </c>
      <c r="C7" s="110"/>
      <c r="D7" s="119"/>
      <c r="E7" s="110"/>
      <c r="F7" s="120">
        <f>SUM(D8:D11)</f>
        <v>0.05702546296</v>
      </c>
      <c r="G7" s="110"/>
      <c r="H7" s="110"/>
      <c r="I7" s="110"/>
      <c r="J7" s="110"/>
      <c r="K7" s="110"/>
      <c r="L7" s="110"/>
      <c r="M7" s="110"/>
      <c r="N7" s="110"/>
    </row>
    <row r="8">
      <c r="A8" s="110"/>
      <c r="B8" s="110"/>
      <c r="C8" s="121" t="s">
        <v>1680</v>
      </c>
      <c r="D8" s="122">
        <v>0.01699074074074074</v>
      </c>
      <c r="E8" s="110"/>
      <c r="F8" s="110"/>
      <c r="G8" s="110"/>
      <c r="H8" s="121" t="s">
        <v>1681</v>
      </c>
      <c r="I8" s="110"/>
      <c r="J8" s="110"/>
      <c r="K8" s="110"/>
      <c r="L8" s="110"/>
      <c r="M8" s="110"/>
      <c r="N8" s="110"/>
    </row>
    <row r="9">
      <c r="A9" s="110"/>
      <c r="B9" s="110"/>
      <c r="C9" s="121" t="s">
        <v>1682</v>
      </c>
      <c r="D9" s="122">
        <v>0.011331018518518518</v>
      </c>
      <c r="E9" s="110"/>
      <c r="F9" s="110"/>
      <c r="G9" s="110"/>
      <c r="H9" s="121" t="s">
        <v>1683</v>
      </c>
      <c r="I9" s="110"/>
      <c r="J9" s="110"/>
      <c r="K9" s="110"/>
      <c r="L9" s="110"/>
      <c r="M9" s="110"/>
      <c r="N9" s="110"/>
    </row>
    <row r="10">
      <c r="A10" s="110"/>
      <c r="B10" s="110"/>
      <c r="C10" s="121" t="s">
        <v>1684</v>
      </c>
      <c r="D10" s="122">
        <v>0.011018518518518518</v>
      </c>
      <c r="E10" s="110"/>
      <c r="F10" s="110"/>
      <c r="G10" s="110"/>
      <c r="H10" s="121" t="s">
        <v>1685</v>
      </c>
      <c r="I10" s="110"/>
      <c r="J10" s="110"/>
      <c r="K10" s="110"/>
      <c r="L10" s="110"/>
      <c r="M10" s="110"/>
      <c r="N10" s="110"/>
    </row>
    <row r="11">
      <c r="A11" s="110"/>
      <c r="B11" s="110"/>
      <c r="C11" s="121" t="s">
        <v>1686</v>
      </c>
      <c r="D11" s="122">
        <v>0.017685185185185186</v>
      </c>
      <c r="E11" s="110"/>
      <c r="F11" s="110"/>
      <c r="G11" s="110"/>
      <c r="H11" s="121" t="s">
        <v>1687</v>
      </c>
      <c r="I11" s="110"/>
      <c r="J11" s="110"/>
      <c r="K11" s="110"/>
      <c r="L11" s="110"/>
      <c r="M11" s="110"/>
      <c r="N11" s="110"/>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49.22"/>
    <col customWidth="1" min="2" max="2" width="36.22"/>
    <col customWidth="1" min="3" max="3" width="41.89"/>
    <col customWidth="1" min="4" max="4" width="17.11"/>
    <col customWidth="1" min="7" max="7" width="33.56"/>
    <col customWidth="1" min="8" max="8" width="50.89"/>
    <col customWidth="1" min="9" max="9" width="40.22"/>
  </cols>
  <sheetData>
    <row r="1">
      <c r="A1" s="106" t="s">
        <v>1688</v>
      </c>
      <c r="B1" s="110"/>
      <c r="C1" s="107" t="s">
        <v>1639</v>
      </c>
      <c r="D1" s="108" t="s">
        <v>1640</v>
      </c>
      <c r="E1" s="109" t="s">
        <v>1641</v>
      </c>
      <c r="F1" s="109" t="s">
        <v>1642</v>
      </c>
      <c r="G1" s="110"/>
      <c r="H1" s="109" t="s">
        <v>1643</v>
      </c>
      <c r="I1" s="109" t="s">
        <v>1670</v>
      </c>
    </row>
    <row r="2">
      <c r="A2" s="111" t="s">
        <v>1689</v>
      </c>
      <c r="B2" s="112"/>
      <c r="C2" s="112"/>
      <c r="D2" s="113"/>
      <c r="E2" s="112"/>
      <c r="F2" s="114">
        <f>SUM(F3+F6+F34+F46+F50)</f>
        <v>0.6073611111</v>
      </c>
      <c r="G2" s="112"/>
      <c r="H2" s="112"/>
      <c r="I2" s="112"/>
    </row>
    <row r="3">
      <c r="A3" s="115" t="s">
        <v>1690</v>
      </c>
      <c r="B3" s="116"/>
      <c r="C3" s="116"/>
      <c r="D3" s="117"/>
      <c r="E3" s="116"/>
      <c r="F3" s="118">
        <f>SUM(F4)</f>
        <v>0</v>
      </c>
      <c r="G3" s="116"/>
      <c r="H3" s="116"/>
      <c r="I3" s="116"/>
    </row>
    <row r="4">
      <c r="A4" s="110"/>
      <c r="B4" s="110" t="s">
        <v>1646</v>
      </c>
      <c r="C4" s="110"/>
      <c r="D4" s="119"/>
      <c r="E4" s="110"/>
      <c r="F4" s="120">
        <f>SUM(D5)</f>
        <v>0</v>
      </c>
      <c r="G4" s="110"/>
      <c r="H4" s="110"/>
      <c r="I4" s="110"/>
    </row>
    <row r="5">
      <c r="A5" s="110"/>
      <c r="B5" s="110"/>
      <c r="C5" s="121" t="s">
        <v>1691</v>
      </c>
      <c r="D5" s="119"/>
      <c r="E5" s="110"/>
      <c r="F5" s="119"/>
      <c r="G5" s="110"/>
      <c r="H5" s="110"/>
      <c r="I5" s="110"/>
    </row>
    <row r="6">
      <c r="A6" s="115" t="s">
        <v>1692</v>
      </c>
      <c r="B6" s="116"/>
      <c r="C6" s="116"/>
      <c r="D6" s="117"/>
      <c r="E6" s="116"/>
      <c r="F6" s="118">
        <f>SUM(F7:F33)</f>
        <v>0.2440277778</v>
      </c>
      <c r="G6" s="125" t="s">
        <v>1693</v>
      </c>
      <c r="H6" s="115"/>
      <c r="I6" s="115"/>
    </row>
    <row r="7">
      <c r="A7" s="110"/>
      <c r="B7" s="121" t="s">
        <v>1694</v>
      </c>
      <c r="C7" s="110"/>
      <c r="D7" s="119"/>
      <c r="E7" s="110"/>
      <c r="F7" s="120">
        <f>SUM(D8:D11)</f>
        <v>0.08344907407</v>
      </c>
      <c r="G7" s="110"/>
      <c r="H7" s="110"/>
      <c r="I7" s="110"/>
    </row>
    <row r="8">
      <c r="A8" s="110"/>
      <c r="B8" s="110"/>
      <c r="C8" s="121" t="s">
        <v>1695</v>
      </c>
      <c r="D8" s="122">
        <v>0.026296296296296297</v>
      </c>
      <c r="E8" s="110"/>
      <c r="F8" s="110"/>
      <c r="G8" s="126" t="s">
        <v>1696</v>
      </c>
      <c r="H8" s="106" t="s">
        <v>1697</v>
      </c>
      <c r="I8" s="110"/>
    </row>
    <row r="9">
      <c r="A9" s="110"/>
      <c r="B9" s="110"/>
      <c r="C9" s="121" t="s">
        <v>1698</v>
      </c>
      <c r="D9" s="122">
        <v>0.0225</v>
      </c>
      <c r="E9" s="110"/>
      <c r="F9" s="110"/>
      <c r="G9" s="110"/>
      <c r="H9" s="106" t="s">
        <v>1697</v>
      </c>
      <c r="I9" s="110"/>
    </row>
    <row r="10">
      <c r="A10" s="110"/>
      <c r="B10" s="110"/>
      <c r="C10" s="121" t="s">
        <v>1699</v>
      </c>
      <c r="D10" s="122">
        <v>0.02068287037037037</v>
      </c>
      <c r="E10" s="110"/>
      <c r="F10" s="119"/>
      <c r="G10" s="110"/>
      <c r="H10" s="106" t="s">
        <v>1697</v>
      </c>
      <c r="I10" s="110"/>
    </row>
    <row r="11">
      <c r="A11" s="110"/>
      <c r="B11" s="110"/>
      <c r="C11" s="121" t="s">
        <v>1700</v>
      </c>
      <c r="D11" s="122">
        <v>0.013969907407407407</v>
      </c>
      <c r="E11" s="110"/>
      <c r="F11" s="119"/>
      <c r="G11" s="110"/>
      <c r="H11" s="121" t="s">
        <v>1697</v>
      </c>
      <c r="I11" s="110"/>
    </row>
    <row r="12">
      <c r="A12" s="110"/>
      <c r="B12" s="121" t="s">
        <v>1701</v>
      </c>
      <c r="C12" s="110"/>
      <c r="D12" s="119"/>
      <c r="E12" s="110"/>
      <c r="F12" s="120">
        <f>SUM(D13:D20)</f>
        <v>0.06385416667</v>
      </c>
      <c r="G12" s="110"/>
      <c r="H12" s="110"/>
      <c r="I12" s="110"/>
    </row>
    <row r="13">
      <c r="A13" s="110"/>
      <c r="B13" s="110"/>
      <c r="C13" s="121" t="s">
        <v>1702</v>
      </c>
      <c r="D13" s="122">
        <v>7.986111111111112E-4</v>
      </c>
      <c r="E13" s="110"/>
      <c r="F13" s="110"/>
      <c r="G13" s="110"/>
      <c r="H13" s="121" t="s">
        <v>1697</v>
      </c>
      <c r="I13" s="110"/>
    </row>
    <row r="14">
      <c r="A14" s="110"/>
      <c r="B14" s="110"/>
      <c r="C14" s="121" t="s">
        <v>1703</v>
      </c>
      <c r="D14" s="122">
        <v>0.004930555555555555</v>
      </c>
      <c r="E14" s="110"/>
      <c r="F14" s="110"/>
      <c r="G14" s="110"/>
      <c r="H14" s="121" t="s">
        <v>1697</v>
      </c>
      <c r="I14" s="110"/>
    </row>
    <row r="15">
      <c r="A15" s="110"/>
      <c r="B15" s="110"/>
      <c r="C15" s="121" t="s">
        <v>1704</v>
      </c>
      <c r="D15" s="122">
        <v>0.007847222222222222</v>
      </c>
      <c r="E15" s="110"/>
      <c r="F15" s="110"/>
      <c r="G15" s="110"/>
      <c r="H15" s="121" t="s">
        <v>1697</v>
      </c>
      <c r="I15" s="110"/>
    </row>
    <row r="16">
      <c r="A16" s="110"/>
      <c r="B16" s="110"/>
      <c r="C16" s="121" t="s">
        <v>1705</v>
      </c>
      <c r="D16" s="122">
        <v>0.008136574074074074</v>
      </c>
      <c r="E16" s="110"/>
      <c r="F16" s="110"/>
      <c r="G16" s="110"/>
      <c r="H16" s="121" t="s">
        <v>1697</v>
      </c>
      <c r="I16" s="110"/>
    </row>
    <row r="17">
      <c r="A17" s="110"/>
      <c r="B17" s="110"/>
      <c r="C17" s="121" t="s">
        <v>1706</v>
      </c>
      <c r="D17" s="122">
        <v>0.001412037037037037</v>
      </c>
      <c r="E17" s="110"/>
      <c r="F17" s="119"/>
      <c r="G17" s="110"/>
      <c r="H17" s="121" t="s">
        <v>1697</v>
      </c>
      <c r="I17" s="110"/>
    </row>
    <row r="18">
      <c r="A18" s="110"/>
      <c r="B18" s="110"/>
      <c r="C18" s="121" t="s">
        <v>1707</v>
      </c>
      <c r="D18" s="122">
        <v>0.009872685185185186</v>
      </c>
      <c r="E18" s="110"/>
      <c r="F18" s="110"/>
      <c r="G18" s="110"/>
      <c r="H18" s="121" t="s">
        <v>1697</v>
      </c>
      <c r="I18" s="110"/>
    </row>
    <row r="19">
      <c r="A19" s="110"/>
      <c r="B19" s="110"/>
      <c r="C19" s="121" t="s">
        <v>1708</v>
      </c>
      <c r="D19" s="122">
        <v>0.004733796296296297</v>
      </c>
      <c r="E19" s="110"/>
      <c r="F19" s="110"/>
      <c r="G19" s="110"/>
      <c r="H19" s="121" t="s">
        <v>1697</v>
      </c>
      <c r="I19" s="110"/>
    </row>
    <row r="20">
      <c r="A20" s="110"/>
      <c r="B20" s="110"/>
      <c r="C20" s="121" t="s">
        <v>1709</v>
      </c>
      <c r="D20" s="122">
        <v>0.026122685185185186</v>
      </c>
      <c r="E20" s="110"/>
      <c r="F20" s="119"/>
      <c r="G20" s="110"/>
      <c r="H20" s="121" t="s">
        <v>1697</v>
      </c>
      <c r="I20" s="110"/>
    </row>
    <row r="21">
      <c r="A21" s="110"/>
      <c r="B21" s="121" t="s">
        <v>1710</v>
      </c>
      <c r="C21" s="110"/>
      <c r="D21" s="119"/>
      <c r="E21" s="110"/>
      <c r="F21" s="120">
        <f>SUM(D22:D30)</f>
        <v>0.04454861111</v>
      </c>
      <c r="G21" s="110"/>
      <c r="H21" s="110"/>
      <c r="I21" s="110"/>
    </row>
    <row r="22">
      <c r="A22" s="110"/>
      <c r="B22" s="110"/>
      <c r="C22" s="121" t="s">
        <v>1711</v>
      </c>
      <c r="D22" s="122">
        <v>0.002766203703703704</v>
      </c>
      <c r="E22" s="110"/>
      <c r="F22" s="110"/>
      <c r="G22" s="110"/>
      <c r="H22" s="106" t="s">
        <v>1712</v>
      </c>
      <c r="I22" s="110"/>
    </row>
    <row r="23">
      <c r="A23" s="110"/>
      <c r="B23" s="110"/>
      <c r="C23" s="121" t="s">
        <v>1713</v>
      </c>
      <c r="D23" s="122">
        <v>0.0032407407407407406</v>
      </c>
      <c r="E23" s="110"/>
      <c r="F23" s="110"/>
      <c r="G23" s="110"/>
      <c r="H23" s="106" t="s">
        <v>1712</v>
      </c>
      <c r="I23" s="110"/>
    </row>
    <row r="24">
      <c r="A24" s="110"/>
      <c r="B24" s="110"/>
      <c r="C24" s="121" t="s">
        <v>1714</v>
      </c>
      <c r="D24" s="122">
        <v>0.00625</v>
      </c>
      <c r="E24" s="110"/>
      <c r="F24" s="110"/>
      <c r="G24" s="110"/>
      <c r="H24" s="106" t="s">
        <v>1712</v>
      </c>
      <c r="I24" s="110"/>
    </row>
    <row r="25">
      <c r="A25" s="110"/>
      <c r="B25" s="110"/>
      <c r="C25" s="121" t="s">
        <v>1715</v>
      </c>
      <c r="D25" s="122">
        <v>0.009467592592592593</v>
      </c>
      <c r="E25" s="110"/>
      <c r="F25" s="110"/>
      <c r="G25" s="121" t="s">
        <v>1716</v>
      </c>
      <c r="H25" s="106" t="s">
        <v>1712</v>
      </c>
      <c r="I25" s="110"/>
    </row>
    <row r="26">
      <c r="A26" s="110"/>
      <c r="B26" s="110"/>
      <c r="C26" s="121" t="s">
        <v>1717</v>
      </c>
      <c r="D26" s="122">
        <v>0.008414351851851852</v>
      </c>
      <c r="E26" s="110"/>
      <c r="F26" s="110"/>
      <c r="G26" s="110"/>
      <c r="H26" s="106" t="s">
        <v>1712</v>
      </c>
      <c r="I26" s="110"/>
    </row>
    <row r="27">
      <c r="A27" s="110"/>
      <c r="B27" s="110"/>
      <c r="C27" s="121" t="s">
        <v>1718</v>
      </c>
      <c r="D27" s="122">
        <v>0.003576388888888889</v>
      </c>
      <c r="E27" s="110"/>
      <c r="F27" s="119"/>
      <c r="G27" s="110"/>
      <c r="H27" s="106" t="s">
        <v>1712</v>
      </c>
      <c r="I27" s="110"/>
    </row>
    <row r="28">
      <c r="A28" s="110"/>
      <c r="B28" s="110"/>
      <c r="C28" s="121" t="s">
        <v>1719</v>
      </c>
      <c r="D28" s="122">
        <v>6.828703703703704E-4</v>
      </c>
      <c r="E28" s="110"/>
      <c r="F28" s="110"/>
      <c r="G28" s="110"/>
      <c r="H28" s="106" t="s">
        <v>1712</v>
      </c>
      <c r="I28" s="110"/>
    </row>
    <row r="29">
      <c r="A29" s="110"/>
      <c r="B29" s="110"/>
      <c r="C29" s="121" t="s">
        <v>1720</v>
      </c>
      <c r="D29" s="122">
        <v>0.002395833333333333</v>
      </c>
      <c r="E29" s="110"/>
      <c r="F29" s="110"/>
      <c r="G29" s="110"/>
      <c r="H29" s="106" t="s">
        <v>1712</v>
      </c>
      <c r="I29" s="110"/>
    </row>
    <row r="30">
      <c r="A30" s="110"/>
      <c r="B30" s="110"/>
      <c r="C30" s="121" t="s">
        <v>1721</v>
      </c>
      <c r="D30" s="127">
        <v>0.0077546296296296295</v>
      </c>
      <c r="E30" s="110"/>
      <c r="F30" s="119"/>
      <c r="G30" s="110"/>
      <c r="H30" s="106" t="s">
        <v>1722</v>
      </c>
      <c r="I30" s="110"/>
    </row>
    <row r="31">
      <c r="A31" s="110"/>
      <c r="B31" s="121" t="s">
        <v>1723</v>
      </c>
      <c r="C31" s="110"/>
      <c r="D31" s="119"/>
      <c r="E31" s="110"/>
      <c r="F31" s="120">
        <f>SUM(D32:D34)</f>
        <v>0.05217592593</v>
      </c>
      <c r="G31" s="110"/>
      <c r="H31" s="110"/>
      <c r="I31" s="110"/>
    </row>
    <row r="32">
      <c r="A32" s="110"/>
      <c r="B32" s="110"/>
      <c r="C32" s="121" t="s">
        <v>1724</v>
      </c>
      <c r="D32" s="122">
        <v>0.026898148148148147</v>
      </c>
      <c r="E32" s="110"/>
      <c r="F32" s="110"/>
      <c r="G32" s="110"/>
      <c r="H32" s="106" t="s">
        <v>1725</v>
      </c>
      <c r="I32" s="110"/>
    </row>
    <row r="33">
      <c r="A33" s="110"/>
      <c r="B33" s="110"/>
      <c r="C33" s="121" t="s">
        <v>1726</v>
      </c>
      <c r="D33" s="122">
        <v>0.025277777777777777</v>
      </c>
      <c r="E33" s="110"/>
      <c r="F33" s="110"/>
      <c r="G33" s="110"/>
      <c r="H33" s="106" t="s">
        <v>1727</v>
      </c>
      <c r="I33" s="110"/>
    </row>
    <row r="34">
      <c r="A34" s="115" t="s">
        <v>1728</v>
      </c>
      <c r="B34" s="116"/>
      <c r="C34" s="116"/>
      <c r="D34" s="117"/>
      <c r="E34" s="116"/>
      <c r="F34" s="118">
        <f>SUM(F35:F45)</f>
        <v>0.09105324074</v>
      </c>
      <c r="G34" s="116"/>
      <c r="H34" s="116"/>
      <c r="I34" s="116"/>
    </row>
    <row r="35">
      <c r="A35" s="110"/>
      <c r="B35" s="121" t="s">
        <v>1728</v>
      </c>
      <c r="C35" s="110"/>
      <c r="D35" s="119"/>
      <c r="E35" s="110"/>
      <c r="F35" s="120">
        <f>SUM(D36:D41)</f>
        <v>0.06325231481</v>
      </c>
      <c r="G35" s="110"/>
      <c r="H35" s="110"/>
      <c r="I35" s="110"/>
    </row>
    <row r="36">
      <c r="A36" s="110"/>
      <c r="B36" s="110"/>
      <c r="C36" s="121" t="s">
        <v>1729</v>
      </c>
      <c r="D36" s="122">
        <v>0.010636574074074074</v>
      </c>
      <c r="E36" s="110"/>
      <c r="F36" s="110"/>
      <c r="G36" s="110"/>
      <c r="H36" s="106" t="s">
        <v>1712</v>
      </c>
      <c r="I36" s="110"/>
    </row>
    <row r="37">
      <c r="A37" s="110"/>
      <c r="B37" s="110"/>
      <c r="C37" s="121" t="s">
        <v>1730</v>
      </c>
      <c r="D37" s="122">
        <v>0.010914351851851852</v>
      </c>
      <c r="E37" s="110"/>
      <c r="F37" s="110"/>
      <c r="G37" s="110"/>
      <c r="H37" s="106" t="s">
        <v>1712</v>
      </c>
      <c r="I37" s="110"/>
    </row>
    <row r="38">
      <c r="A38" s="110"/>
      <c r="B38" s="110"/>
      <c r="C38" s="121" t="s">
        <v>1731</v>
      </c>
      <c r="D38" s="122">
        <v>0.009733796296296296</v>
      </c>
      <c r="E38" s="110"/>
      <c r="F38" s="110"/>
      <c r="G38" s="110"/>
      <c r="H38" s="106" t="s">
        <v>1712</v>
      </c>
      <c r="I38" s="110"/>
    </row>
    <row r="39">
      <c r="A39" s="110"/>
      <c r="B39" s="110"/>
      <c r="C39" s="121" t="s">
        <v>1732</v>
      </c>
      <c r="D39" s="122">
        <v>0.011215277777777777</v>
      </c>
      <c r="E39" s="110"/>
      <c r="F39" s="119"/>
      <c r="G39" s="110"/>
      <c r="H39" s="106" t="s">
        <v>1712</v>
      </c>
      <c r="I39" s="110"/>
    </row>
    <row r="40">
      <c r="A40" s="110"/>
      <c r="B40" s="110"/>
      <c r="C40" s="121" t="s">
        <v>1733</v>
      </c>
      <c r="D40" s="122">
        <v>0.011643518518518518</v>
      </c>
      <c r="E40" s="110"/>
      <c r="F40" s="119"/>
      <c r="G40" s="110"/>
      <c r="H40" s="106" t="s">
        <v>1712</v>
      </c>
      <c r="I40" s="110"/>
    </row>
    <row r="41">
      <c r="A41" s="110"/>
      <c r="B41" s="110"/>
      <c r="C41" s="121" t="s">
        <v>1734</v>
      </c>
      <c r="D41" s="122">
        <v>0.009108796296296297</v>
      </c>
      <c r="E41" s="110"/>
      <c r="F41" s="119"/>
      <c r="G41" s="110"/>
      <c r="H41" s="106" t="s">
        <v>1712</v>
      </c>
      <c r="I41" s="110"/>
    </row>
    <row r="42">
      <c r="A42" s="110"/>
      <c r="B42" s="121" t="s">
        <v>1735</v>
      </c>
      <c r="C42" s="110"/>
      <c r="D42" s="119"/>
      <c r="E42" s="110"/>
      <c r="F42" s="120">
        <f>SUM(D43:D45)</f>
        <v>0.02780092593</v>
      </c>
      <c r="G42" s="110"/>
      <c r="H42" s="110"/>
      <c r="I42" s="110"/>
    </row>
    <row r="43">
      <c r="A43" s="110"/>
      <c r="B43" s="110"/>
      <c r="C43" s="121" t="s">
        <v>1736</v>
      </c>
      <c r="D43" s="122">
        <v>0.010335648148148148</v>
      </c>
      <c r="E43" s="110"/>
      <c r="F43" s="110"/>
      <c r="G43" s="110"/>
      <c r="H43" s="106" t="s">
        <v>1712</v>
      </c>
      <c r="I43" s="110"/>
    </row>
    <row r="44">
      <c r="A44" s="110"/>
      <c r="B44" s="110"/>
      <c r="C44" s="121" t="s">
        <v>1737</v>
      </c>
      <c r="D44" s="122">
        <v>0.010648148148148148</v>
      </c>
      <c r="E44" s="110"/>
      <c r="F44" s="110"/>
      <c r="G44" s="110"/>
      <c r="H44" s="106" t="s">
        <v>1712</v>
      </c>
      <c r="I44" s="110"/>
    </row>
    <row r="45">
      <c r="A45" s="110"/>
      <c r="B45" s="110"/>
      <c r="C45" s="121" t="s">
        <v>1738</v>
      </c>
      <c r="D45" s="122">
        <v>0.00681712962962963</v>
      </c>
      <c r="E45" s="110"/>
      <c r="F45" s="110"/>
      <c r="G45" s="110"/>
      <c r="H45" s="106" t="s">
        <v>1712</v>
      </c>
      <c r="I45" s="110"/>
    </row>
    <row r="46">
      <c r="A46" s="115" t="s">
        <v>1739</v>
      </c>
      <c r="B46" s="116"/>
      <c r="C46" s="116"/>
      <c r="D46" s="117"/>
      <c r="E46" s="116"/>
      <c r="F46" s="118">
        <f>SUM(F47:F49)</f>
        <v>0.05775462963</v>
      </c>
      <c r="G46" s="116"/>
      <c r="H46" s="116"/>
      <c r="I46" s="116"/>
    </row>
    <row r="47">
      <c r="A47" s="110"/>
      <c r="B47" s="121" t="s">
        <v>1740</v>
      </c>
      <c r="C47" s="110"/>
      <c r="D47" s="119"/>
      <c r="E47" s="110"/>
      <c r="F47" s="120">
        <f>SUM(D48:D49)</f>
        <v>0.05775462963</v>
      </c>
      <c r="G47" s="110"/>
      <c r="H47" s="110"/>
      <c r="I47" s="110"/>
    </row>
    <row r="48">
      <c r="A48" s="110"/>
      <c r="B48" s="110"/>
      <c r="C48" s="121" t="s">
        <v>1741</v>
      </c>
      <c r="D48" s="122">
        <v>0.025405092592592594</v>
      </c>
      <c r="E48" s="110"/>
      <c r="F48" s="110"/>
      <c r="G48" s="110"/>
      <c r="H48" s="121" t="s">
        <v>1697</v>
      </c>
      <c r="I48" s="110"/>
    </row>
    <row r="49">
      <c r="A49" s="110"/>
      <c r="B49" s="110"/>
      <c r="C49" s="121" t="s">
        <v>1742</v>
      </c>
      <c r="D49" s="122">
        <v>0.03234953703703704</v>
      </c>
      <c r="E49" s="110"/>
      <c r="F49" s="110"/>
      <c r="G49" s="110"/>
      <c r="H49" s="121" t="s">
        <v>1697</v>
      </c>
      <c r="I49" s="110"/>
    </row>
    <row r="50">
      <c r="A50" s="115" t="s">
        <v>1743</v>
      </c>
      <c r="B50" s="116"/>
      <c r="C50" s="116"/>
      <c r="D50" s="117"/>
      <c r="E50" s="116"/>
      <c r="F50" s="118">
        <f>SUM(F51:F70)</f>
        <v>0.214525463</v>
      </c>
      <c r="G50" s="116"/>
      <c r="H50" s="116"/>
      <c r="I50" s="116"/>
    </row>
    <row r="51">
      <c r="A51" s="110"/>
      <c r="B51" s="121" t="s">
        <v>1744</v>
      </c>
      <c r="C51" s="110"/>
      <c r="D51" s="119"/>
      <c r="E51" s="110"/>
      <c r="F51" s="120">
        <f>SUM(D52:Z60)</f>
        <v>0.03652777778</v>
      </c>
      <c r="G51" s="110"/>
      <c r="H51" s="110"/>
      <c r="I51" s="110"/>
    </row>
    <row r="52">
      <c r="A52" s="110"/>
      <c r="B52" s="110"/>
      <c r="C52" s="121" t="s">
        <v>1745</v>
      </c>
      <c r="D52" s="122">
        <v>0.0033333333333333335</v>
      </c>
      <c r="E52" s="110"/>
      <c r="F52" s="110"/>
      <c r="G52" s="110"/>
      <c r="H52" s="106" t="s">
        <v>1712</v>
      </c>
      <c r="I52" s="110"/>
    </row>
    <row r="53">
      <c r="A53" s="110"/>
      <c r="B53" s="110"/>
      <c r="C53" s="121" t="s">
        <v>1713</v>
      </c>
      <c r="D53" s="122">
        <v>0.00962962962962963</v>
      </c>
      <c r="E53" s="110"/>
      <c r="F53" s="110"/>
      <c r="G53" s="110"/>
      <c r="H53" s="106" t="s">
        <v>1712</v>
      </c>
      <c r="I53" s="110"/>
    </row>
    <row r="54">
      <c r="A54" s="110"/>
      <c r="B54" s="110"/>
      <c r="C54" s="121" t="s">
        <v>1746</v>
      </c>
      <c r="D54" s="122">
        <v>0.0021643518518518518</v>
      </c>
      <c r="E54" s="110"/>
      <c r="F54" s="110"/>
      <c r="G54" s="110"/>
      <c r="H54" s="106" t="s">
        <v>1712</v>
      </c>
      <c r="I54" s="110"/>
    </row>
    <row r="55">
      <c r="A55" s="110"/>
      <c r="B55" s="110"/>
      <c r="C55" s="121" t="s">
        <v>1747</v>
      </c>
      <c r="D55" s="122">
        <v>0.0011805555555555556</v>
      </c>
      <c r="E55" s="110"/>
      <c r="F55" s="110"/>
      <c r="G55" s="110"/>
      <c r="H55" s="106" t="s">
        <v>1712</v>
      </c>
      <c r="I55" s="110"/>
    </row>
    <row r="56">
      <c r="A56" s="110"/>
      <c r="B56" s="110"/>
      <c r="C56" s="121" t="s">
        <v>1710</v>
      </c>
      <c r="D56" s="122">
        <v>0.0025810185185185185</v>
      </c>
      <c r="E56" s="110"/>
      <c r="F56" s="110"/>
      <c r="G56" s="110"/>
      <c r="H56" s="106" t="s">
        <v>1712</v>
      </c>
      <c r="I56" s="110"/>
    </row>
    <row r="57">
      <c r="A57" s="110"/>
      <c r="B57" s="110"/>
      <c r="C57" s="121" t="s">
        <v>1748</v>
      </c>
      <c r="D57" s="122">
        <v>0.007789351851851852</v>
      </c>
      <c r="E57" s="110"/>
      <c r="F57" s="110"/>
      <c r="G57" s="110"/>
      <c r="H57" s="106" t="s">
        <v>1712</v>
      </c>
      <c r="I57" s="110"/>
    </row>
    <row r="58">
      <c r="A58" s="110"/>
      <c r="B58" s="110"/>
      <c r="C58" s="121" t="s">
        <v>1749</v>
      </c>
      <c r="D58" s="122">
        <v>0.004594907407407408</v>
      </c>
      <c r="E58" s="110"/>
      <c r="F58" s="110"/>
      <c r="G58" s="110"/>
      <c r="H58" s="106" t="s">
        <v>1712</v>
      </c>
      <c r="I58" s="110"/>
    </row>
    <row r="59">
      <c r="A59" s="110"/>
      <c r="B59" s="110"/>
      <c r="C59" s="121" t="s">
        <v>1750</v>
      </c>
      <c r="D59" s="122">
        <v>0.003958333333333334</v>
      </c>
      <c r="E59" s="110"/>
      <c r="F59" s="110"/>
      <c r="G59" s="110"/>
      <c r="H59" s="106" t="s">
        <v>1712</v>
      </c>
      <c r="I59" s="110"/>
    </row>
    <row r="60">
      <c r="A60" s="110"/>
      <c r="B60" s="110"/>
      <c r="C60" s="121" t="s">
        <v>1751</v>
      </c>
      <c r="D60" s="122">
        <v>0.0012962962962962963</v>
      </c>
      <c r="E60" s="110"/>
      <c r="F60" s="110"/>
      <c r="G60" s="110"/>
      <c r="H60" s="106" t="s">
        <v>1712</v>
      </c>
      <c r="I60" s="110"/>
    </row>
    <row r="61">
      <c r="A61" s="110"/>
      <c r="B61" s="121" t="s">
        <v>1752</v>
      </c>
      <c r="C61" s="110"/>
      <c r="D61" s="119"/>
      <c r="E61" s="110"/>
      <c r="F61" s="120">
        <f>SUM(D62:D65)</f>
        <v>0.1159953704</v>
      </c>
      <c r="G61" s="110"/>
      <c r="H61" s="110"/>
      <c r="I61" s="110"/>
    </row>
    <row r="62">
      <c r="A62" s="110"/>
      <c r="B62" s="110"/>
      <c r="C62" s="121" t="s">
        <v>1753</v>
      </c>
      <c r="D62" s="122">
        <v>0.06633101851851853</v>
      </c>
      <c r="E62" s="110"/>
      <c r="F62" s="110"/>
      <c r="G62" s="110"/>
      <c r="H62" s="121" t="s">
        <v>1697</v>
      </c>
      <c r="I62" s="110"/>
    </row>
    <row r="63">
      <c r="A63" s="110"/>
      <c r="B63" s="110"/>
      <c r="C63" s="121" t="s">
        <v>1754</v>
      </c>
      <c r="D63" s="122">
        <v>0.020543981481481483</v>
      </c>
      <c r="E63" s="110"/>
      <c r="F63" s="110"/>
      <c r="G63" s="110"/>
      <c r="H63" s="121" t="s">
        <v>1697</v>
      </c>
      <c r="I63" s="110"/>
    </row>
    <row r="64">
      <c r="A64" s="110"/>
      <c r="B64" s="110"/>
      <c r="C64" s="121" t="s">
        <v>1755</v>
      </c>
      <c r="D64" s="122">
        <v>0.016805555555555556</v>
      </c>
      <c r="E64" s="110"/>
      <c r="F64" s="110"/>
      <c r="G64" s="110"/>
      <c r="H64" s="121" t="s">
        <v>1697</v>
      </c>
      <c r="I64" s="110"/>
    </row>
    <row r="65">
      <c r="A65" s="110"/>
      <c r="B65" s="110"/>
      <c r="C65" s="121" t="s">
        <v>1756</v>
      </c>
      <c r="D65" s="122">
        <v>0.012314814814814815</v>
      </c>
      <c r="E65" s="110"/>
      <c r="F65" s="110"/>
      <c r="G65" s="110"/>
      <c r="H65" s="121" t="s">
        <v>1697</v>
      </c>
      <c r="I65" s="110"/>
    </row>
    <row r="66">
      <c r="A66" s="110"/>
      <c r="B66" s="121" t="s">
        <v>1757</v>
      </c>
      <c r="C66" s="110"/>
      <c r="D66" s="119"/>
      <c r="E66" s="110"/>
      <c r="F66" s="120">
        <f>SUM(D67)</f>
        <v>0.06200231481</v>
      </c>
      <c r="G66" s="110"/>
      <c r="H66" s="110"/>
      <c r="I66" s="110"/>
    </row>
    <row r="67">
      <c r="A67" s="110"/>
      <c r="B67" s="110"/>
      <c r="C67" s="121" t="s">
        <v>1758</v>
      </c>
      <c r="D67" s="122">
        <v>0.062002314814814816</v>
      </c>
      <c r="E67" s="110"/>
      <c r="F67" s="110"/>
      <c r="G67" s="110"/>
      <c r="H67" s="121" t="s">
        <v>1759</v>
      </c>
      <c r="I67" s="110"/>
    </row>
    <row r="68">
      <c r="A68" s="110"/>
      <c r="B68" s="110"/>
      <c r="C68" s="110"/>
      <c r="D68" s="119"/>
      <c r="E68" s="110"/>
      <c r="F68" s="110"/>
      <c r="G68" s="110"/>
      <c r="H68" s="110"/>
      <c r="I68" s="110"/>
    </row>
    <row r="69">
      <c r="A69" s="110"/>
      <c r="B69" s="110"/>
      <c r="C69" s="110"/>
      <c r="D69" s="110"/>
      <c r="E69" s="110"/>
      <c r="F69" s="110"/>
      <c r="G69" s="110"/>
      <c r="H69" s="110"/>
      <c r="I69" s="110"/>
    </row>
    <row r="70">
      <c r="A70" s="110"/>
      <c r="B70" s="110"/>
      <c r="C70" s="110"/>
      <c r="D70" s="110"/>
      <c r="E70" s="110"/>
      <c r="F70" s="110"/>
      <c r="G70" s="110"/>
      <c r="H70" s="110"/>
      <c r="I70" s="110"/>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6.22"/>
    <col customWidth="1" min="2" max="2" width="23.78"/>
    <col customWidth="1" min="3" max="3" width="6.56"/>
    <col customWidth="1" min="4" max="4" width="21.44"/>
    <col customWidth="1" min="5" max="5" width="37.89"/>
    <col customWidth="1" min="6" max="6" width="6.56"/>
  </cols>
  <sheetData>
    <row r="1" ht="11.25" customHeight="1">
      <c r="A1" s="39" t="s">
        <v>1355</v>
      </c>
      <c r="B1" s="39" t="s">
        <v>1356</v>
      </c>
      <c r="C1" s="40" t="s">
        <v>1357</v>
      </c>
      <c r="D1" s="41" t="s">
        <v>1358</v>
      </c>
      <c r="E1" s="42" t="s">
        <v>1359</v>
      </c>
      <c r="F1" s="40" t="s">
        <v>1360</v>
      </c>
    </row>
    <row r="2" ht="11.25" customHeight="1">
      <c r="A2" s="42" t="s">
        <v>1361</v>
      </c>
      <c r="B2" s="43" t="s">
        <v>1362</v>
      </c>
      <c r="C2" s="44">
        <v>1.0</v>
      </c>
      <c r="D2" s="45" t="s">
        <v>23</v>
      </c>
      <c r="E2" s="45" t="s">
        <v>14</v>
      </c>
      <c r="F2" s="46">
        <v>0.024340277777777777</v>
      </c>
    </row>
    <row r="3" ht="11.25" customHeight="1">
      <c r="A3" s="42" t="s">
        <v>1361</v>
      </c>
      <c r="B3" s="43" t="s">
        <v>1362</v>
      </c>
      <c r="C3" s="44">
        <v>1.0</v>
      </c>
      <c r="D3" s="45" t="s">
        <v>23</v>
      </c>
      <c r="E3" s="47" t="s">
        <v>20</v>
      </c>
      <c r="F3" s="46">
        <v>0.006076388888888889</v>
      </c>
    </row>
    <row r="4" ht="11.25" customHeight="1">
      <c r="A4" s="42" t="s">
        <v>1361</v>
      </c>
      <c r="B4" s="43" t="s">
        <v>1362</v>
      </c>
      <c r="C4" s="44">
        <v>1.0</v>
      </c>
      <c r="D4" s="45" t="s">
        <v>23</v>
      </c>
      <c r="E4" s="47" t="s">
        <v>24</v>
      </c>
      <c r="F4" s="46">
        <v>0.02741898148148148</v>
      </c>
    </row>
    <row r="5" ht="11.25" customHeight="1">
      <c r="A5" s="42" t="s">
        <v>1361</v>
      </c>
      <c r="B5" s="43" t="s">
        <v>1362</v>
      </c>
      <c r="C5" s="44">
        <v>1.0</v>
      </c>
      <c r="D5" s="45" t="s">
        <v>23</v>
      </c>
      <c r="E5" s="47" t="s">
        <v>26</v>
      </c>
      <c r="F5" s="46">
        <v>0.005416666666666667</v>
      </c>
    </row>
    <row r="6" ht="11.25" customHeight="1">
      <c r="A6" s="42" t="s">
        <v>1361</v>
      </c>
      <c r="B6" s="43" t="s">
        <v>1362</v>
      </c>
      <c r="C6" s="44">
        <v>2.0</v>
      </c>
      <c r="D6" s="45" t="s">
        <v>30</v>
      </c>
      <c r="E6" s="47" t="s">
        <v>28</v>
      </c>
      <c r="F6" s="46">
        <v>0.01605324074074074</v>
      </c>
    </row>
    <row r="7" ht="11.25" customHeight="1">
      <c r="A7" s="42" t="s">
        <v>1361</v>
      </c>
      <c r="B7" s="43" t="s">
        <v>1362</v>
      </c>
      <c r="C7" s="44">
        <v>2.0</v>
      </c>
      <c r="D7" s="45" t="s">
        <v>30</v>
      </c>
      <c r="E7" s="47" t="s">
        <v>31</v>
      </c>
      <c r="F7" s="46">
        <v>0.015300925925925926</v>
      </c>
    </row>
    <row r="8" ht="11.25" customHeight="1">
      <c r="A8" s="42" t="s">
        <v>1361</v>
      </c>
      <c r="B8" s="43" t="s">
        <v>1362</v>
      </c>
      <c r="C8" s="44">
        <v>3.0</v>
      </c>
      <c r="D8" s="45" t="s">
        <v>35</v>
      </c>
      <c r="E8" s="47" t="s">
        <v>33</v>
      </c>
      <c r="F8" s="46">
        <v>0.021111111111111112</v>
      </c>
    </row>
    <row r="9" ht="11.25" customHeight="1">
      <c r="A9" s="42" t="s">
        <v>1361</v>
      </c>
      <c r="B9" s="43" t="s">
        <v>1362</v>
      </c>
      <c r="C9" s="44">
        <v>3.0</v>
      </c>
      <c r="D9" s="45" t="s">
        <v>35</v>
      </c>
      <c r="E9" s="45" t="s">
        <v>36</v>
      </c>
      <c r="F9" s="46">
        <v>0.027939814814814813</v>
      </c>
    </row>
    <row r="10" ht="11.25" customHeight="1">
      <c r="A10" s="42" t="s">
        <v>1361</v>
      </c>
      <c r="B10" s="43" t="s">
        <v>1362</v>
      </c>
      <c r="C10" s="44">
        <v>4.0</v>
      </c>
      <c r="D10" s="45" t="s">
        <v>40</v>
      </c>
      <c r="E10" s="47" t="s">
        <v>38</v>
      </c>
      <c r="F10" s="46">
        <v>0.018020833333333333</v>
      </c>
    </row>
    <row r="11" ht="11.25" customHeight="1">
      <c r="A11" s="42" t="s">
        <v>1361</v>
      </c>
      <c r="B11" s="43" t="s">
        <v>1362</v>
      </c>
      <c r="C11" s="44">
        <v>4.0</v>
      </c>
      <c r="D11" s="45" t="s">
        <v>40</v>
      </c>
      <c r="E11" s="45" t="s">
        <v>41</v>
      </c>
      <c r="F11" s="46">
        <v>0.010787037037037038</v>
      </c>
    </row>
    <row r="12" ht="11.25" customHeight="1">
      <c r="A12" s="42" t="s">
        <v>1361</v>
      </c>
      <c r="B12" s="43" t="s">
        <v>1362</v>
      </c>
      <c r="C12" s="44">
        <v>4.0</v>
      </c>
      <c r="D12" s="45" t="s">
        <v>40</v>
      </c>
      <c r="E12" s="45" t="s">
        <v>43</v>
      </c>
      <c r="F12" s="46">
        <v>0.009583333333333333</v>
      </c>
    </row>
    <row r="13" ht="11.25" customHeight="1">
      <c r="A13" s="42" t="s">
        <v>1361</v>
      </c>
      <c r="B13" s="43" t="s">
        <v>1362</v>
      </c>
      <c r="C13" s="44">
        <v>4.0</v>
      </c>
      <c r="D13" s="45" t="s">
        <v>40</v>
      </c>
      <c r="E13" s="45" t="s">
        <v>45</v>
      </c>
      <c r="F13" s="46">
        <v>0.013287037037037036</v>
      </c>
    </row>
    <row r="14" ht="11.25" customHeight="1">
      <c r="A14" s="42" t="s">
        <v>1361</v>
      </c>
      <c r="B14" s="43" t="s">
        <v>1362</v>
      </c>
      <c r="C14" s="44">
        <v>4.0</v>
      </c>
      <c r="D14" s="45" t="s">
        <v>40</v>
      </c>
      <c r="E14" s="45" t="s">
        <v>47</v>
      </c>
      <c r="F14" s="46">
        <v>0.012118055555555556</v>
      </c>
    </row>
    <row r="15" ht="11.25" customHeight="1">
      <c r="A15" s="42" t="s">
        <v>1361</v>
      </c>
      <c r="B15" s="43" t="s">
        <v>1362</v>
      </c>
      <c r="C15" s="44">
        <v>4.0</v>
      </c>
      <c r="D15" s="45" t="s">
        <v>40</v>
      </c>
      <c r="E15" s="45" t="s">
        <v>49</v>
      </c>
      <c r="F15" s="48">
        <v>0.01738425925925926</v>
      </c>
    </row>
    <row r="16" ht="11.25" customHeight="1">
      <c r="A16" s="42" t="s">
        <v>1361</v>
      </c>
      <c r="B16" s="43" t="s">
        <v>1362</v>
      </c>
      <c r="C16" s="44">
        <v>5.0</v>
      </c>
      <c r="D16" s="45" t="s">
        <v>53</v>
      </c>
      <c r="E16" s="47" t="s">
        <v>51</v>
      </c>
      <c r="F16" s="46">
        <v>0.014918981481481481</v>
      </c>
    </row>
    <row r="17" ht="11.25" customHeight="1">
      <c r="A17" s="42" t="s">
        <v>1361</v>
      </c>
      <c r="B17" s="43" t="s">
        <v>1362</v>
      </c>
      <c r="C17" s="44">
        <v>5.0</v>
      </c>
      <c r="D17" s="45" t="s">
        <v>53</v>
      </c>
      <c r="E17" s="45" t="s">
        <v>54</v>
      </c>
      <c r="F17" s="46">
        <v>0.010416666666666666</v>
      </c>
    </row>
    <row r="18" ht="11.25" customHeight="1">
      <c r="A18" s="42" t="s">
        <v>1361</v>
      </c>
      <c r="B18" s="43" t="s">
        <v>1362</v>
      </c>
      <c r="C18" s="44">
        <v>5.0</v>
      </c>
      <c r="D18" s="45" t="s">
        <v>53</v>
      </c>
      <c r="E18" s="45" t="s">
        <v>56</v>
      </c>
      <c r="F18" s="46">
        <v>0.008356481481481482</v>
      </c>
    </row>
    <row r="19" ht="11.25" customHeight="1">
      <c r="A19" s="42" t="s">
        <v>1361</v>
      </c>
      <c r="B19" s="43" t="s">
        <v>1362</v>
      </c>
      <c r="C19" s="44">
        <v>5.0</v>
      </c>
      <c r="D19" s="45" t="s">
        <v>53</v>
      </c>
      <c r="E19" s="45" t="s">
        <v>58</v>
      </c>
      <c r="F19" s="46">
        <v>0.015648148148148147</v>
      </c>
    </row>
    <row r="20" ht="11.25" customHeight="1">
      <c r="A20" s="42" t="s">
        <v>1361</v>
      </c>
      <c r="B20" s="43" t="s">
        <v>1362</v>
      </c>
      <c r="C20" s="44">
        <v>5.0</v>
      </c>
      <c r="D20" s="45" t="s">
        <v>53</v>
      </c>
      <c r="E20" s="45" t="s">
        <v>60</v>
      </c>
      <c r="F20" s="46">
        <v>0.008368055555555556</v>
      </c>
    </row>
    <row r="21" ht="11.25" customHeight="1">
      <c r="A21" s="42" t="s">
        <v>1361</v>
      </c>
      <c r="B21" s="43" t="s">
        <v>1362</v>
      </c>
      <c r="C21" s="44">
        <v>6.0</v>
      </c>
      <c r="D21" s="45" t="s">
        <v>64</v>
      </c>
      <c r="E21" s="45" t="s">
        <v>62</v>
      </c>
      <c r="F21" s="46">
        <v>0.016087962962962964</v>
      </c>
    </row>
    <row r="22" ht="11.25" customHeight="1">
      <c r="A22" s="42" t="s">
        <v>1361</v>
      </c>
      <c r="B22" s="43" t="s">
        <v>1362</v>
      </c>
      <c r="C22" s="44">
        <v>6.0</v>
      </c>
      <c r="D22" s="45" t="s">
        <v>64</v>
      </c>
      <c r="E22" s="47" t="s">
        <v>65</v>
      </c>
      <c r="F22" s="46">
        <v>0.02228009259259259</v>
      </c>
    </row>
    <row r="23" ht="11.25" customHeight="1">
      <c r="A23" s="42" t="s">
        <v>1361</v>
      </c>
      <c r="B23" s="42" t="s">
        <v>1363</v>
      </c>
      <c r="C23" s="44">
        <v>1.0</v>
      </c>
      <c r="D23" s="47" t="s">
        <v>69</v>
      </c>
      <c r="E23" s="47" t="s">
        <v>67</v>
      </c>
      <c r="F23" s="46">
        <v>0.009340277777777777</v>
      </c>
    </row>
    <row r="24" ht="11.25" customHeight="1">
      <c r="A24" s="42" t="s">
        <v>1361</v>
      </c>
      <c r="B24" s="42" t="s">
        <v>1363</v>
      </c>
      <c r="C24" s="44">
        <v>1.0</v>
      </c>
      <c r="D24" s="47" t="s">
        <v>69</v>
      </c>
      <c r="E24" s="45" t="s">
        <v>70</v>
      </c>
      <c r="F24" s="46">
        <v>0.01505787037037037</v>
      </c>
    </row>
    <row r="25" ht="11.25" customHeight="1">
      <c r="A25" s="42" t="s">
        <v>1361</v>
      </c>
      <c r="B25" s="42" t="s">
        <v>1363</v>
      </c>
      <c r="C25" s="44">
        <v>1.0</v>
      </c>
      <c r="D25" s="47" t="s">
        <v>69</v>
      </c>
      <c r="E25" s="45" t="s">
        <v>72</v>
      </c>
      <c r="F25" s="46">
        <v>0.010717592592592593</v>
      </c>
    </row>
    <row r="26" ht="11.25" customHeight="1">
      <c r="A26" s="42" t="s">
        <v>1361</v>
      </c>
      <c r="B26" s="42" t="s">
        <v>1363</v>
      </c>
      <c r="C26" s="44">
        <v>1.0</v>
      </c>
      <c r="D26" s="47" t="s">
        <v>69</v>
      </c>
      <c r="E26" s="47" t="s">
        <v>75</v>
      </c>
      <c r="F26" s="46">
        <v>0.003321759259259259</v>
      </c>
    </row>
    <row r="27" ht="11.25" customHeight="1">
      <c r="A27" s="42" t="s">
        <v>1361</v>
      </c>
      <c r="B27" s="42" t="s">
        <v>1363</v>
      </c>
      <c r="C27" s="44">
        <v>1.0</v>
      </c>
      <c r="D27" s="47" t="s">
        <v>69</v>
      </c>
      <c r="E27" s="47" t="s">
        <v>77</v>
      </c>
      <c r="F27" s="46">
        <v>0.004699074074074074</v>
      </c>
    </row>
    <row r="28" ht="11.25" customHeight="1">
      <c r="A28" s="42" t="s">
        <v>1361</v>
      </c>
      <c r="B28" s="42" t="s">
        <v>1363</v>
      </c>
      <c r="C28" s="44">
        <v>1.0</v>
      </c>
      <c r="D28" s="47" t="s">
        <v>69</v>
      </c>
      <c r="E28" s="47" t="s">
        <v>79</v>
      </c>
      <c r="F28" s="46">
        <v>0.004189814814814815</v>
      </c>
    </row>
    <row r="29" ht="11.25" customHeight="1">
      <c r="A29" s="42" t="s">
        <v>1361</v>
      </c>
      <c r="B29" s="42" t="s">
        <v>1363</v>
      </c>
      <c r="C29" s="44">
        <v>1.0</v>
      </c>
      <c r="D29" s="47" t="s">
        <v>69</v>
      </c>
      <c r="E29" s="47" t="s">
        <v>81</v>
      </c>
      <c r="F29" s="46">
        <v>0.014594907407407407</v>
      </c>
    </row>
    <row r="30" ht="11.25" customHeight="1">
      <c r="A30" s="42" t="s">
        <v>1361</v>
      </c>
      <c r="B30" s="42" t="s">
        <v>1363</v>
      </c>
      <c r="C30" s="44">
        <v>2.0</v>
      </c>
      <c r="D30" s="47" t="s">
        <v>85</v>
      </c>
      <c r="E30" s="47" t="s">
        <v>83</v>
      </c>
      <c r="F30" s="46">
        <v>0.01542824074074074</v>
      </c>
    </row>
    <row r="31" ht="11.25" customHeight="1">
      <c r="A31" s="42" t="s">
        <v>1361</v>
      </c>
      <c r="B31" s="42" t="s">
        <v>1363</v>
      </c>
      <c r="C31" s="44">
        <v>2.0</v>
      </c>
      <c r="D31" s="47" t="s">
        <v>85</v>
      </c>
      <c r="E31" s="47" t="s">
        <v>86</v>
      </c>
      <c r="F31" s="46">
        <v>0.007592592592592593</v>
      </c>
    </row>
    <row r="32" ht="11.25" customHeight="1">
      <c r="A32" s="42" t="s">
        <v>1361</v>
      </c>
      <c r="B32" s="42" t="s">
        <v>1363</v>
      </c>
      <c r="C32" s="44">
        <v>2.0</v>
      </c>
      <c r="D32" s="47" t="s">
        <v>85</v>
      </c>
      <c r="E32" s="45" t="s">
        <v>88</v>
      </c>
      <c r="F32" s="46">
        <v>0.01884259259259259</v>
      </c>
    </row>
    <row r="33" ht="11.25" customHeight="1">
      <c r="A33" s="42" t="s">
        <v>1361</v>
      </c>
      <c r="B33" s="42" t="s">
        <v>1363</v>
      </c>
      <c r="C33" s="44">
        <v>2.0</v>
      </c>
      <c r="D33" s="47" t="s">
        <v>85</v>
      </c>
      <c r="E33" s="45" t="s">
        <v>91</v>
      </c>
      <c r="F33" s="46">
        <v>0.02378472222222222</v>
      </c>
    </row>
    <row r="34" ht="11.25" customHeight="1">
      <c r="A34" s="42" t="s">
        <v>1361</v>
      </c>
      <c r="B34" s="42" t="s">
        <v>1363</v>
      </c>
      <c r="C34" s="44">
        <v>2.0</v>
      </c>
      <c r="D34" s="47" t="s">
        <v>85</v>
      </c>
      <c r="E34" s="45" t="s">
        <v>93</v>
      </c>
      <c r="F34" s="46">
        <v>0.017847222222222223</v>
      </c>
    </row>
    <row r="35" ht="11.25" customHeight="1">
      <c r="A35" s="42" t="s">
        <v>1361</v>
      </c>
      <c r="B35" s="42" t="s">
        <v>1363</v>
      </c>
      <c r="C35" s="44">
        <v>2.0</v>
      </c>
      <c r="D35" s="47" t="s">
        <v>85</v>
      </c>
      <c r="E35" s="47" t="s">
        <v>95</v>
      </c>
      <c r="F35" s="46">
        <v>0.0038310185185185183</v>
      </c>
    </row>
    <row r="36" ht="11.25" customHeight="1">
      <c r="A36" s="42" t="s">
        <v>1361</v>
      </c>
      <c r="B36" s="42" t="s">
        <v>1363</v>
      </c>
      <c r="C36" s="44">
        <v>2.0</v>
      </c>
      <c r="D36" s="47" t="s">
        <v>85</v>
      </c>
      <c r="E36" s="47" t="s">
        <v>97</v>
      </c>
      <c r="F36" s="46">
        <v>0.0035300925925925925</v>
      </c>
    </row>
    <row r="37" ht="11.25" customHeight="1">
      <c r="A37" s="42" t="s">
        <v>1361</v>
      </c>
      <c r="B37" s="42" t="s">
        <v>1363</v>
      </c>
      <c r="C37" s="44">
        <v>2.0</v>
      </c>
      <c r="D37" s="47" t="s">
        <v>85</v>
      </c>
      <c r="E37" s="47" t="s">
        <v>99</v>
      </c>
      <c r="F37" s="49">
        <v>0.05555555555555555</v>
      </c>
    </row>
    <row r="38" ht="11.25" customHeight="1">
      <c r="A38" s="42" t="s">
        <v>1361</v>
      </c>
      <c r="B38" s="42" t="s">
        <v>1363</v>
      </c>
      <c r="C38" s="44">
        <v>2.0</v>
      </c>
      <c r="D38" s="47" t="s">
        <v>85</v>
      </c>
      <c r="E38" s="47" t="s">
        <v>102</v>
      </c>
      <c r="F38" s="49">
        <v>0.05555555555555555</v>
      </c>
    </row>
    <row r="39" ht="11.25" customHeight="1">
      <c r="A39" s="42" t="s">
        <v>1361</v>
      </c>
      <c r="B39" s="42" t="s">
        <v>1363</v>
      </c>
      <c r="C39" s="44">
        <v>2.0</v>
      </c>
      <c r="D39" s="47" t="s">
        <v>85</v>
      </c>
      <c r="E39" s="47" t="s">
        <v>103</v>
      </c>
      <c r="F39" s="49">
        <v>0.05555555555555555</v>
      </c>
    </row>
    <row r="40" ht="11.25" customHeight="1">
      <c r="A40" s="42" t="s">
        <v>1361</v>
      </c>
      <c r="B40" s="43" t="s">
        <v>1364</v>
      </c>
      <c r="C40" s="44">
        <v>1.0</v>
      </c>
      <c r="D40" s="47" t="s">
        <v>106</v>
      </c>
      <c r="E40" s="45" t="s">
        <v>104</v>
      </c>
      <c r="F40" s="46">
        <v>0.018587962962962962</v>
      </c>
    </row>
    <row r="41" ht="11.25" customHeight="1">
      <c r="A41" s="42" t="s">
        <v>1361</v>
      </c>
      <c r="B41" s="43" t="s">
        <v>1364</v>
      </c>
      <c r="C41" s="44">
        <v>1.0</v>
      </c>
      <c r="D41" s="47" t="s">
        <v>106</v>
      </c>
      <c r="E41" s="45" t="s">
        <v>107</v>
      </c>
      <c r="F41" s="46">
        <v>0.006446759259259259</v>
      </c>
    </row>
    <row r="42" ht="11.25" customHeight="1">
      <c r="A42" s="42" t="s">
        <v>1361</v>
      </c>
      <c r="B42" s="43" t="s">
        <v>1364</v>
      </c>
      <c r="C42" s="44">
        <v>1.0</v>
      </c>
      <c r="D42" s="47" t="s">
        <v>106</v>
      </c>
      <c r="E42" s="47" t="s">
        <v>109</v>
      </c>
      <c r="F42" s="49">
        <v>0.05555555555555555</v>
      </c>
    </row>
    <row r="43" ht="11.25" customHeight="1">
      <c r="A43" s="42" t="s">
        <v>1361</v>
      </c>
      <c r="B43" s="43" t="s">
        <v>1364</v>
      </c>
      <c r="C43" s="44">
        <v>2.0</v>
      </c>
      <c r="D43" s="47" t="s">
        <v>113</v>
      </c>
      <c r="E43" s="45"/>
      <c r="F43" s="50"/>
    </row>
    <row r="44" ht="11.25" customHeight="1">
      <c r="A44" s="42" t="s">
        <v>1361</v>
      </c>
      <c r="B44" s="43" t="s">
        <v>1364</v>
      </c>
      <c r="C44" s="44">
        <v>2.0</v>
      </c>
      <c r="D44" s="47" t="s">
        <v>113</v>
      </c>
      <c r="E44" s="47" t="s">
        <v>110</v>
      </c>
      <c r="F44" s="46">
        <v>0.022407407407407407</v>
      </c>
    </row>
    <row r="45" ht="11.25" customHeight="1">
      <c r="A45" s="42" t="s">
        <v>1361</v>
      </c>
      <c r="B45" s="43" t="s">
        <v>1364</v>
      </c>
      <c r="C45" s="44">
        <v>2.0</v>
      </c>
      <c r="D45" s="47" t="s">
        <v>113</v>
      </c>
      <c r="E45" s="45" t="s">
        <v>114</v>
      </c>
      <c r="F45" s="46">
        <v>0.023078703703703702</v>
      </c>
    </row>
    <row r="46" ht="11.25" customHeight="1">
      <c r="A46" s="42" t="s">
        <v>1361</v>
      </c>
      <c r="B46" s="43" t="s">
        <v>1364</v>
      </c>
      <c r="C46" s="44">
        <v>2.0</v>
      </c>
      <c r="D46" s="47" t="s">
        <v>113</v>
      </c>
      <c r="E46" s="45" t="s">
        <v>116</v>
      </c>
      <c r="F46" s="46">
        <v>0.009710648148148149</v>
      </c>
    </row>
    <row r="47" ht="11.25" customHeight="1">
      <c r="A47" s="42" t="s">
        <v>1361</v>
      </c>
      <c r="B47" s="43" t="s">
        <v>1364</v>
      </c>
      <c r="C47" s="44">
        <v>2.0</v>
      </c>
      <c r="D47" s="47" t="s">
        <v>113</v>
      </c>
      <c r="E47" s="45" t="s">
        <v>118</v>
      </c>
      <c r="F47" s="46">
        <v>0.014039351851851851</v>
      </c>
    </row>
    <row r="48" ht="11.25" customHeight="1">
      <c r="A48" s="42" t="s">
        <v>1361</v>
      </c>
      <c r="B48" s="43" t="s">
        <v>1364</v>
      </c>
      <c r="C48" s="44">
        <v>2.0</v>
      </c>
      <c r="D48" s="47" t="s">
        <v>113</v>
      </c>
      <c r="E48" s="45" t="s">
        <v>121</v>
      </c>
      <c r="F48" s="46">
        <v>0.017546296296296296</v>
      </c>
    </row>
    <row r="49" ht="11.25" customHeight="1">
      <c r="A49" s="42" t="s">
        <v>1361</v>
      </c>
      <c r="B49" s="43" t="s">
        <v>1364</v>
      </c>
      <c r="C49" s="44">
        <v>2.0</v>
      </c>
      <c r="D49" s="47" t="s">
        <v>113</v>
      </c>
      <c r="E49" s="45" t="s">
        <v>123</v>
      </c>
      <c r="F49" s="46">
        <v>0.009791666666666667</v>
      </c>
    </row>
    <row r="50" ht="11.25" customHeight="1">
      <c r="A50" s="42" t="s">
        <v>1361</v>
      </c>
      <c r="B50" s="43" t="s">
        <v>1364</v>
      </c>
      <c r="C50" s="44">
        <v>2.0</v>
      </c>
      <c r="D50" s="47" t="s">
        <v>113</v>
      </c>
      <c r="E50" s="47" t="s">
        <v>1365</v>
      </c>
      <c r="F50" s="46">
        <v>0.010752314814814815</v>
      </c>
    </row>
    <row r="51" ht="11.25" customHeight="1">
      <c r="A51" s="42" t="s">
        <v>1361</v>
      </c>
      <c r="B51" s="43" t="s">
        <v>1364</v>
      </c>
      <c r="C51" s="44">
        <v>2.0</v>
      </c>
      <c r="D51" s="47" t="s">
        <v>113</v>
      </c>
      <c r="E51" s="47" t="s">
        <v>125</v>
      </c>
      <c r="F51" s="49">
        <v>0.05555555555555555</v>
      </c>
    </row>
    <row r="52" ht="11.25" customHeight="1">
      <c r="A52" s="42" t="s">
        <v>1361</v>
      </c>
      <c r="B52" s="43" t="s">
        <v>1364</v>
      </c>
      <c r="C52" s="44">
        <v>2.0</v>
      </c>
      <c r="D52" s="47" t="s">
        <v>113</v>
      </c>
      <c r="E52" s="47" t="s">
        <v>126</v>
      </c>
      <c r="F52" s="49">
        <v>0.05555555555555555</v>
      </c>
    </row>
    <row r="53" ht="11.25" customHeight="1">
      <c r="A53" s="42" t="s">
        <v>1361</v>
      </c>
      <c r="B53" s="43" t="s">
        <v>1364</v>
      </c>
      <c r="C53" s="44">
        <v>3.0</v>
      </c>
      <c r="D53" s="45" t="s">
        <v>129</v>
      </c>
      <c r="E53" s="45" t="s">
        <v>127</v>
      </c>
      <c r="F53" s="46">
        <v>0.010115740740740741</v>
      </c>
    </row>
    <row r="54" ht="11.25" customHeight="1">
      <c r="A54" s="42" t="s">
        <v>1361</v>
      </c>
      <c r="B54" s="43" t="s">
        <v>1364</v>
      </c>
      <c r="C54" s="44">
        <v>3.0</v>
      </c>
      <c r="D54" s="45" t="s">
        <v>129</v>
      </c>
      <c r="E54" s="45" t="s">
        <v>130</v>
      </c>
      <c r="F54" s="46">
        <v>0.015127314814814816</v>
      </c>
    </row>
    <row r="55" ht="11.25" customHeight="1">
      <c r="A55" s="42" t="s">
        <v>1361</v>
      </c>
      <c r="B55" s="43" t="s">
        <v>1364</v>
      </c>
      <c r="C55" s="44">
        <v>3.0</v>
      </c>
      <c r="D55" s="45" t="s">
        <v>129</v>
      </c>
      <c r="E55" s="45" t="s">
        <v>1366</v>
      </c>
      <c r="F55" s="46">
        <v>0.005104166666666667</v>
      </c>
    </row>
    <row r="56" ht="11.25" customHeight="1">
      <c r="A56" s="42" t="s">
        <v>1361</v>
      </c>
      <c r="B56" s="43" t="s">
        <v>1364</v>
      </c>
      <c r="C56" s="44">
        <v>3.0</v>
      </c>
      <c r="D56" s="45" t="s">
        <v>129</v>
      </c>
      <c r="E56" s="45" t="s">
        <v>132</v>
      </c>
      <c r="F56" s="46">
        <v>0.015474537037037037</v>
      </c>
    </row>
    <row r="57" ht="11.25" customHeight="1">
      <c r="A57" s="42" t="s">
        <v>1361</v>
      </c>
      <c r="B57" s="43" t="s">
        <v>1364</v>
      </c>
      <c r="C57" s="44">
        <v>3.0</v>
      </c>
      <c r="D57" s="45" t="s">
        <v>129</v>
      </c>
      <c r="E57" s="47" t="s">
        <v>134</v>
      </c>
      <c r="F57" s="49">
        <v>0.05555555555555555</v>
      </c>
    </row>
    <row r="58" ht="11.25" customHeight="1">
      <c r="A58" s="42" t="s">
        <v>1361</v>
      </c>
      <c r="B58" s="43" t="s">
        <v>1364</v>
      </c>
      <c r="C58" s="44">
        <v>4.0</v>
      </c>
      <c r="D58" s="47" t="s">
        <v>137</v>
      </c>
      <c r="E58" s="45"/>
      <c r="F58" s="50"/>
    </row>
    <row r="59" ht="11.25" customHeight="1">
      <c r="A59" s="42" t="s">
        <v>1361</v>
      </c>
      <c r="B59" s="43" t="s">
        <v>1364</v>
      </c>
      <c r="C59" s="44">
        <v>4.0</v>
      </c>
      <c r="D59" s="47" t="s">
        <v>137</v>
      </c>
      <c r="E59" s="45" t="s">
        <v>135</v>
      </c>
      <c r="F59" s="46">
        <v>0.019872685185185184</v>
      </c>
    </row>
    <row r="60" ht="11.25" customHeight="1">
      <c r="A60" s="42" t="s">
        <v>1361</v>
      </c>
      <c r="B60" s="43" t="s">
        <v>1364</v>
      </c>
      <c r="C60" s="44">
        <v>4.0</v>
      </c>
      <c r="D60" s="47" t="s">
        <v>137</v>
      </c>
      <c r="E60" s="45" t="s">
        <v>138</v>
      </c>
      <c r="F60" s="46">
        <v>0.013101851851851852</v>
      </c>
    </row>
    <row r="61" ht="11.25" customHeight="1">
      <c r="A61" s="42" t="s">
        <v>1361</v>
      </c>
      <c r="B61" s="43" t="s">
        <v>1364</v>
      </c>
      <c r="C61" s="44">
        <v>4.0</v>
      </c>
      <c r="D61" s="47" t="s">
        <v>137</v>
      </c>
      <c r="E61" s="45" t="s">
        <v>140</v>
      </c>
      <c r="F61" s="46">
        <v>0.011550925925925926</v>
      </c>
    </row>
    <row r="62" ht="11.25" customHeight="1">
      <c r="A62" s="42" t="s">
        <v>1361</v>
      </c>
      <c r="B62" s="43" t="s">
        <v>1364</v>
      </c>
      <c r="C62" s="44">
        <v>4.0</v>
      </c>
      <c r="D62" s="47" t="s">
        <v>137</v>
      </c>
      <c r="E62" s="47" t="s">
        <v>142</v>
      </c>
      <c r="F62" s="49">
        <v>0.05555555555555555</v>
      </c>
    </row>
    <row r="63" ht="11.25" customHeight="1">
      <c r="A63" s="42" t="s">
        <v>1361</v>
      </c>
      <c r="B63" s="43" t="s">
        <v>1367</v>
      </c>
      <c r="C63" s="44">
        <v>1.0</v>
      </c>
      <c r="D63" s="45" t="s">
        <v>144</v>
      </c>
      <c r="E63" s="45"/>
      <c r="F63" s="50"/>
    </row>
    <row r="64" ht="11.25" customHeight="1">
      <c r="A64" s="42" t="s">
        <v>1361</v>
      </c>
      <c r="B64" s="43" t="s">
        <v>1367</v>
      </c>
      <c r="C64" s="44">
        <v>1.0</v>
      </c>
      <c r="D64" s="45" t="s">
        <v>144</v>
      </c>
      <c r="E64" s="47" t="s">
        <v>144</v>
      </c>
      <c r="F64" s="46">
        <v>0.018368055555555554</v>
      </c>
    </row>
    <row r="65" ht="11.25" customHeight="1">
      <c r="A65" s="42" t="s">
        <v>1361</v>
      </c>
      <c r="B65" s="43" t="s">
        <v>1367</v>
      </c>
      <c r="C65" s="44">
        <v>1.0</v>
      </c>
      <c r="D65" s="45" t="s">
        <v>144</v>
      </c>
      <c r="E65" s="45" t="s">
        <v>1368</v>
      </c>
      <c r="F65" s="46">
        <v>0.008043981481481482</v>
      </c>
    </row>
    <row r="66" ht="11.25" customHeight="1">
      <c r="A66" s="42" t="s">
        <v>1361</v>
      </c>
      <c r="B66" s="43" t="s">
        <v>1367</v>
      </c>
      <c r="C66" s="44">
        <v>1.0</v>
      </c>
      <c r="D66" s="45" t="s">
        <v>144</v>
      </c>
      <c r="E66" s="47" t="s">
        <v>143</v>
      </c>
      <c r="F66" s="49">
        <v>0.05555555555555555</v>
      </c>
    </row>
    <row r="67" ht="11.25" customHeight="1">
      <c r="A67" s="42" t="s">
        <v>1361</v>
      </c>
      <c r="B67" s="43" t="s">
        <v>1367</v>
      </c>
      <c r="C67" s="44">
        <v>2.0</v>
      </c>
      <c r="D67" s="45" t="s">
        <v>147</v>
      </c>
      <c r="E67" s="45"/>
      <c r="F67" s="50"/>
    </row>
    <row r="68" ht="11.25" customHeight="1">
      <c r="A68" s="42" t="s">
        <v>1361</v>
      </c>
      <c r="B68" s="43" t="s">
        <v>1367</v>
      </c>
      <c r="C68" s="44">
        <v>2.0</v>
      </c>
      <c r="D68" s="45" t="s">
        <v>147</v>
      </c>
      <c r="E68" s="45" t="s">
        <v>1369</v>
      </c>
      <c r="F68" s="46">
        <v>0.0128125</v>
      </c>
    </row>
    <row r="69" ht="11.25" customHeight="1">
      <c r="A69" s="42" t="s">
        <v>1361</v>
      </c>
      <c r="B69" s="43" t="s">
        <v>1367</v>
      </c>
      <c r="C69" s="44">
        <v>2.0</v>
      </c>
      <c r="D69" s="45" t="s">
        <v>147</v>
      </c>
      <c r="E69" s="47" t="s">
        <v>145</v>
      </c>
      <c r="F69" s="46">
        <v>0.019467592592592592</v>
      </c>
    </row>
    <row r="70" ht="11.25" customHeight="1">
      <c r="A70" s="42" t="s">
        <v>1361</v>
      </c>
      <c r="B70" s="43" t="s">
        <v>1367</v>
      </c>
      <c r="C70" s="44">
        <v>2.0</v>
      </c>
      <c r="D70" s="45" t="s">
        <v>147</v>
      </c>
      <c r="E70" s="47" t="s">
        <v>148</v>
      </c>
      <c r="F70" s="49">
        <v>0.05555555555555555</v>
      </c>
    </row>
    <row r="71" ht="11.25" customHeight="1">
      <c r="A71" s="42" t="s">
        <v>1361</v>
      </c>
      <c r="B71" s="43" t="s">
        <v>1367</v>
      </c>
      <c r="C71" s="44">
        <v>2.0</v>
      </c>
      <c r="D71" s="45" t="s">
        <v>147</v>
      </c>
      <c r="E71" s="47" t="s">
        <v>1370</v>
      </c>
      <c r="F71" s="46">
        <v>0.02003472222222222</v>
      </c>
    </row>
    <row r="72" ht="11.25" customHeight="1">
      <c r="A72" s="42" t="s">
        <v>1361</v>
      </c>
      <c r="B72" s="43" t="s">
        <v>1367</v>
      </c>
      <c r="C72" s="44">
        <v>2.0</v>
      </c>
      <c r="D72" s="45" t="s">
        <v>147</v>
      </c>
      <c r="E72" s="47" t="s">
        <v>1371</v>
      </c>
      <c r="F72" s="46">
        <v>0.007893518518518518</v>
      </c>
    </row>
    <row r="73" ht="11.25" customHeight="1">
      <c r="A73" s="42" t="s">
        <v>1361</v>
      </c>
      <c r="B73" s="43" t="s">
        <v>1367</v>
      </c>
      <c r="C73" s="44">
        <v>2.0</v>
      </c>
      <c r="D73" s="45" t="s">
        <v>147</v>
      </c>
      <c r="E73" s="45" t="s">
        <v>149</v>
      </c>
      <c r="F73" s="46">
        <v>0.014247685185185184</v>
      </c>
    </row>
    <row r="74" ht="11.25" customHeight="1">
      <c r="A74" s="42" t="s">
        <v>1361</v>
      </c>
      <c r="B74" s="43" t="s">
        <v>1367</v>
      </c>
      <c r="C74" s="44">
        <v>2.0</v>
      </c>
      <c r="D74" s="45" t="s">
        <v>147</v>
      </c>
      <c r="E74" s="47" t="s">
        <v>151</v>
      </c>
      <c r="F74" s="46">
        <v>0.021979166666666668</v>
      </c>
    </row>
    <row r="75" ht="11.25" customHeight="1">
      <c r="A75" s="42" t="s">
        <v>1361</v>
      </c>
      <c r="B75" s="43" t="s">
        <v>1367</v>
      </c>
      <c r="C75" s="44">
        <v>2.0</v>
      </c>
      <c r="D75" s="45" t="s">
        <v>147</v>
      </c>
      <c r="E75" s="45" t="s">
        <v>153</v>
      </c>
      <c r="F75" s="46">
        <v>0.013506944444444445</v>
      </c>
    </row>
    <row r="76" ht="11.25" customHeight="1">
      <c r="A76" s="42" t="s">
        <v>1361</v>
      </c>
      <c r="B76" s="43" t="s">
        <v>1367</v>
      </c>
      <c r="C76" s="44">
        <v>2.0</v>
      </c>
      <c r="D76" s="45" t="s">
        <v>147</v>
      </c>
      <c r="E76" s="47" t="s">
        <v>155</v>
      </c>
      <c r="F76" s="46">
        <v>0.026828703703703705</v>
      </c>
    </row>
    <row r="77" ht="11.25" customHeight="1">
      <c r="A77" s="42" t="s">
        <v>1361</v>
      </c>
      <c r="B77" s="43" t="s">
        <v>1367</v>
      </c>
      <c r="C77" s="44">
        <v>2.0</v>
      </c>
      <c r="D77" s="45" t="s">
        <v>147</v>
      </c>
      <c r="E77" s="47" t="s">
        <v>157</v>
      </c>
      <c r="F77" s="49">
        <v>0.05555555555555555</v>
      </c>
    </row>
    <row r="78" ht="11.25" customHeight="1">
      <c r="A78" s="42" t="s">
        <v>1361</v>
      </c>
      <c r="B78" s="43" t="s">
        <v>1367</v>
      </c>
      <c r="C78" s="44">
        <v>3.0</v>
      </c>
      <c r="D78" s="45" t="s">
        <v>160</v>
      </c>
      <c r="E78" s="47" t="s">
        <v>158</v>
      </c>
      <c r="F78" s="46">
        <v>0.012256944444444445</v>
      </c>
    </row>
    <row r="79" ht="11.25" customHeight="1">
      <c r="A79" s="42" t="s">
        <v>1361</v>
      </c>
      <c r="B79" s="43" t="s">
        <v>1367</v>
      </c>
      <c r="C79" s="44">
        <v>3.0</v>
      </c>
      <c r="D79" s="45" t="s">
        <v>160</v>
      </c>
      <c r="E79" s="45" t="s">
        <v>161</v>
      </c>
      <c r="F79" s="46">
        <v>0.025949074074074076</v>
      </c>
    </row>
    <row r="80" ht="11.25" customHeight="1">
      <c r="A80" s="42" t="s">
        <v>1361</v>
      </c>
      <c r="B80" s="43" t="s">
        <v>1372</v>
      </c>
      <c r="C80" s="44">
        <v>1.0</v>
      </c>
      <c r="D80" s="45" t="s">
        <v>165</v>
      </c>
      <c r="E80" s="45" t="s">
        <v>163</v>
      </c>
      <c r="F80" s="46">
        <v>0.016979166666666667</v>
      </c>
    </row>
    <row r="81" ht="11.25" customHeight="1">
      <c r="A81" s="42" t="s">
        <v>1361</v>
      </c>
      <c r="B81" s="43" t="s">
        <v>1372</v>
      </c>
      <c r="C81" s="44">
        <v>1.0</v>
      </c>
      <c r="D81" s="45" t="s">
        <v>165</v>
      </c>
      <c r="E81" s="45" t="s">
        <v>166</v>
      </c>
      <c r="F81" s="46">
        <v>0.0165625</v>
      </c>
    </row>
    <row r="82" ht="11.25" customHeight="1">
      <c r="A82" s="42" t="s">
        <v>1361</v>
      </c>
      <c r="B82" s="43" t="s">
        <v>1372</v>
      </c>
      <c r="C82" s="44">
        <v>1.0</v>
      </c>
      <c r="D82" s="45" t="s">
        <v>165</v>
      </c>
      <c r="E82" s="45" t="s">
        <v>1373</v>
      </c>
      <c r="F82" s="46">
        <v>0.011921296296296296</v>
      </c>
    </row>
    <row r="83" ht="11.25" customHeight="1">
      <c r="A83" s="42" t="s">
        <v>1361</v>
      </c>
      <c r="B83" s="43" t="s">
        <v>1372</v>
      </c>
      <c r="C83" s="44">
        <v>1.0</v>
      </c>
      <c r="D83" s="45" t="s">
        <v>165</v>
      </c>
      <c r="E83" s="45" t="s">
        <v>168</v>
      </c>
      <c r="F83" s="46">
        <v>0.006724537037037037</v>
      </c>
    </row>
    <row r="84" ht="11.25" customHeight="1">
      <c r="A84" s="42" t="s">
        <v>1361</v>
      </c>
      <c r="B84" s="43" t="s">
        <v>1372</v>
      </c>
      <c r="C84" s="44">
        <v>1.0</v>
      </c>
      <c r="D84" s="45" t="s">
        <v>165</v>
      </c>
      <c r="E84" s="47" t="s">
        <v>170</v>
      </c>
      <c r="F84" s="46">
        <v>0.014201388888888888</v>
      </c>
    </row>
    <row r="85" ht="11.25" customHeight="1">
      <c r="A85" s="42" t="s">
        <v>1361</v>
      </c>
      <c r="B85" s="43" t="s">
        <v>1372</v>
      </c>
      <c r="C85" s="44">
        <v>1.0</v>
      </c>
      <c r="D85" s="45" t="s">
        <v>165</v>
      </c>
      <c r="E85" s="47" t="s">
        <v>172</v>
      </c>
      <c r="F85" s="49">
        <v>0.05555555555555555</v>
      </c>
    </row>
    <row r="86" ht="11.25" customHeight="1">
      <c r="A86" s="42" t="s">
        <v>1361</v>
      </c>
      <c r="B86" s="43" t="s">
        <v>1372</v>
      </c>
      <c r="C86" s="44">
        <v>1.0</v>
      </c>
      <c r="D86" s="45" t="s">
        <v>165</v>
      </c>
      <c r="E86" s="47" t="s">
        <v>173</v>
      </c>
      <c r="F86" s="49">
        <v>0.05555555555555555</v>
      </c>
    </row>
    <row r="87" ht="11.25" customHeight="1">
      <c r="A87" s="42" t="s">
        <v>1361</v>
      </c>
      <c r="B87" s="43" t="s">
        <v>1372</v>
      </c>
      <c r="C87" s="44">
        <v>2.0</v>
      </c>
      <c r="D87" s="45" t="s">
        <v>176</v>
      </c>
      <c r="E87" s="45" t="s">
        <v>174</v>
      </c>
      <c r="F87" s="46">
        <v>0.013020833333333334</v>
      </c>
    </row>
    <row r="88" ht="11.25" customHeight="1">
      <c r="A88" s="42" t="s">
        <v>1361</v>
      </c>
      <c r="B88" s="43" t="s">
        <v>1372</v>
      </c>
      <c r="C88" s="44">
        <v>2.0</v>
      </c>
      <c r="D88" s="45" t="s">
        <v>176</v>
      </c>
      <c r="E88" s="47" t="s">
        <v>177</v>
      </c>
      <c r="F88" s="46">
        <v>0.019212962962962963</v>
      </c>
    </row>
    <row r="89" ht="11.25" customHeight="1">
      <c r="A89" s="42" t="s">
        <v>1361</v>
      </c>
      <c r="B89" s="43" t="s">
        <v>1372</v>
      </c>
      <c r="C89" s="44">
        <v>2.0</v>
      </c>
      <c r="D89" s="45" t="s">
        <v>176</v>
      </c>
      <c r="E89" s="45" t="s">
        <v>179</v>
      </c>
      <c r="F89" s="46">
        <v>0.01292824074074074</v>
      </c>
    </row>
    <row r="90" ht="11.25" customHeight="1">
      <c r="A90" s="42" t="s">
        <v>1361</v>
      </c>
      <c r="B90" s="43" t="s">
        <v>1372</v>
      </c>
      <c r="C90" s="44">
        <v>2.0</v>
      </c>
      <c r="D90" s="45" t="s">
        <v>176</v>
      </c>
      <c r="E90" s="45" t="s">
        <v>1374</v>
      </c>
      <c r="F90" s="46">
        <v>0.01361111111111111</v>
      </c>
    </row>
    <row r="91" ht="11.25" customHeight="1">
      <c r="A91" s="42" t="s">
        <v>1361</v>
      </c>
      <c r="B91" s="43" t="s">
        <v>1372</v>
      </c>
      <c r="C91" s="44">
        <v>2.0</v>
      </c>
      <c r="D91" s="45" t="s">
        <v>176</v>
      </c>
      <c r="E91" s="47" t="s">
        <v>1375</v>
      </c>
      <c r="F91" s="50"/>
    </row>
    <row r="92" ht="11.25" customHeight="1">
      <c r="A92" s="42" t="s">
        <v>1361</v>
      </c>
      <c r="B92" s="43" t="s">
        <v>1372</v>
      </c>
      <c r="C92" s="44">
        <v>3.0</v>
      </c>
      <c r="D92" s="45" t="s">
        <v>183</v>
      </c>
      <c r="E92" s="47" t="s">
        <v>181</v>
      </c>
      <c r="F92" s="46">
        <v>0.017685185185185186</v>
      </c>
    </row>
    <row r="93" ht="11.25" customHeight="1">
      <c r="A93" s="42" t="s">
        <v>1361</v>
      </c>
      <c r="B93" s="43" t="s">
        <v>1372</v>
      </c>
      <c r="C93" s="44">
        <v>3.0</v>
      </c>
      <c r="D93" s="45" t="s">
        <v>186</v>
      </c>
      <c r="E93" s="45" t="s">
        <v>184</v>
      </c>
      <c r="F93" s="46">
        <v>0.01726851851851852</v>
      </c>
    </row>
    <row r="94" ht="11.25" customHeight="1">
      <c r="A94" s="42" t="s">
        <v>1361</v>
      </c>
      <c r="B94" s="43" t="s">
        <v>1372</v>
      </c>
      <c r="C94" s="44">
        <v>3.0</v>
      </c>
      <c r="D94" s="45" t="s">
        <v>188</v>
      </c>
      <c r="E94" s="47" t="s">
        <v>187</v>
      </c>
      <c r="F94" s="49">
        <v>0.05555555555555555</v>
      </c>
    </row>
    <row r="95" ht="11.25" customHeight="1">
      <c r="A95" s="42" t="s">
        <v>1361</v>
      </c>
      <c r="B95" s="43" t="s">
        <v>1372</v>
      </c>
      <c r="C95" s="44">
        <v>4.0</v>
      </c>
      <c r="D95" s="45" t="s">
        <v>191</v>
      </c>
      <c r="E95" s="45" t="s">
        <v>189</v>
      </c>
      <c r="F95" s="46">
        <v>0.016527777777777777</v>
      </c>
    </row>
    <row r="96" ht="11.25" customHeight="1">
      <c r="A96" s="42" t="s">
        <v>1361</v>
      </c>
      <c r="B96" s="43" t="s">
        <v>1372</v>
      </c>
      <c r="C96" s="44">
        <v>4.0</v>
      </c>
      <c r="D96" s="45" t="s">
        <v>191</v>
      </c>
      <c r="E96" s="47" t="s">
        <v>192</v>
      </c>
      <c r="F96" s="46">
        <v>0.011064814814814816</v>
      </c>
    </row>
    <row r="97" ht="11.25" customHeight="1">
      <c r="A97" s="42" t="s">
        <v>1361</v>
      </c>
      <c r="B97" s="43" t="s">
        <v>1372</v>
      </c>
      <c r="C97" s="44">
        <v>4.0</v>
      </c>
      <c r="D97" s="45" t="s">
        <v>191</v>
      </c>
      <c r="E97" s="45" t="s">
        <v>194</v>
      </c>
      <c r="F97" s="46">
        <v>0.013912037037037037</v>
      </c>
    </row>
    <row r="98" ht="11.25" customHeight="1">
      <c r="A98" s="42" t="s">
        <v>1361</v>
      </c>
      <c r="B98" s="43" t="s">
        <v>1372</v>
      </c>
      <c r="C98" s="44">
        <v>4.0</v>
      </c>
      <c r="D98" s="45" t="s">
        <v>191</v>
      </c>
      <c r="E98" s="45" t="s">
        <v>196</v>
      </c>
      <c r="F98" s="49">
        <v>0.05555555555555555</v>
      </c>
    </row>
  </sheetData>
  <printOptions/>
  <pageMargins bottom="0.75" footer="0.0" header="0.0" left="0.7" right="0.7" top="0.75"/>
  <pageSetup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5.89"/>
    <col customWidth="1" min="2" max="2" width="19.56"/>
    <col customWidth="1" min="3" max="3" width="30.67"/>
    <col customWidth="1" min="4" max="4" width="6.67"/>
    <col customWidth="1" min="5" max="5" width="25.56"/>
    <col customWidth="1" min="6" max="6" width="34.56"/>
    <col customWidth="1" min="7" max="7" width="7.0"/>
  </cols>
  <sheetData>
    <row r="1">
      <c r="A1" s="59" t="s">
        <v>1355</v>
      </c>
      <c r="B1" s="59" t="s">
        <v>1376</v>
      </c>
      <c r="C1" s="59" t="s">
        <v>1356</v>
      </c>
      <c r="D1" s="60" t="s">
        <v>1357</v>
      </c>
      <c r="E1" s="60" t="s">
        <v>13</v>
      </c>
      <c r="F1" s="59" t="s">
        <v>1359</v>
      </c>
      <c r="G1" s="60" t="s">
        <v>1360</v>
      </c>
    </row>
    <row r="2">
      <c r="A2" s="61" t="s">
        <v>1466</v>
      </c>
      <c r="B2" s="61" t="s">
        <v>1467</v>
      </c>
      <c r="C2" s="62" t="s">
        <v>1468</v>
      </c>
      <c r="D2" s="63">
        <v>1.0</v>
      </c>
      <c r="E2" s="61" t="s">
        <v>622</v>
      </c>
      <c r="F2" s="62" t="s">
        <v>620</v>
      </c>
      <c r="G2" s="64">
        <v>0.011307870370370371</v>
      </c>
    </row>
    <row r="3">
      <c r="A3" s="61" t="s">
        <v>1466</v>
      </c>
      <c r="B3" s="61" t="s">
        <v>1467</v>
      </c>
      <c r="C3" s="62" t="s">
        <v>1468</v>
      </c>
      <c r="D3" s="63">
        <v>2.0</v>
      </c>
      <c r="E3" s="61" t="s">
        <v>625</v>
      </c>
      <c r="F3" s="62" t="s">
        <v>1469</v>
      </c>
      <c r="G3" s="64">
        <v>0.010821759259259258</v>
      </c>
    </row>
    <row r="4">
      <c r="A4" s="61" t="s">
        <v>1466</v>
      </c>
      <c r="B4" s="61" t="s">
        <v>1467</v>
      </c>
      <c r="C4" s="65" t="s">
        <v>1468</v>
      </c>
      <c r="D4" s="66">
        <v>2.0</v>
      </c>
      <c r="E4" s="65" t="s">
        <v>625</v>
      </c>
      <c r="F4" s="67" t="s">
        <v>1470</v>
      </c>
      <c r="G4" s="68">
        <v>0.009039351851851852</v>
      </c>
    </row>
    <row r="5">
      <c r="A5" s="61" t="s">
        <v>1466</v>
      </c>
      <c r="B5" s="61" t="s">
        <v>1467</v>
      </c>
      <c r="C5" s="61" t="s">
        <v>1468</v>
      </c>
      <c r="D5" s="69">
        <v>2.0</v>
      </c>
      <c r="E5" s="61" t="s">
        <v>625</v>
      </c>
      <c r="F5" s="62" t="s">
        <v>623</v>
      </c>
      <c r="G5" s="64">
        <v>0.004571759259259259</v>
      </c>
    </row>
    <row r="6">
      <c r="A6" s="61" t="s">
        <v>1466</v>
      </c>
      <c r="B6" s="61" t="s">
        <v>1467</v>
      </c>
      <c r="C6" s="62" t="s">
        <v>1468</v>
      </c>
      <c r="D6" s="63">
        <v>3.0</v>
      </c>
      <c r="E6" s="61" t="s">
        <v>628</v>
      </c>
      <c r="F6" s="61" t="s">
        <v>626</v>
      </c>
      <c r="G6" s="70">
        <v>0.007604166666666667</v>
      </c>
    </row>
    <row r="7">
      <c r="A7" s="61" t="s">
        <v>1466</v>
      </c>
      <c r="B7" s="61" t="s">
        <v>1467</v>
      </c>
      <c r="C7" s="61" t="s">
        <v>1468</v>
      </c>
      <c r="D7" s="69">
        <v>3.0</v>
      </c>
      <c r="E7" s="61" t="s">
        <v>628</v>
      </c>
      <c r="F7" s="71" t="s">
        <v>629</v>
      </c>
      <c r="G7" s="70">
        <v>0.0040625</v>
      </c>
    </row>
    <row r="8">
      <c r="A8" s="61" t="s">
        <v>1466</v>
      </c>
      <c r="B8" s="61" t="s">
        <v>1467</v>
      </c>
      <c r="C8" s="62" t="s">
        <v>1468</v>
      </c>
      <c r="D8" s="72">
        <v>3.0</v>
      </c>
      <c r="E8" s="61" t="s">
        <v>628</v>
      </c>
      <c r="F8" s="61" t="s">
        <v>631</v>
      </c>
      <c r="G8" s="64">
        <v>0.0038310185185185183</v>
      </c>
    </row>
    <row r="9">
      <c r="A9" s="61" t="s">
        <v>1466</v>
      </c>
      <c r="B9" s="61" t="s">
        <v>1467</v>
      </c>
      <c r="C9" s="62" t="s">
        <v>1468</v>
      </c>
      <c r="D9" s="63">
        <v>3.0</v>
      </c>
      <c r="E9" s="61" t="s">
        <v>628</v>
      </c>
      <c r="F9" s="61" t="s">
        <v>633</v>
      </c>
      <c r="G9" s="70">
        <v>0.004791666666666666</v>
      </c>
    </row>
    <row r="10">
      <c r="A10" s="61" t="s">
        <v>1466</v>
      </c>
      <c r="B10" s="61" t="s">
        <v>1467</v>
      </c>
      <c r="C10" s="71" t="s">
        <v>1468</v>
      </c>
      <c r="D10" s="72">
        <v>3.0</v>
      </c>
      <c r="E10" s="73" t="s">
        <v>628</v>
      </c>
      <c r="F10" s="73" t="s">
        <v>635</v>
      </c>
      <c r="G10" s="70">
        <v>0.003958333333333334</v>
      </c>
    </row>
    <row r="11">
      <c r="A11" s="61" t="s">
        <v>1466</v>
      </c>
      <c r="B11" s="61" t="s">
        <v>1467</v>
      </c>
      <c r="C11" s="73" t="s">
        <v>1468</v>
      </c>
      <c r="D11" s="74">
        <v>3.0</v>
      </c>
      <c r="E11" s="73" t="s">
        <v>628</v>
      </c>
      <c r="F11" s="71" t="s">
        <v>637</v>
      </c>
      <c r="G11" s="64">
        <v>0.004097222222222223</v>
      </c>
    </row>
    <row r="12">
      <c r="A12" s="61" t="s">
        <v>1466</v>
      </c>
      <c r="B12" s="61" t="s">
        <v>1467</v>
      </c>
      <c r="C12" s="71" t="s">
        <v>1468</v>
      </c>
      <c r="D12" s="72">
        <v>3.0</v>
      </c>
      <c r="E12" s="73" t="s">
        <v>628</v>
      </c>
      <c r="F12" s="73" t="s">
        <v>639</v>
      </c>
      <c r="G12" s="70">
        <v>0.004953703703703704</v>
      </c>
    </row>
    <row r="13">
      <c r="A13" s="61" t="s">
        <v>1466</v>
      </c>
      <c r="B13" s="61" t="s">
        <v>1467</v>
      </c>
      <c r="C13" s="71" t="s">
        <v>1468</v>
      </c>
      <c r="D13" s="74">
        <v>3.0</v>
      </c>
      <c r="E13" s="73" t="s">
        <v>628</v>
      </c>
      <c r="F13" s="73" t="s">
        <v>641</v>
      </c>
      <c r="G13" s="70">
        <v>0.004710648148148148</v>
      </c>
    </row>
    <row r="14">
      <c r="A14" s="61" t="s">
        <v>1466</v>
      </c>
      <c r="B14" s="61" t="s">
        <v>1467</v>
      </c>
      <c r="C14" s="71" t="s">
        <v>1468</v>
      </c>
      <c r="D14" s="72">
        <v>4.0</v>
      </c>
      <c r="E14" s="73" t="s">
        <v>645</v>
      </c>
      <c r="F14" s="73" t="s">
        <v>643</v>
      </c>
      <c r="G14" s="70">
        <v>0.005185185185185185</v>
      </c>
    </row>
    <row r="15">
      <c r="A15" s="61" t="s">
        <v>1466</v>
      </c>
      <c r="B15" s="61" t="s">
        <v>1467</v>
      </c>
      <c r="C15" s="71" t="s">
        <v>1468</v>
      </c>
      <c r="D15" s="72">
        <v>4.0</v>
      </c>
      <c r="E15" s="73" t="s">
        <v>645</v>
      </c>
      <c r="F15" s="73" t="s">
        <v>646</v>
      </c>
      <c r="G15" s="70">
        <v>0.005335648148148148</v>
      </c>
    </row>
    <row r="16">
      <c r="A16" s="61" t="s">
        <v>1466</v>
      </c>
      <c r="B16" s="61" t="s">
        <v>1467</v>
      </c>
      <c r="C16" s="71" t="s">
        <v>1468</v>
      </c>
      <c r="D16" s="72">
        <v>4.0</v>
      </c>
      <c r="E16" s="73" t="s">
        <v>645</v>
      </c>
      <c r="F16" s="73" t="s">
        <v>648</v>
      </c>
      <c r="G16" s="70">
        <v>0.0076851851851851855</v>
      </c>
    </row>
    <row r="17">
      <c r="A17" s="61" t="s">
        <v>1466</v>
      </c>
      <c r="B17" s="61" t="s">
        <v>1467</v>
      </c>
      <c r="C17" s="71" t="s">
        <v>1468</v>
      </c>
      <c r="D17" s="72">
        <v>5.0</v>
      </c>
      <c r="E17" s="73" t="s">
        <v>652</v>
      </c>
      <c r="F17" s="73" t="s">
        <v>650</v>
      </c>
      <c r="G17" s="70">
        <v>0.005648148148148148</v>
      </c>
    </row>
    <row r="18">
      <c r="A18" s="61" t="s">
        <v>1466</v>
      </c>
      <c r="B18" s="61" t="s">
        <v>1467</v>
      </c>
      <c r="C18" s="71" t="s">
        <v>1468</v>
      </c>
      <c r="D18" s="72">
        <v>5.0</v>
      </c>
      <c r="E18" s="73" t="s">
        <v>652</v>
      </c>
      <c r="F18" s="73" t="s">
        <v>1471</v>
      </c>
      <c r="G18" s="70">
        <v>0.0051736111111111115</v>
      </c>
    </row>
    <row r="19">
      <c r="A19" s="61" t="s">
        <v>1466</v>
      </c>
      <c r="B19" s="61" t="s">
        <v>1467</v>
      </c>
      <c r="C19" s="71" t="s">
        <v>1468</v>
      </c>
      <c r="D19" s="72">
        <v>5.0</v>
      </c>
      <c r="E19" s="73" t="s">
        <v>652</v>
      </c>
      <c r="F19" s="73" t="s">
        <v>653</v>
      </c>
      <c r="G19" s="70">
        <v>0.0038888888888888888</v>
      </c>
    </row>
    <row r="20">
      <c r="A20" s="61" t="s">
        <v>1466</v>
      </c>
      <c r="B20" s="61" t="s">
        <v>1467</v>
      </c>
      <c r="C20" s="73" t="s">
        <v>1468</v>
      </c>
      <c r="D20" s="74">
        <v>5.0</v>
      </c>
      <c r="E20" s="71" t="s">
        <v>652</v>
      </c>
      <c r="F20" s="71" t="s">
        <v>655</v>
      </c>
      <c r="G20" s="64">
        <v>0.007037037037037037</v>
      </c>
    </row>
    <row r="21">
      <c r="A21" s="61" t="s">
        <v>1466</v>
      </c>
      <c r="B21" s="61" t="s">
        <v>1467</v>
      </c>
      <c r="C21" s="75" t="s">
        <v>1472</v>
      </c>
      <c r="D21" s="72">
        <v>1.0</v>
      </c>
      <c r="E21" s="73" t="s">
        <v>661</v>
      </c>
      <c r="F21" s="73" t="s">
        <v>205</v>
      </c>
      <c r="G21" s="70">
        <v>0.012094907407407407</v>
      </c>
    </row>
    <row r="22">
      <c r="A22" s="61" t="s">
        <v>1466</v>
      </c>
      <c r="B22" s="61" t="s">
        <v>1467</v>
      </c>
      <c r="C22" s="75" t="s">
        <v>1472</v>
      </c>
      <c r="D22" s="72">
        <v>1.0</v>
      </c>
      <c r="E22" s="73" t="s">
        <v>661</v>
      </c>
      <c r="F22" s="73" t="s">
        <v>208</v>
      </c>
      <c r="G22" s="70">
        <v>0.015497685185185186</v>
      </c>
    </row>
    <row r="23">
      <c r="A23" s="61" t="s">
        <v>1466</v>
      </c>
      <c r="B23" s="61" t="s">
        <v>1467</v>
      </c>
      <c r="C23" s="75" t="s">
        <v>1472</v>
      </c>
      <c r="D23" s="72">
        <v>1.0</v>
      </c>
      <c r="E23" s="73" t="s">
        <v>661</v>
      </c>
      <c r="F23" s="73" t="s">
        <v>210</v>
      </c>
      <c r="G23" s="70">
        <v>0.003553240740740741</v>
      </c>
    </row>
    <row r="24">
      <c r="A24" s="61" t="s">
        <v>1466</v>
      </c>
      <c r="B24" s="61" t="s">
        <v>1467</v>
      </c>
      <c r="C24" s="73" t="s">
        <v>1472</v>
      </c>
      <c r="D24" s="74">
        <v>1.0</v>
      </c>
      <c r="E24" s="71" t="s">
        <v>661</v>
      </c>
      <c r="F24" s="71" t="s">
        <v>656</v>
      </c>
      <c r="G24" s="70">
        <v>0.004733796296296297</v>
      </c>
    </row>
    <row r="25">
      <c r="A25" s="61" t="s">
        <v>1466</v>
      </c>
      <c r="B25" s="61" t="s">
        <v>1467</v>
      </c>
      <c r="C25" s="61" t="s">
        <v>1472</v>
      </c>
      <c r="D25" s="74">
        <v>1.0</v>
      </c>
      <c r="E25" s="73" t="s">
        <v>661</v>
      </c>
      <c r="F25" s="73" t="s">
        <v>658</v>
      </c>
      <c r="G25" s="70">
        <v>0.004016203703703704</v>
      </c>
    </row>
    <row r="26">
      <c r="A26" s="61" t="s">
        <v>1466</v>
      </c>
      <c r="B26" s="61" t="s">
        <v>1467</v>
      </c>
      <c r="C26" s="61" t="s">
        <v>1472</v>
      </c>
      <c r="D26" s="74">
        <v>1.0</v>
      </c>
      <c r="E26" s="73" t="s">
        <v>661</v>
      </c>
      <c r="F26" s="73" t="s">
        <v>212</v>
      </c>
      <c r="G26" s="70">
        <v>0.010590277777777778</v>
      </c>
    </row>
    <row r="27">
      <c r="A27" s="61" t="s">
        <v>1466</v>
      </c>
      <c r="B27" s="61" t="s">
        <v>1467</v>
      </c>
      <c r="C27" s="61" t="s">
        <v>1472</v>
      </c>
      <c r="D27" s="74">
        <v>1.0</v>
      </c>
      <c r="E27" s="73" t="s">
        <v>661</v>
      </c>
      <c r="F27" s="73" t="s">
        <v>660</v>
      </c>
      <c r="G27" s="76">
        <v>0.05555555555555555</v>
      </c>
    </row>
    <row r="28">
      <c r="A28" s="61" t="s">
        <v>1466</v>
      </c>
      <c r="B28" s="61" t="s">
        <v>1467</v>
      </c>
      <c r="C28" s="61" t="s">
        <v>1472</v>
      </c>
      <c r="D28" s="74">
        <v>2.0</v>
      </c>
      <c r="E28" s="73" t="s">
        <v>216</v>
      </c>
      <c r="F28" s="73" t="s">
        <v>214</v>
      </c>
      <c r="G28" s="70">
        <v>0.01607638888888889</v>
      </c>
    </row>
    <row r="29">
      <c r="A29" s="61" t="s">
        <v>1466</v>
      </c>
      <c r="B29" s="61" t="s">
        <v>1467</v>
      </c>
      <c r="C29" s="65" t="s">
        <v>1472</v>
      </c>
      <c r="D29" s="66">
        <v>2.0</v>
      </c>
      <c r="E29" s="65" t="s">
        <v>216</v>
      </c>
      <c r="F29" s="67" t="s">
        <v>217</v>
      </c>
      <c r="G29" s="68">
        <v>0.013668981481481482</v>
      </c>
    </row>
    <row r="30">
      <c r="A30" s="61" t="s">
        <v>1466</v>
      </c>
      <c r="B30" s="61" t="s">
        <v>1467</v>
      </c>
      <c r="C30" s="61" t="s">
        <v>1472</v>
      </c>
      <c r="D30" s="69">
        <v>2.0</v>
      </c>
      <c r="E30" s="62" t="s">
        <v>216</v>
      </c>
      <c r="F30" s="62" t="s">
        <v>219</v>
      </c>
      <c r="G30" s="64">
        <v>0.010868055555555556</v>
      </c>
    </row>
    <row r="31">
      <c r="A31" s="61" t="s">
        <v>1466</v>
      </c>
      <c r="B31" s="61" t="s">
        <v>1467</v>
      </c>
      <c r="C31" s="62" t="s">
        <v>1472</v>
      </c>
      <c r="D31" s="63">
        <v>2.0</v>
      </c>
      <c r="E31" s="61" t="s">
        <v>216</v>
      </c>
      <c r="F31" s="61" t="s">
        <v>221</v>
      </c>
      <c r="G31" s="64">
        <v>0.005300925925925926</v>
      </c>
    </row>
    <row r="32">
      <c r="A32" s="61" t="s">
        <v>1466</v>
      </c>
      <c r="B32" s="61" t="s">
        <v>1467</v>
      </c>
      <c r="C32" s="62" t="s">
        <v>1472</v>
      </c>
      <c r="D32" s="63">
        <v>2.0</v>
      </c>
      <c r="E32" s="61" t="s">
        <v>216</v>
      </c>
      <c r="F32" s="61" t="s">
        <v>662</v>
      </c>
      <c r="G32" s="77">
        <v>0.05555555555555555</v>
      </c>
    </row>
    <row r="33">
      <c r="A33" s="61" t="s">
        <v>1466</v>
      </c>
      <c r="B33" s="61" t="s">
        <v>1467</v>
      </c>
      <c r="C33" s="62" t="s">
        <v>1472</v>
      </c>
      <c r="D33" s="63">
        <v>3.0</v>
      </c>
      <c r="E33" s="61" t="s">
        <v>226</v>
      </c>
      <c r="F33" s="61" t="s">
        <v>224</v>
      </c>
      <c r="G33" s="64">
        <v>0.022337962962962962</v>
      </c>
    </row>
    <row r="34">
      <c r="A34" s="61" t="s">
        <v>1466</v>
      </c>
      <c r="B34" s="61" t="s">
        <v>1467</v>
      </c>
      <c r="C34" s="62" t="s">
        <v>1472</v>
      </c>
      <c r="D34" s="63">
        <v>3.0</v>
      </c>
      <c r="E34" s="61" t="s">
        <v>226</v>
      </c>
      <c r="F34" s="61" t="s">
        <v>227</v>
      </c>
      <c r="G34" s="64">
        <v>0.01758101851851852</v>
      </c>
    </row>
    <row r="35">
      <c r="A35" s="61" t="s">
        <v>1466</v>
      </c>
      <c r="B35" s="61" t="s">
        <v>1467</v>
      </c>
      <c r="C35" s="62" t="s">
        <v>1472</v>
      </c>
      <c r="D35" s="63">
        <v>3.0</v>
      </c>
      <c r="E35" s="61" t="s">
        <v>226</v>
      </c>
      <c r="F35" s="61" t="s">
        <v>229</v>
      </c>
      <c r="G35" s="64">
        <v>0.014618055555555556</v>
      </c>
    </row>
    <row r="36">
      <c r="A36" s="61" t="s">
        <v>1466</v>
      </c>
      <c r="B36" s="61" t="s">
        <v>1467</v>
      </c>
      <c r="C36" s="62" t="s">
        <v>1472</v>
      </c>
      <c r="D36" s="63">
        <v>4.0</v>
      </c>
      <c r="E36" s="61" t="s">
        <v>233</v>
      </c>
      <c r="F36" s="61" t="s">
        <v>231</v>
      </c>
      <c r="G36" s="64">
        <v>0.025208333333333333</v>
      </c>
    </row>
    <row r="37">
      <c r="A37" s="61" t="s">
        <v>1466</v>
      </c>
      <c r="B37" s="61" t="s">
        <v>1467</v>
      </c>
      <c r="C37" s="62" t="s">
        <v>1472</v>
      </c>
      <c r="D37" s="69">
        <v>4.0</v>
      </c>
      <c r="E37" s="61" t="s">
        <v>233</v>
      </c>
      <c r="F37" s="62" t="s">
        <v>234</v>
      </c>
      <c r="G37" s="64">
        <v>0.015</v>
      </c>
    </row>
    <row r="38">
      <c r="A38" s="61" t="s">
        <v>1466</v>
      </c>
      <c r="B38" s="61" t="s">
        <v>1467</v>
      </c>
      <c r="C38" s="61" t="s">
        <v>1472</v>
      </c>
      <c r="D38" s="69">
        <v>4.0</v>
      </c>
      <c r="E38" s="61" t="s">
        <v>233</v>
      </c>
      <c r="F38" s="62" t="s">
        <v>663</v>
      </c>
      <c r="G38" s="64">
        <v>0.01255787037037037</v>
      </c>
    </row>
    <row r="39">
      <c r="A39" s="61" t="s">
        <v>1466</v>
      </c>
      <c r="B39" s="61" t="s">
        <v>1467</v>
      </c>
      <c r="C39" s="61" t="s">
        <v>1472</v>
      </c>
      <c r="D39" s="69">
        <v>4.0</v>
      </c>
      <c r="E39" s="61" t="s">
        <v>233</v>
      </c>
      <c r="F39" s="61" t="s">
        <v>236</v>
      </c>
      <c r="G39" s="77">
        <v>0.05555555555555555</v>
      </c>
    </row>
    <row r="40">
      <c r="A40" s="61" t="s">
        <v>1466</v>
      </c>
      <c r="B40" s="61" t="s">
        <v>1467</v>
      </c>
      <c r="C40" s="62" t="s">
        <v>1472</v>
      </c>
      <c r="D40" s="63">
        <v>5.0</v>
      </c>
      <c r="E40" s="61" t="s">
        <v>666</v>
      </c>
      <c r="F40" s="61" t="s">
        <v>238</v>
      </c>
      <c r="G40" s="64">
        <v>0.007743055555555556</v>
      </c>
    </row>
    <row r="41">
      <c r="A41" s="61" t="s">
        <v>1466</v>
      </c>
      <c r="B41" s="61" t="s">
        <v>1467</v>
      </c>
      <c r="C41" s="62" t="s">
        <v>1472</v>
      </c>
      <c r="D41" s="63">
        <v>5.0</v>
      </c>
      <c r="E41" s="61" t="s">
        <v>666</v>
      </c>
      <c r="F41" s="61" t="s">
        <v>241</v>
      </c>
      <c r="G41" s="64">
        <v>0.00974537037037037</v>
      </c>
    </row>
    <row r="42">
      <c r="A42" s="61" t="s">
        <v>1466</v>
      </c>
      <c r="B42" s="61" t="s">
        <v>1467</v>
      </c>
      <c r="C42" s="62" t="s">
        <v>1472</v>
      </c>
      <c r="D42" s="63">
        <v>5.0</v>
      </c>
      <c r="E42" s="61" t="s">
        <v>666</v>
      </c>
      <c r="F42" s="61" t="s">
        <v>243</v>
      </c>
      <c r="G42" s="64">
        <v>0.008067129629629629</v>
      </c>
    </row>
    <row r="43">
      <c r="A43" s="61" t="s">
        <v>1466</v>
      </c>
      <c r="B43" s="61" t="s">
        <v>1467</v>
      </c>
      <c r="C43" s="62" t="s">
        <v>1472</v>
      </c>
      <c r="D43" s="63">
        <v>5.0</v>
      </c>
      <c r="E43" s="61" t="s">
        <v>666</v>
      </c>
      <c r="F43" s="61" t="s">
        <v>665</v>
      </c>
      <c r="G43" s="64">
        <v>0.05555555555555555</v>
      </c>
    </row>
    <row r="44">
      <c r="A44" s="61" t="s">
        <v>1466</v>
      </c>
      <c r="B44" s="61" t="s">
        <v>1467</v>
      </c>
      <c r="C44" s="61" t="s">
        <v>1472</v>
      </c>
      <c r="D44" s="69">
        <v>7.0</v>
      </c>
      <c r="E44" s="62" t="s">
        <v>1473</v>
      </c>
      <c r="F44" s="62" t="s">
        <v>1474</v>
      </c>
      <c r="G44" s="64">
        <v>0.027430555555555555</v>
      </c>
    </row>
    <row r="45">
      <c r="A45" s="61" t="s">
        <v>1466</v>
      </c>
      <c r="B45" s="61" t="s">
        <v>1467</v>
      </c>
      <c r="C45" s="62" t="s">
        <v>1472</v>
      </c>
      <c r="D45" s="63">
        <v>8.0</v>
      </c>
      <c r="E45" s="61" t="s">
        <v>669</v>
      </c>
      <c r="F45" s="61" t="s">
        <v>667</v>
      </c>
      <c r="G45" s="64">
        <v>0.020370370370370372</v>
      </c>
    </row>
    <row r="46">
      <c r="A46" s="61" t="s">
        <v>1466</v>
      </c>
      <c r="B46" s="61" t="s">
        <v>1467</v>
      </c>
      <c r="C46" s="62" t="s">
        <v>1472</v>
      </c>
      <c r="D46" s="63">
        <v>8.0</v>
      </c>
      <c r="E46" s="61" t="s">
        <v>669</v>
      </c>
      <c r="F46" s="61" t="s">
        <v>670</v>
      </c>
      <c r="G46" s="64">
        <v>0.01570601851851852</v>
      </c>
    </row>
    <row r="47">
      <c r="A47" s="61" t="s">
        <v>1466</v>
      </c>
      <c r="B47" s="61" t="s">
        <v>1467</v>
      </c>
      <c r="C47" s="62" t="s">
        <v>1472</v>
      </c>
      <c r="D47" s="63">
        <v>9.0</v>
      </c>
      <c r="E47" s="73" t="s">
        <v>674</v>
      </c>
      <c r="F47" s="61" t="s">
        <v>672</v>
      </c>
      <c r="G47" s="64">
        <v>0.006724537037037037</v>
      </c>
    </row>
    <row r="48">
      <c r="A48" s="61" t="s">
        <v>1466</v>
      </c>
      <c r="B48" s="61" t="s">
        <v>1467</v>
      </c>
      <c r="C48" s="61" t="s">
        <v>1472</v>
      </c>
      <c r="D48" s="69">
        <v>9.0</v>
      </c>
      <c r="E48" s="62" t="s">
        <v>674</v>
      </c>
      <c r="F48" s="62" t="s">
        <v>675</v>
      </c>
      <c r="G48" s="64">
        <v>0.011979166666666667</v>
      </c>
    </row>
    <row r="49">
      <c r="A49" s="61" t="s">
        <v>1466</v>
      </c>
      <c r="B49" s="61" t="s">
        <v>1467</v>
      </c>
      <c r="C49" s="62" t="s">
        <v>1472</v>
      </c>
      <c r="D49" s="63">
        <v>9.0</v>
      </c>
      <c r="E49" s="61" t="s">
        <v>674</v>
      </c>
      <c r="F49" s="61" t="s">
        <v>677</v>
      </c>
      <c r="G49" s="64">
        <v>0.006122685185185185</v>
      </c>
    </row>
    <row r="50">
      <c r="A50" s="61" t="s">
        <v>1466</v>
      </c>
      <c r="B50" s="61" t="s">
        <v>1467</v>
      </c>
      <c r="C50" s="62" t="s">
        <v>1472</v>
      </c>
      <c r="D50" s="63">
        <v>9.0</v>
      </c>
      <c r="E50" s="61" t="s">
        <v>674</v>
      </c>
      <c r="F50" s="61" t="s">
        <v>679</v>
      </c>
      <c r="G50" s="64">
        <v>0.011041666666666667</v>
      </c>
    </row>
    <row r="51">
      <c r="A51" s="61" t="s">
        <v>1466</v>
      </c>
      <c r="B51" s="61" t="s">
        <v>1467</v>
      </c>
      <c r="C51" s="62" t="s">
        <v>1472</v>
      </c>
      <c r="D51" s="63">
        <v>9.0</v>
      </c>
      <c r="E51" s="61" t="s">
        <v>674</v>
      </c>
      <c r="F51" s="73" t="s">
        <v>1181</v>
      </c>
      <c r="G51" s="64">
        <v>0.00869212962962963</v>
      </c>
    </row>
    <row r="52">
      <c r="A52" s="61" t="s">
        <v>1466</v>
      </c>
      <c r="B52" s="61" t="s">
        <v>1467</v>
      </c>
      <c r="C52" s="62" t="s">
        <v>1472</v>
      </c>
      <c r="D52" s="63">
        <v>9.0</v>
      </c>
      <c r="E52" s="61" t="s">
        <v>736</v>
      </c>
      <c r="F52" s="78">
        <v>0.05555555555555555</v>
      </c>
      <c r="G52" s="79"/>
    </row>
    <row r="53">
      <c r="A53" s="61" t="s">
        <v>1466</v>
      </c>
      <c r="B53" s="61" t="s">
        <v>1467</v>
      </c>
      <c r="C53" s="61" t="s">
        <v>1475</v>
      </c>
      <c r="D53" s="74">
        <v>1.0</v>
      </c>
      <c r="E53" s="71" t="s">
        <v>258</v>
      </c>
      <c r="F53" s="71" t="s">
        <v>255</v>
      </c>
      <c r="G53" s="64">
        <v>0.020231481481481482</v>
      </c>
    </row>
    <row r="54">
      <c r="A54" s="61" t="s">
        <v>1466</v>
      </c>
      <c r="B54" s="61" t="s">
        <v>1467</v>
      </c>
      <c r="C54" s="62" t="s">
        <v>1475</v>
      </c>
      <c r="D54" s="80">
        <v>1.0</v>
      </c>
      <c r="E54" s="61" t="s">
        <v>258</v>
      </c>
      <c r="F54" s="61" t="s">
        <v>259</v>
      </c>
      <c r="G54" s="70">
        <v>0.01204861111111111</v>
      </c>
    </row>
    <row r="55">
      <c r="A55" s="61" t="s">
        <v>1466</v>
      </c>
      <c r="B55" s="61" t="s">
        <v>1467</v>
      </c>
      <c r="C55" s="62" t="s">
        <v>1475</v>
      </c>
      <c r="D55" s="80">
        <v>2.0</v>
      </c>
      <c r="E55" s="61" t="s">
        <v>263</v>
      </c>
      <c r="F55" s="61" t="s">
        <v>681</v>
      </c>
      <c r="G55" s="70">
        <v>0.010081018518518519</v>
      </c>
    </row>
    <row r="56">
      <c r="A56" s="61" t="s">
        <v>1466</v>
      </c>
      <c r="B56" s="61" t="s">
        <v>1467</v>
      </c>
      <c r="C56" s="62" t="s">
        <v>1475</v>
      </c>
      <c r="D56" s="80">
        <v>2.0</v>
      </c>
      <c r="E56" s="61" t="s">
        <v>263</v>
      </c>
      <c r="F56" s="61" t="s">
        <v>683</v>
      </c>
      <c r="G56" s="70">
        <v>0.012199074074074074</v>
      </c>
    </row>
    <row r="57">
      <c r="A57" s="61" t="s">
        <v>1466</v>
      </c>
      <c r="B57" s="61" t="s">
        <v>1467</v>
      </c>
      <c r="C57" s="61" t="s">
        <v>1475</v>
      </c>
      <c r="D57" s="74">
        <v>2.0</v>
      </c>
      <c r="E57" s="61" t="s">
        <v>263</v>
      </c>
      <c r="F57" s="62" t="s">
        <v>685</v>
      </c>
      <c r="G57" s="70">
        <v>0.0038773148148148148</v>
      </c>
    </row>
    <row r="58">
      <c r="A58" s="61" t="s">
        <v>1466</v>
      </c>
      <c r="B58" s="61" t="s">
        <v>1467</v>
      </c>
      <c r="C58" s="73" t="s">
        <v>1475</v>
      </c>
      <c r="D58" s="74">
        <v>3.0</v>
      </c>
      <c r="E58" s="71" t="s">
        <v>280</v>
      </c>
      <c r="F58" s="71" t="s">
        <v>278</v>
      </c>
      <c r="G58" s="64">
        <v>0.0171875</v>
      </c>
    </row>
    <row r="59">
      <c r="A59" s="61" t="s">
        <v>1466</v>
      </c>
      <c r="B59" s="61" t="s">
        <v>1467</v>
      </c>
      <c r="C59" s="71" t="s">
        <v>1475</v>
      </c>
      <c r="D59" s="72">
        <v>3.0</v>
      </c>
      <c r="E59" s="73" t="s">
        <v>280</v>
      </c>
      <c r="F59" s="61" t="s">
        <v>281</v>
      </c>
      <c r="G59" s="70">
        <v>0.01642361111111111</v>
      </c>
    </row>
    <row r="60">
      <c r="A60" s="61" t="s">
        <v>1466</v>
      </c>
      <c r="B60" s="61" t="s">
        <v>1467</v>
      </c>
      <c r="C60" s="73" t="s">
        <v>1475</v>
      </c>
      <c r="D60" s="74">
        <v>3.0</v>
      </c>
      <c r="E60" s="73" t="s">
        <v>280</v>
      </c>
      <c r="F60" s="61" t="s">
        <v>283</v>
      </c>
      <c r="G60" s="64">
        <v>0.01662037037037037</v>
      </c>
    </row>
    <row r="61">
      <c r="A61" s="61" t="s">
        <v>1466</v>
      </c>
      <c r="B61" s="61" t="s">
        <v>1467</v>
      </c>
      <c r="C61" s="71" t="s">
        <v>1475</v>
      </c>
      <c r="D61" s="72">
        <v>3.0</v>
      </c>
      <c r="E61" s="73" t="s">
        <v>280</v>
      </c>
      <c r="F61" s="61" t="s">
        <v>686</v>
      </c>
      <c r="G61" s="64">
        <v>0.010266203703703704</v>
      </c>
    </row>
    <row r="62">
      <c r="A62" s="61" t="s">
        <v>1466</v>
      </c>
      <c r="B62" s="61" t="s">
        <v>1467</v>
      </c>
      <c r="C62" s="71" t="s">
        <v>1475</v>
      </c>
      <c r="D62" s="72">
        <v>4.0</v>
      </c>
      <c r="E62" s="73" t="s">
        <v>287</v>
      </c>
      <c r="F62" s="61" t="s">
        <v>285</v>
      </c>
      <c r="G62" s="70">
        <v>0.014444444444444444</v>
      </c>
    </row>
    <row r="63">
      <c r="A63" s="61" t="s">
        <v>1466</v>
      </c>
      <c r="B63" s="61" t="s">
        <v>1467</v>
      </c>
      <c r="C63" s="73" t="s">
        <v>1475</v>
      </c>
      <c r="D63" s="74">
        <v>4.0</v>
      </c>
      <c r="E63" s="71" t="s">
        <v>287</v>
      </c>
      <c r="F63" s="71" t="s">
        <v>288</v>
      </c>
      <c r="G63" s="64">
        <v>0.0077546296296296295</v>
      </c>
    </row>
    <row r="64">
      <c r="A64" s="61" t="s">
        <v>1466</v>
      </c>
      <c r="B64" s="61" t="s">
        <v>1467</v>
      </c>
      <c r="C64" s="71" t="s">
        <v>1475</v>
      </c>
      <c r="D64" s="72">
        <v>4.0</v>
      </c>
      <c r="E64" s="73" t="s">
        <v>287</v>
      </c>
      <c r="F64" s="61" t="s">
        <v>290</v>
      </c>
      <c r="G64" s="70">
        <v>0.012905092592592593</v>
      </c>
    </row>
    <row r="65">
      <c r="A65" s="61" t="s">
        <v>1466</v>
      </c>
      <c r="B65" s="61" t="s">
        <v>1467</v>
      </c>
      <c r="C65" s="71" t="s">
        <v>1475</v>
      </c>
      <c r="D65" s="72">
        <v>5.0</v>
      </c>
      <c r="E65" s="73" t="s">
        <v>294</v>
      </c>
      <c r="F65" s="61" t="s">
        <v>688</v>
      </c>
      <c r="G65" s="70">
        <v>0.009976851851851851</v>
      </c>
    </row>
    <row r="66">
      <c r="A66" s="61" t="s">
        <v>1466</v>
      </c>
      <c r="B66" s="61" t="s">
        <v>1467</v>
      </c>
      <c r="C66" s="75" t="s">
        <v>1475</v>
      </c>
      <c r="D66" s="72">
        <v>5.0</v>
      </c>
      <c r="E66" s="73" t="s">
        <v>294</v>
      </c>
      <c r="F66" s="61" t="s">
        <v>690</v>
      </c>
      <c r="G66" s="70">
        <v>0.014513888888888889</v>
      </c>
    </row>
    <row r="67">
      <c r="A67" s="61" t="s">
        <v>1466</v>
      </c>
      <c r="B67" s="61" t="s">
        <v>1467</v>
      </c>
      <c r="C67" s="75" t="s">
        <v>1475</v>
      </c>
      <c r="D67" s="72">
        <v>5.0</v>
      </c>
      <c r="E67" s="73" t="s">
        <v>294</v>
      </c>
      <c r="F67" s="73" t="s">
        <v>692</v>
      </c>
      <c r="G67" s="77">
        <v>0.05555555555555555</v>
      </c>
    </row>
    <row r="68">
      <c r="A68" s="61" t="s">
        <v>1466</v>
      </c>
      <c r="B68" s="61" t="s">
        <v>1467</v>
      </c>
      <c r="C68" s="75" t="s">
        <v>1475</v>
      </c>
      <c r="D68" s="80">
        <v>6.0</v>
      </c>
      <c r="E68" s="73" t="s">
        <v>299</v>
      </c>
      <c r="F68" s="61" t="s">
        <v>296</v>
      </c>
      <c r="G68" s="70">
        <v>0.012893518518518518</v>
      </c>
    </row>
    <row r="69">
      <c r="A69" s="61" t="s">
        <v>1466</v>
      </c>
      <c r="B69" s="61" t="s">
        <v>1467</v>
      </c>
      <c r="C69" s="75" t="s">
        <v>1475</v>
      </c>
      <c r="D69" s="80">
        <v>6.0</v>
      </c>
      <c r="E69" s="61" t="s">
        <v>299</v>
      </c>
      <c r="F69" s="62" t="s">
        <v>300</v>
      </c>
      <c r="G69" s="70">
        <v>0.008252314814814815</v>
      </c>
    </row>
    <row r="70">
      <c r="A70" s="61" t="s">
        <v>1466</v>
      </c>
      <c r="B70" s="61" t="s">
        <v>1467</v>
      </c>
      <c r="C70" s="65" t="s">
        <v>1475</v>
      </c>
      <c r="D70" s="66">
        <v>7.0</v>
      </c>
      <c r="E70" s="65" t="s">
        <v>304</v>
      </c>
      <c r="F70" s="67" t="s">
        <v>302</v>
      </c>
      <c r="G70" s="68">
        <v>0.005555555555555556</v>
      </c>
    </row>
    <row r="71">
      <c r="A71" s="61" t="s">
        <v>1466</v>
      </c>
      <c r="B71" s="61" t="s">
        <v>1467</v>
      </c>
      <c r="C71" s="61" t="s">
        <v>1475</v>
      </c>
      <c r="D71" s="69">
        <v>7.0</v>
      </c>
      <c r="E71" s="71" t="s">
        <v>304</v>
      </c>
      <c r="F71" s="62" t="s">
        <v>693</v>
      </c>
      <c r="G71" s="64">
        <v>0.013229166666666667</v>
      </c>
    </row>
    <row r="72">
      <c r="A72" s="61" t="s">
        <v>1466</v>
      </c>
      <c r="B72" s="61" t="s">
        <v>1467</v>
      </c>
      <c r="C72" s="62" t="s">
        <v>1475</v>
      </c>
      <c r="D72" s="63">
        <v>7.0</v>
      </c>
      <c r="E72" s="61" t="s">
        <v>304</v>
      </c>
      <c r="F72" s="61" t="s">
        <v>305</v>
      </c>
      <c r="G72" s="64">
        <v>0.011041666666666667</v>
      </c>
    </row>
    <row r="73">
      <c r="A73" s="61" t="s">
        <v>1466</v>
      </c>
      <c r="B73" s="61" t="s">
        <v>1467</v>
      </c>
      <c r="C73" s="62" t="s">
        <v>1475</v>
      </c>
      <c r="D73" s="63">
        <v>7.0</v>
      </c>
      <c r="E73" s="62" t="s">
        <v>304</v>
      </c>
      <c r="F73" s="61" t="s">
        <v>307</v>
      </c>
      <c r="G73" s="64">
        <v>0.02136574074074074</v>
      </c>
    </row>
    <row r="74">
      <c r="A74" s="61" t="s">
        <v>1466</v>
      </c>
      <c r="B74" s="61" t="s">
        <v>1467</v>
      </c>
      <c r="C74" s="61" t="s">
        <v>1475</v>
      </c>
      <c r="D74" s="69">
        <v>7.0</v>
      </c>
      <c r="E74" s="61" t="s">
        <v>304</v>
      </c>
      <c r="F74" s="61" t="s">
        <v>309</v>
      </c>
      <c r="G74" s="64">
        <v>0.013414351851851853</v>
      </c>
    </row>
    <row r="75">
      <c r="A75" s="61" t="s">
        <v>1466</v>
      </c>
      <c r="B75" s="61" t="s">
        <v>1467</v>
      </c>
      <c r="C75" s="62" t="s">
        <v>1475</v>
      </c>
      <c r="D75" s="63">
        <v>7.0</v>
      </c>
      <c r="E75" s="61" t="s">
        <v>304</v>
      </c>
      <c r="F75" s="61" t="s">
        <v>311</v>
      </c>
      <c r="G75" s="64">
        <v>0.018703703703703705</v>
      </c>
    </row>
    <row r="76">
      <c r="A76" s="61" t="s">
        <v>1466</v>
      </c>
      <c r="B76" s="61" t="s">
        <v>1467</v>
      </c>
      <c r="C76" s="62" t="s">
        <v>1475</v>
      </c>
      <c r="D76" s="63">
        <v>7.0</v>
      </c>
      <c r="E76" s="61" t="s">
        <v>304</v>
      </c>
      <c r="F76" s="61" t="s">
        <v>313</v>
      </c>
      <c r="G76" s="77">
        <v>0.05555555555555555</v>
      </c>
    </row>
    <row r="77">
      <c r="A77" s="61" t="s">
        <v>1466</v>
      </c>
      <c r="B77" s="61" t="s">
        <v>1467</v>
      </c>
      <c r="C77" s="62" t="s">
        <v>1475</v>
      </c>
      <c r="D77" s="80">
        <v>8.0</v>
      </c>
      <c r="E77" s="61" t="s">
        <v>316</v>
      </c>
      <c r="F77" s="61" t="s">
        <v>314</v>
      </c>
      <c r="G77" s="64">
        <v>0.023078703703703702</v>
      </c>
    </row>
    <row r="78">
      <c r="A78" s="61" t="s">
        <v>1466</v>
      </c>
      <c r="B78" s="61" t="s">
        <v>1467</v>
      </c>
      <c r="C78" s="61" t="s">
        <v>1475</v>
      </c>
      <c r="D78" s="69">
        <v>8.0</v>
      </c>
      <c r="E78" s="62" t="s">
        <v>316</v>
      </c>
      <c r="F78" s="62" t="s">
        <v>317</v>
      </c>
      <c r="G78" s="64">
        <v>0.029097222222222222</v>
      </c>
    </row>
    <row r="79">
      <c r="A79" s="61" t="s">
        <v>1466</v>
      </c>
      <c r="B79" s="61" t="s">
        <v>1467</v>
      </c>
      <c r="C79" s="71" t="s">
        <v>1475</v>
      </c>
      <c r="D79" s="63">
        <v>9.0</v>
      </c>
      <c r="E79" s="61" t="s">
        <v>321</v>
      </c>
      <c r="F79" s="61" t="s">
        <v>319</v>
      </c>
      <c r="G79" s="64">
        <v>0.012847222222222222</v>
      </c>
    </row>
    <row r="80">
      <c r="A80" s="61" t="s">
        <v>1466</v>
      </c>
      <c r="B80" s="61" t="s">
        <v>1467</v>
      </c>
      <c r="C80" s="71" t="s">
        <v>1475</v>
      </c>
      <c r="D80" s="63">
        <v>9.0</v>
      </c>
      <c r="E80" s="61" t="s">
        <v>321</v>
      </c>
      <c r="F80" s="61" t="s">
        <v>322</v>
      </c>
      <c r="G80" s="64">
        <v>0.015439814814814814</v>
      </c>
    </row>
    <row r="81">
      <c r="A81" s="61" t="s">
        <v>1466</v>
      </c>
      <c r="B81" s="61" t="s">
        <v>1467</v>
      </c>
      <c r="C81" s="71" t="s">
        <v>1475</v>
      </c>
      <c r="D81" s="63">
        <v>10.0</v>
      </c>
      <c r="E81" s="61" t="s">
        <v>329</v>
      </c>
      <c r="F81" s="61" t="s">
        <v>327</v>
      </c>
      <c r="G81" s="64">
        <v>0.015625</v>
      </c>
    </row>
    <row r="82">
      <c r="A82" s="61" t="s">
        <v>1466</v>
      </c>
      <c r="B82" s="61" t="s">
        <v>1467</v>
      </c>
      <c r="C82" s="71" t="s">
        <v>1475</v>
      </c>
      <c r="D82" s="63">
        <v>10.0</v>
      </c>
      <c r="E82" s="71" t="s">
        <v>329</v>
      </c>
      <c r="F82" s="61" t="s">
        <v>330</v>
      </c>
      <c r="G82" s="64">
        <v>0.018692129629629628</v>
      </c>
    </row>
    <row r="83">
      <c r="A83" s="61" t="s">
        <v>1466</v>
      </c>
      <c r="B83" s="61" t="s">
        <v>1467</v>
      </c>
      <c r="C83" s="61" t="s">
        <v>1475</v>
      </c>
      <c r="D83" s="63">
        <v>10.0</v>
      </c>
      <c r="E83" s="62" t="s">
        <v>329</v>
      </c>
      <c r="F83" s="62" t="s">
        <v>332</v>
      </c>
      <c r="G83" s="64">
        <v>0.016030092592592592</v>
      </c>
    </row>
    <row r="84">
      <c r="A84" s="61" t="s">
        <v>1466</v>
      </c>
      <c r="B84" s="61" t="s">
        <v>1467</v>
      </c>
      <c r="C84" s="71" t="s">
        <v>1475</v>
      </c>
      <c r="D84" s="63">
        <v>10.0</v>
      </c>
      <c r="E84" s="61" t="s">
        <v>329</v>
      </c>
      <c r="F84" s="61" t="s">
        <v>334</v>
      </c>
      <c r="G84" s="64">
        <v>0.011458333333333333</v>
      </c>
    </row>
    <row r="85">
      <c r="A85" s="61" t="s">
        <v>1466</v>
      </c>
      <c r="B85" s="61" t="s">
        <v>1467</v>
      </c>
      <c r="C85" s="71" t="s">
        <v>1475</v>
      </c>
      <c r="D85" s="63">
        <v>10.0</v>
      </c>
      <c r="E85" s="61" t="s">
        <v>329</v>
      </c>
      <c r="F85" s="61" t="s">
        <v>336</v>
      </c>
      <c r="G85" s="64">
        <v>0.018194444444444444</v>
      </c>
    </row>
    <row r="86">
      <c r="A86" s="61" t="s">
        <v>1466</v>
      </c>
      <c r="B86" s="61" t="s">
        <v>1467</v>
      </c>
      <c r="C86" s="71" t="s">
        <v>1475</v>
      </c>
      <c r="D86" s="63">
        <v>10.0</v>
      </c>
      <c r="E86" s="61" t="s">
        <v>329</v>
      </c>
      <c r="F86" s="61" t="s">
        <v>338</v>
      </c>
      <c r="G86" s="64">
        <v>0.014548611111111111</v>
      </c>
    </row>
    <row r="87">
      <c r="A87" s="61" t="s">
        <v>1466</v>
      </c>
      <c r="B87" s="61" t="s">
        <v>1467</v>
      </c>
      <c r="C87" s="61" t="s">
        <v>1475</v>
      </c>
      <c r="D87" s="69">
        <v>10.0</v>
      </c>
      <c r="E87" s="71" t="s">
        <v>329</v>
      </c>
      <c r="F87" s="62" t="s">
        <v>340</v>
      </c>
      <c r="G87" s="64">
        <v>0.019363425925925926</v>
      </c>
    </row>
    <row r="88">
      <c r="A88" s="61" t="s">
        <v>1466</v>
      </c>
      <c r="B88" s="61" t="s">
        <v>1467</v>
      </c>
      <c r="C88" s="71" t="s">
        <v>1475</v>
      </c>
      <c r="D88" s="69">
        <v>10.0</v>
      </c>
      <c r="E88" s="61" t="s">
        <v>329</v>
      </c>
      <c r="F88" s="61" t="s">
        <v>342</v>
      </c>
      <c r="G88" s="64">
        <v>0.015902777777777776</v>
      </c>
    </row>
    <row r="89">
      <c r="A89" s="61" t="s">
        <v>1466</v>
      </c>
      <c r="B89" s="61" t="s">
        <v>1467</v>
      </c>
      <c r="C89" s="71" t="s">
        <v>1475</v>
      </c>
      <c r="D89" s="63">
        <v>10.0</v>
      </c>
      <c r="E89" s="62" t="s">
        <v>329</v>
      </c>
      <c r="F89" s="61" t="s">
        <v>695</v>
      </c>
      <c r="G89" s="64">
        <v>0.013738425925925926</v>
      </c>
    </row>
    <row r="90">
      <c r="A90" s="61" t="s">
        <v>1466</v>
      </c>
      <c r="B90" s="61" t="s">
        <v>1467</v>
      </c>
      <c r="C90" s="71" t="s">
        <v>1475</v>
      </c>
      <c r="D90" s="63">
        <v>10.0</v>
      </c>
      <c r="E90" s="62" t="s">
        <v>329</v>
      </c>
      <c r="F90" s="61" t="s">
        <v>697</v>
      </c>
      <c r="G90" s="64">
        <v>0.08333333333333333</v>
      </c>
    </row>
    <row r="91">
      <c r="A91" s="61" t="s">
        <v>1466</v>
      </c>
      <c r="B91" s="61" t="s">
        <v>1467</v>
      </c>
      <c r="C91" s="61" t="s">
        <v>1475</v>
      </c>
      <c r="D91" s="69">
        <v>11.0</v>
      </c>
      <c r="E91" s="62" t="s">
        <v>346</v>
      </c>
      <c r="F91" s="62" t="s">
        <v>698</v>
      </c>
      <c r="G91" s="64">
        <v>0.015543981481481482</v>
      </c>
    </row>
    <row r="92">
      <c r="A92" s="61" t="s">
        <v>1466</v>
      </c>
      <c r="B92" s="61" t="s">
        <v>1467</v>
      </c>
      <c r="C92" s="71" t="s">
        <v>1475</v>
      </c>
      <c r="D92" s="63">
        <v>11.0</v>
      </c>
      <c r="E92" s="61" t="s">
        <v>346</v>
      </c>
      <c r="F92" s="61" t="s">
        <v>700</v>
      </c>
      <c r="G92" s="64">
        <v>0.014664351851851852</v>
      </c>
    </row>
    <row r="93">
      <c r="A93" s="61" t="s">
        <v>1466</v>
      </c>
      <c r="B93" s="61" t="s">
        <v>1467</v>
      </c>
      <c r="C93" s="71" t="s">
        <v>1475</v>
      </c>
      <c r="D93" s="63">
        <v>11.0</v>
      </c>
      <c r="E93" s="62" t="s">
        <v>346</v>
      </c>
      <c r="F93" s="61" t="s">
        <v>344</v>
      </c>
      <c r="G93" s="64">
        <v>0.013738425925925926</v>
      </c>
    </row>
    <row r="94">
      <c r="A94" s="61" t="s">
        <v>1466</v>
      </c>
      <c r="B94" s="61" t="s">
        <v>1467</v>
      </c>
      <c r="C94" s="61" t="s">
        <v>1475</v>
      </c>
      <c r="D94" s="69">
        <v>11.0</v>
      </c>
      <c r="E94" s="62" t="s">
        <v>346</v>
      </c>
      <c r="F94" s="62" t="s">
        <v>702</v>
      </c>
      <c r="G94" s="64">
        <v>0.013958333333333333</v>
      </c>
    </row>
    <row r="95">
      <c r="A95" s="61" t="s">
        <v>1466</v>
      </c>
      <c r="B95" s="61" t="s">
        <v>1467</v>
      </c>
      <c r="C95" s="71" t="s">
        <v>1475</v>
      </c>
      <c r="D95" s="63">
        <v>11.0</v>
      </c>
      <c r="E95" s="61" t="s">
        <v>346</v>
      </c>
      <c r="F95" s="61" t="s">
        <v>347</v>
      </c>
      <c r="G95" s="64">
        <v>0.010428240740740741</v>
      </c>
    </row>
    <row r="96">
      <c r="A96" s="61" t="s">
        <v>1466</v>
      </c>
      <c r="B96" s="61" t="s">
        <v>1467</v>
      </c>
      <c r="C96" s="71" t="s">
        <v>1475</v>
      </c>
      <c r="D96" s="63">
        <v>11.0</v>
      </c>
      <c r="E96" s="61" t="s">
        <v>346</v>
      </c>
      <c r="F96" s="61" t="s">
        <v>349</v>
      </c>
      <c r="G96" s="64">
        <v>0.020613425925925927</v>
      </c>
    </row>
    <row r="97">
      <c r="A97" s="61" t="s">
        <v>1466</v>
      </c>
      <c r="B97" s="61" t="s">
        <v>1467</v>
      </c>
      <c r="C97" s="71" t="s">
        <v>1475</v>
      </c>
      <c r="D97" s="63">
        <v>11.0</v>
      </c>
      <c r="E97" s="61" t="s">
        <v>346</v>
      </c>
      <c r="F97" s="61" t="s">
        <v>351</v>
      </c>
      <c r="G97" s="64">
        <v>0.0203125</v>
      </c>
    </row>
    <row r="98">
      <c r="A98" s="61" t="s">
        <v>1466</v>
      </c>
      <c r="B98" s="61" t="s">
        <v>1467</v>
      </c>
      <c r="C98" s="71" t="s">
        <v>1475</v>
      </c>
      <c r="D98" s="63">
        <v>11.0</v>
      </c>
      <c r="E98" s="61" t="s">
        <v>346</v>
      </c>
      <c r="F98" s="61" t="s">
        <v>1388</v>
      </c>
      <c r="G98" s="77">
        <v>0.0625</v>
      </c>
    </row>
    <row r="99">
      <c r="A99" s="61" t="s">
        <v>1466</v>
      </c>
      <c r="B99" s="61" t="s">
        <v>1467</v>
      </c>
      <c r="C99" s="71" t="s">
        <v>1475</v>
      </c>
      <c r="D99" s="63">
        <v>12.0</v>
      </c>
      <c r="E99" s="61" t="s">
        <v>366</v>
      </c>
      <c r="F99" s="61" t="s">
        <v>364</v>
      </c>
      <c r="G99" s="64">
        <v>0.015729166666666666</v>
      </c>
    </row>
    <row r="100">
      <c r="A100" s="61" t="s">
        <v>1466</v>
      </c>
      <c r="B100" s="61" t="s">
        <v>1467</v>
      </c>
      <c r="C100" s="71" t="s">
        <v>1475</v>
      </c>
      <c r="D100" s="63">
        <v>12.0</v>
      </c>
      <c r="E100" s="61" t="s">
        <v>366</v>
      </c>
      <c r="F100" s="61" t="s">
        <v>367</v>
      </c>
      <c r="G100" s="64">
        <v>0.016238425925925927</v>
      </c>
    </row>
    <row r="101">
      <c r="A101" s="61" t="s">
        <v>1466</v>
      </c>
      <c r="B101" s="61" t="s">
        <v>1467</v>
      </c>
      <c r="C101" s="71" t="s">
        <v>1475</v>
      </c>
      <c r="D101" s="69">
        <v>13.0</v>
      </c>
      <c r="E101" s="62" t="s">
        <v>706</v>
      </c>
      <c r="F101" s="62" t="s">
        <v>704</v>
      </c>
      <c r="G101" s="64">
        <v>0.014212962962962964</v>
      </c>
    </row>
    <row r="102">
      <c r="A102" s="61" t="s">
        <v>1466</v>
      </c>
      <c r="B102" s="61" t="s">
        <v>1467</v>
      </c>
      <c r="C102" s="61" t="s">
        <v>1475</v>
      </c>
      <c r="D102" s="69">
        <v>13.0</v>
      </c>
      <c r="E102" s="62" t="s">
        <v>706</v>
      </c>
      <c r="F102" s="62" t="s">
        <v>707</v>
      </c>
      <c r="G102" s="64">
        <v>0.01885416666666667</v>
      </c>
    </row>
    <row r="103">
      <c r="A103" s="61" t="s">
        <v>1466</v>
      </c>
      <c r="B103" s="61" t="s">
        <v>1467</v>
      </c>
      <c r="C103" s="61" t="s">
        <v>1475</v>
      </c>
      <c r="D103" s="69">
        <v>13.0</v>
      </c>
      <c r="E103" s="62" t="s">
        <v>706</v>
      </c>
      <c r="F103" s="61" t="s">
        <v>709</v>
      </c>
      <c r="G103" s="77">
        <v>0.05555555555555555</v>
      </c>
    </row>
    <row r="104">
      <c r="A104" s="61" t="s">
        <v>1466</v>
      </c>
      <c r="B104" s="61" t="s">
        <v>1476</v>
      </c>
      <c r="C104" s="62" t="s">
        <v>1390</v>
      </c>
      <c r="D104" s="63">
        <v>1.0</v>
      </c>
      <c r="E104" s="61" t="s">
        <v>375</v>
      </c>
      <c r="F104" s="61" t="s">
        <v>373</v>
      </c>
      <c r="G104" s="64">
        <v>0.014004629629629629</v>
      </c>
    </row>
    <row r="105">
      <c r="A105" s="61" t="s">
        <v>1466</v>
      </c>
      <c r="B105" s="61" t="s">
        <v>1476</v>
      </c>
      <c r="C105" s="62" t="s">
        <v>1390</v>
      </c>
      <c r="D105" s="63">
        <v>1.0</v>
      </c>
      <c r="E105" s="61" t="s">
        <v>375</v>
      </c>
      <c r="F105" s="61" t="s">
        <v>710</v>
      </c>
      <c r="G105" s="64">
        <v>0.00400462962962963</v>
      </c>
    </row>
    <row r="106">
      <c r="A106" s="61" t="s">
        <v>1466</v>
      </c>
      <c r="B106" s="61" t="s">
        <v>1476</v>
      </c>
      <c r="C106" s="62" t="s">
        <v>1390</v>
      </c>
      <c r="D106" s="63">
        <v>1.0</v>
      </c>
      <c r="E106" s="61" t="s">
        <v>375</v>
      </c>
      <c r="F106" s="61" t="s">
        <v>194</v>
      </c>
      <c r="G106" s="64">
        <v>0.014548611111111111</v>
      </c>
    </row>
    <row r="107">
      <c r="A107" s="61" t="s">
        <v>1466</v>
      </c>
      <c r="B107" s="61" t="s">
        <v>1476</v>
      </c>
      <c r="C107" s="62" t="s">
        <v>1390</v>
      </c>
      <c r="D107" s="63">
        <v>1.0</v>
      </c>
      <c r="E107" s="61" t="s">
        <v>375</v>
      </c>
      <c r="F107" s="61" t="s">
        <v>712</v>
      </c>
      <c r="G107" s="64">
        <v>0.008310185185185184</v>
      </c>
    </row>
    <row r="108">
      <c r="A108" s="61" t="s">
        <v>1466</v>
      </c>
      <c r="B108" s="61" t="s">
        <v>1476</v>
      </c>
      <c r="C108" s="62" t="s">
        <v>1390</v>
      </c>
      <c r="D108" s="63">
        <v>2.0</v>
      </c>
      <c r="E108" s="61" t="s">
        <v>380</v>
      </c>
      <c r="F108" s="61" t="s">
        <v>378</v>
      </c>
      <c r="G108" s="64">
        <v>0.00829861111111111</v>
      </c>
    </row>
    <row r="109">
      <c r="A109" s="61" t="s">
        <v>1466</v>
      </c>
      <c r="B109" s="61" t="s">
        <v>1476</v>
      </c>
      <c r="C109" s="61" t="s">
        <v>1390</v>
      </c>
      <c r="D109" s="69">
        <v>2.0</v>
      </c>
      <c r="E109" s="62" t="s">
        <v>380</v>
      </c>
      <c r="F109" s="62" t="s">
        <v>381</v>
      </c>
      <c r="G109" s="64">
        <v>0.01849537037037037</v>
      </c>
    </row>
    <row r="110">
      <c r="A110" s="61" t="s">
        <v>1466</v>
      </c>
      <c r="B110" s="61" t="s">
        <v>1476</v>
      </c>
      <c r="C110" s="62" t="s">
        <v>1390</v>
      </c>
      <c r="D110" s="63">
        <v>2.0</v>
      </c>
      <c r="E110" s="61" t="s">
        <v>380</v>
      </c>
      <c r="F110" s="61" t="s">
        <v>713</v>
      </c>
      <c r="G110" s="64">
        <v>0.0025</v>
      </c>
    </row>
    <row r="111">
      <c r="A111" s="61" t="s">
        <v>1466</v>
      </c>
      <c r="B111" s="61" t="s">
        <v>1476</v>
      </c>
      <c r="C111" s="62" t="s">
        <v>1390</v>
      </c>
      <c r="D111" s="63">
        <v>2.0</v>
      </c>
      <c r="E111" s="61" t="s">
        <v>380</v>
      </c>
      <c r="F111" s="61" t="s">
        <v>715</v>
      </c>
      <c r="G111" s="64">
        <v>0.016458333333333332</v>
      </c>
    </row>
    <row r="112">
      <c r="A112" s="61" t="s">
        <v>1466</v>
      </c>
      <c r="B112" s="61" t="s">
        <v>1476</v>
      </c>
      <c r="C112" s="62" t="s">
        <v>1390</v>
      </c>
      <c r="D112" s="63">
        <v>2.0</v>
      </c>
      <c r="E112" s="61" t="s">
        <v>380</v>
      </c>
      <c r="F112" s="61" t="s">
        <v>383</v>
      </c>
      <c r="G112" s="64">
        <v>0.012534722222222221</v>
      </c>
    </row>
    <row r="113">
      <c r="A113" s="61" t="s">
        <v>1466</v>
      </c>
      <c r="B113" s="61" t="s">
        <v>1476</v>
      </c>
      <c r="C113" s="62" t="s">
        <v>1390</v>
      </c>
      <c r="D113" s="63">
        <v>2.0</v>
      </c>
      <c r="E113" s="61" t="s">
        <v>380</v>
      </c>
      <c r="F113" s="61" t="s">
        <v>385</v>
      </c>
      <c r="G113" s="64">
        <v>0.01638888888888889</v>
      </c>
    </row>
    <row r="114">
      <c r="A114" s="61" t="s">
        <v>1466</v>
      </c>
      <c r="B114" s="61" t="s">
        <v>1476</v>
      </c>
      <c r="C114" s="62" t="s">
        <v>1390</v>
      </c>
      <c r="D114" s="63">
        <v>2.0</v>
      </c>
      <c r="E114" s="61" t="s">
        <v>380</v>
      </c>
      <c r="F114" s="61" t="s">
        <v>387</v>
      </c>
      <c r="G114" s="64">
        <v>0.0018171296296296297</v>
      </c>
    </row>
    <row r="115">
      <c r="A115" s="61" t="s">
        <v>1466</v>
      </c>
      <c r="B115" s="61" t="s">
        <v>1476</v>
      </c>
      <c r="C115" s="62" t="s">
        <v>1390</v>
      </c>
      <c r="D115" s="63">
        <v>2.0</v>
      </c>
      <c r="E115" s="61" t="s">
        <v>380</v>
      </c>
      <c r="F115" s="61" t="s">
        <v>389</v>
      </c>
      <c r="G115" s="64">
        <v>0.0011689814814814816</v>
      </c>
    </row>
    <row r="116">
      <c r="A116" s="61" t="s">
        <v>1466</v>
      </c>
      <c r="B116" s="61" t="s">
        <v>1476</v>
      </c>
      <c r="C116" s="62" t="s">
        <v>1390</v>
      </c>
      <c r="D116" s="63">
        <v>2.0</v>
      </c>
      <c r="E116" s="61" t="s">
        <v>380</v>
      </c>
      <c r="F116" s="61" t="s">
        <v>391</v>
      </c>
      <c r="G116" s="64">
        <v>6.365740740740741E-4</v>
      </c>
    </row>
    <row r="117">
      <c r="A117" s="61" t="s">
        <v>1466</v>
      </c>
      <c r="B117" s="61" t="s">
        <v>1476</v>
      </c>
      <c r="C117" s="62" t="s">
        <v>1390</v>
      </c>
      <c r="D117" s="63">
        <v>2.0</v>
      </c>
      <c r="E117" s="61" t="s">
        <v>380</v>
      </c>
      <c r="F117" s="61" t="s">
        <v>393</v>
      </c>
      <c r="G117" s="77">
        <v>0.05555555555555555</v>
      </c>
    </row>
    <row r="118">
      <c r="A118" s="61" t="s">
        <v>1466</v>
      </c>
      <c r="B118" s="61" t="s">
        <v>1476</v>
      </c>
      <c r="C118" s="61" t="s">
        <v>1391</v>
      </c>
      <c r="D118" s="69">
        <v>1.0</v>
      </c>
      <c r="E118" s="71" t="s">
        <v>396</v>
      </c>
      <c r="F118" s="62" t="s">
        <v>394</v>
      </c>
      <c r="G118" s="64">
        <v>0.009965277777777778</v>
      </c>
    </row>
    <row r="119">
      <c r="A119" s="61" t="s">
        <v>1466</v>
      </c>
      <c r="B119" s="61" t="s">
        <v>1476</v>
      </c>
      <c r="C119" s="62" t="s">
        <v>1391</v>
      </c>
      <c r="D119" s="63">
        <v>1.0</v>
      </c>
      <c r="E119" s="61" t="s">
        <v>396</v>
      </c>
      <c r="F119" s="61" t="s">
        <v>1392</v>
      </c>
      <c r="G119" s="64">
        <v>0.006655092592592593</v>
      </c>
    </row>
    <row r="120">
      <c r="A120" s="61" t="s">
        <v>1466</v>
      </c>
      <c r="B120" s="61" t="s">
        <v>1476</v>
      </c>
      <c r="C120" s="62" t="s">
        <v>1391</v>
      </c>
      <c r="D120" s="63">
        <v>2.0</v>
      </c>
      <c r="E120" s="61" t="s">
        <v>399</v>
      </c>
      <c r="F120" s="61" t="s">
        <v>397</v>
      </c>
      <c r="G120" s="64">
        <v>0.002685185185185185</v>
      </c>
    </row>
    <row r="121">
      <c r="A121" s="61" t="s">
        <v>1466</v>
      </c>
      <c r="B121" s="61" t="s">
        <v>1476</v>
      </c>
      <c r="C121" s="61" t="s">
        <v>1391</v>
      </c>
      <c r="D121" s="74">
        <v>2.0</v>
      </c>
      <c r="E121" s="71" t="s">
        <v>399</v>
      </c>
      <c r="F121" s="71" t="s">
        <v>400</v>
      </c>
      <c r="G121" s="64">
        <v>0.0030671296296296297</v>
      </c>
    </row>
    <row r="122">
      <c r="A122" s="61" t="s">
        <v>1466</v>
      </c>
      <c r="B122" s="61" t="s">
        <v>1476</v>
      </c>
      <c r="C122" s="71" t="s">
        <v>1391</v>
      </c>
      <c r="D122" s="63">
        <v>2.0</v>
      </c>
      <c r="E122" s="61" t="s">
        <v>399</v>
      </c>
      <c r="F122" s="61" t="s">
        <v>402</v>
      </c>
      <c r="G122" s="64">
        <v>0.003969907407407407</v>
      </c>
    </row>
    <row r="123">
      <c r="A123" s="61" t="s">
        <v>1466</v>
      </c>
      <c r="B123" s="61" t="s">
        <v>1476</v>
      </c>
      <c r="C123" s="71" t="s">
        <v>1391</v>
      </c>
      <c r="D123" s="63">
        <v>2.0</v>
      </c>
      <c r="E123" s="61" t="s">
        <v>399</v>
      </c>
      <c r="F123" s="61" t="s">
        <v>404</v>
      </c>
      <c r="G123" s="64">
        <v>0.009375</v>
      </c>
    </row>
    <row r="124">
      <c r="A124" s="61" t="s">
        <v>1466</v>
      </c>
      <c r="B124" s="61" t="s">
        <v>1476</v>
      </c>
      <c r="C124" s="75" t="s">
        <v>1391</v>
      </c>
      <c r="D124" s="63">
        <v>2.0</v>
      </c>
      <c r="E124" s="61" t="s">
        <v>399</v>
      </c>
      <c r="F124" s="62" t="s">
        <v>406</v>
      </c>
      <c r="G124" s="64">
        <v>0.014027777777777778</v>
      </c>
    </row>
    <row r="125">
      <c r="A125" s="61" t="s">
        <v>1466</v>
      </c>
      <c r="B125" s="61" t="s">
        <v>1476</v>
      </c>
      <c r="C125" s="61" t="s">
        <v>1391</v>
      </c>
      <c r="D125" s="81">
        <v>2.0</v>
      </c>
      <c r="E125" s="61" t="s">
        <v>399</v>
      </c>
      <c r="F125" s="82" t="s">
        <v>1393</v>
      </c>
      <c r="G125" s="77">
        <v>0.005752314814814815</v>
      </c>
    </row>
    <row r="126">
      <c r="A126" s="61" t="s">
        <v>1466</v>
      </c>
      <c r="B126" s="61" t="s">
        <v>1476</v>
      </c>
      <c r="C126" s="82" t="s">
        <v>1391</v>
      </c>
      <c r="D126" s="81">
        <v>2.0</v>
      </c>
      <c r="E126" s="82" t="s">
        <v>399</v>
      </c>
      <c r="F126" s="82" t="s">
        <v>408</v>
      </c>
      <c r="G126" s="83">
        <v>0.0036226851851851854</v>
      </c>
    </row>
    <row r="127">
      <c r="A127" s="61" t="s">
        <v>1466</v>
      </c>
      <c r="B127" s="61" t="s">
        <v>1476</v>
      </c>
      <c r="C127" s="82" t="s">
        <v>1391</v>
      </c>
      <c r="D127" s="81">
        <v>2.0</v>
      </c>
      <c r="E127" s="82" t="s">
        <v>399</v>
      </c>
      <c r="F127" s="61" t="s">
        <v>717</v>
      </c>
      <c r="G127" s="84">
        <v>0.05555555555555555</v>
      </c>
    </row>
    <row r="128">
      <c r="A128" s="61" t="s">
        <v>1466</v>
      </c>
      <c r="B128" s="61" t="s">
        <v>1476</v>
      </c>
      <c r="C128" s="82" t="s">
        <v>1391</v>
      </c>
      <c r="D128" s="81">
        <v>2.0</v>
      </c>
      <c r="E128" s="82" t="s">
        <v>399</v>
      </c>
      <c r="F128" s="82" t="s">
        <v>411</v>
      </c>
      <c r="G128" s="83">
        <v>0.01025462962962963</v>
      </c>
    </row>
    <row r="129">
      <c r="A129" s="61" t="s">
        <v>1466</v>
      </c>
      <c r="B129" s="61" t="s">
        <v>1476</v>
      </c>
      <c r="C129" s="82" t="s">
        <v>1391</v>
      </c>
      <c r="D129" s="81">
        <v>2.0</v>
      </c>
      <c r="E129" s="82" t="s">
        <v>399</v>
      </c>
      <c r="F129" s="82" t="s">
        <v>718</v>
      </c>
      <c r="G129" s="83">
        <v>0.0021296296296296298</v>
      </c>
    </row>
    <row r="130">
      <c r="A130" s="61" t="s">
        <v>1466</v>
      </c>
      <c r="B130" s="61" t="s">
        <v>1476</v>
      </c>
      <c r="C130" s="82" t="s">
        <v>1391</v>
      </c>
      <c r="D130" s="81">
        <v>2.0</v>
      </c>
      <c r="E130" s="82" t="s">
        <v>399</v>
      </c>
      <c r="F130" s="82" t="s">
        <v>413</v>
      </c>
      <c r="G130" s="84">
        <v>0.004189814814814815</v>
      </c>
    </row>
    <row r="131">
      <c r="A131" s="61" t="s">
        <v>1466</v>
      </c>
      <c r="B131" s="61" t="s">
        <v>1476</v>
      </c>
      <c r="C131" s="82" t="s">
        <v>1391</v>
      </c>
      <c r="D131" s="81">
        <v>2.0</v>
      </c>
      <c r="E131" s="82" t="s">
        <v>399</v>
      </c>
      <c r="F131" s="65" t="s">
        <v>415</v>
      </c>
      <c r="G131" s="68">
        <v>0.05555555555555555</v>
      </c>
    </row>
    <row r="132">
      <c r="A132" s="61" t="s">
        <v>1466</v>
      </c>
      <c r="B132" s="61" t="s">
        <v>1476</v>
      </c>
      <c r="C132" s="82" t="s">
        <v>1391</v>
      </c>
      <c r="D132" s="81">
        <v>2.0</v>
      </c>
      <c r="E132" s="82" t="s">
        <v>399</v>
      </c>
      <c r="F132" s="67" t="s">
        <v>416</v>
      </c>
      <c r="G132" s="68">
        <v>0.05555555555555555</v>
      </c>
    </row>
    <row r="133">
      <c r="A133" s="61" t="s">
        <v>1466</v>
      </c>
      <c r="B133" s="61" t="s">
        <v>1476</v>
      </c>
      <c r="C133" s="65" t="s">
        <v>1391</v>
      </c>
      <c r="D133" s="85">
        <v>2.0</v>
      </c>
      <c r="E133" s="67" t="s">
        <v>399</v>
      </c>
      <c r="F133" s="67" t="s">
        <v>419</v>
      </c>
      <c r="G133" s="68">
        <v>0.010289351851851852</v>
      </c>
    </row>
    <row r="134">
      <c r="A134" s="61" t="s">
        <v>1466</v>
      </c>
      <c r="B134" s="61" t="s">
        <v>1476</v>
      </c>
      <c r="C134" s="62" t="s">
        <v>1391</v>
      </c>
      <c r="D134" s="63">
        <v>3.0</v>
      </c>
      <c r="E134" s="62" t="s">
        <v>423</v>
      </c>
      <c r="F134" s="62" t="s">
        <v>421</v>
      </c>
      <c r="G134" s="64">
        <v>0.017418981481481483</v>
      </c>
    </row>
    <row r="135">
      <c r="A135" s="61" t="s">
        <v>1466</v>
      </c>
      <c r="B135" s="61" t="s">
        <v>1476</v>
      </c>
      <c r="C135" s="62" t="s">
        <v>1391</v>
      </c>
      <c r="D135" s="63">
        <v>3.0</v>
      </c>
      <c r="E135" s="61" t="s">
        <v>423</v>
      </c>
      <c r="F135" s="62" t="s">
        <v>424</v>
      </c>
      <c r="G135" s="64">
        <v>0.01659722222222222</v>
      </c>
    </row>
    <row r="136">
      <c r="A136" s="61" t="s">
        <v>1466</v>
      </c>
      <c r="B136" s="61" t="s">
        <v>1476</v>
      </c>
      <c r="C136" s="62" t="s">
        <v>1391</v>
      </c>
      <c r="D136" s="63">
        <v>3.0</v>
      </c>
      <c r="E136" s="61" t="s">
        <v>423</v>
      </c>
      <c r="F136" s="62" t="s">
        <v>426</v>
      </c>
      <c r="G136" s="64">
        <v>0.006307870370370371</v>
      </c>
    </row>
    <row r="137">
      <c r="A137" s="61" t="s">
        <v>1466</v>
      </c>
      <c r="B137" s="61" t="s">
        <v>1476</v>
      </c>
      <c r="C137" s="65" t="s">
        <v>1391</v>
      </c>
      <c r="D137" s="66">
        <v>3.0</v>
      </c>
      <c r="E137" s="65" t="s">
        <v>423</v>
      </c>
      <c r="F137" s="67" t="s">
        <v>719</v>
      </c>
      <c r="G137" s="68">
        <v>0.008715277777777778</v>
      </c>
    </row>
    <row r="138">
      <c r="A138" s="61" t="s">
        <v>1466</v>
      </c>
      <c r="B138" s="61" t="s">
        <v>1476</v>
      </c>
      <c r="C138" s="61" t="s">
        <v>1391</v>
      </c>
      <c r="D138" s="86"/>
      <c r="E138" s="71" t="s">
        <v>722</v>
      </c>
      <c r="F138" s="71" t="s">
        <v>720</v>
      </c>
      <c r="G138" s="64">
        <v>0.005208333333333333</v>
      </c>
    </row>
    <row r="139">
      <c r="A139" s="61" t="s">
        <v>1466</v>
      </c>
      <c r="B139" s="61" t="s">
        <v>1476</v>
      </c>
      <c r="C139" s="71" t="s">
        <v>1477</v>
      </c>
      <c r="D139" s="72">
        <v>1.0</v>
      </c>
      <c r="E139" s="61" t="s">
        <v>430</v>
      </c>
      <c r="F139" s="61" t="s">
        <v>428</v>
      </c>
      <c r="G139" s="64">
        <v>0.014826388888888889</v>
      </c>
    </row>
    <row r="140">
      <c r="A140" s="61" t="s">
        <v>1466</v>
      </c>
      <c r="B140" s="61" t="s">
        <v>1476</v>
      </c>
      <c r="C140" s="71" t="s">
        <v>1477</v>
      </c>
      <c r="D140" s="72">
        <v>1.0</v>
      </c>
      <c r="E140" s="61" t="s">
        <v>430</v>
      </c>
      <c r="F140" s="61" t="s">
        <v>431</v>
      </c>
      <c r="G140" s="64">
        <v>0.00738425925925926</v>
      </c>
    </row>
    <row r="141">
      <c r="A141" s="61" t="s">
        <v>1466</v>
      </c>
      <c r="B141" s="61" t="s">
        <v>1476</v>
      </c>
      <c r="C141" s="71" t="s">
        <v>1477</v>
      </c>
      <c r="D141" s="72">
        <v>1.0</v>
      </c>
      <c r="E141" s="61" t="s">
        <v>430</v>
      </c>
      <c r="F141" s="61" t="s">
        <v>433</v>
      </c>
      <c r="G141" s="64">
        <v>0.01678240740740741</v>
      </c>
    </row>
    <row r="142">
      <c r="A142" s="61" t="s">
        <v>1466</v>
      </c>
      <c r="B142" s="61" t="s">
        <v>1476</v>
      </c>
      <c r="C142" s="71" t="s">
        <v>1477</v>
      </c>
      <c r="D142" s="72">
        <v>1.0</v>
      </c>
      <c r="E142" s="61" t="s">
        <v>430</v>
      </c>
      <c r="F142" s="61" t="s">
        <v>435</v>
      </c>
      <c r="G142" s="77">
        <v>0.05555555555555555</v>
      </c>
    </row>
    <row r="143">
      <c r="A143" s="61" t="s">
        <v>1466</v>
      </c>
      <c r="B143" s="61" t="s">
        <v>1476</v>
      </c>
      <c r="C143" s="71" t="s">
        <v>1477</v>
      </c>
      <c r="D143" s="72">
        <v>1.0</v>
      </c>
      <c r="E143" s="61" t="s">
        <v>430</v>
      </c>
      <c r="F143" s="62" t="s">
        <v>436</v>
      </c>
      <c r="G143" s="64">
        <v>0.020833333333333332</v>
      </c>
    </row>
    <row r="144">
      <c r="A144" s="61" t="s">
        <v>1466</v>
      </c>
      <c r="B144" s="61" t="s">
        <v>1476</v>
      </c>
      <c r="C144" s="71" t="s">
        <v>1477</v>
      </c>
      <c r="D144" s="63">
        <v>2.0</v>
      </c>
      <c r="E144" s="61" t="s">
        <v>439</v>
      </c>
      <c r="F144" s="61" t="s">
        <v>437</v>
      </c>
      <c r="G144" s="64">
        <v>0.0025</v>
      </c>
    </row>
    <row r="145">
      <c r="A145" s="61" t="s">
        <v>1466</v>
      </c>
      <c r="B145" s="61" t="s">
        <v>1476</v>
      </c>
      <c r="C145" s="71" t="s">
        <v>1477</v>
      </c>
      <c r="D145" s="63">
        <v>2.0</v>
      </c>
      <c r="E145" s="61" t="s">
        <v>439</v>
      </c>
      <c r="F145" s="61" t="s">
        <v>440</v>
      </c>
      <c r="G145" s="64">
        <v>0.0019328703703703704</v>
      </c>
    </row>
    <row r="146">
      <c r="A146" s="61" t="s">
        <v>1466</v>
      </c>
      <c r="B146" s="61" t="s">
        <v>1476</v>
      </c>
      <c r="C146" s="71" t="s">
        <v>1477</v>
      </c>
      <c r="D146" s="63">
        <v>2.0</v>
      </c>
      <c r="E146" s="61" t="s">
        <v>439</v>
      </c>
      <c r="F146" s="61" t="s">
        <v>442</v>
      </c>
      <c r="G146" s="64">
        <v>0.0020486111111111113</v>
      </c>
    </row>
    <row r="147">
      <c r="A147" s="61" t="s">
        <v>1466</v>
      </c>
      <c r="B147" s="61" t="s">
        <v>1476</v>
      </c>
      <c r="C147" s="71" t="s">
        <v>1477</v>
      </c>
      <c r="D147" s="72">
        <v>2.0</v>
      </c>
      <c r="E147" s="61" t="s">
        <v>439</v>
      </c>
      <c r="F147" s="61" t="s">
        <v>444</v>
      </c>
      <c r="G147" s="64">
        <v>0.0030555555555555557</v>
      </c>
    </row>
    <row r="148">
      <c r="A148" s="61" t="s">
        <v>1466</v>
      </c>
      <c r="B148" s="61" t="s">
        <v>1476</v>
      </c>
      <c r="C148" s="71" t="s">
        <v>1477</v>
      </c>
      <c r="D148" s="72">
        <v>2.0</v>
      </c>
      <c r="E148" s="73" t="s">
        <v>439</v>
      </c>
      <c r="F148" s="61" t="s">
        <v>723</v>
      </c>
      <c r="G148" s="70">
        <v>0.0018287037037037037</v>
      </c>
    </row>
    <row r="149">
      <c r="A149" s="61" t="s">
        <v>1466</v>
      </c>
      <c r="B149" s="61" t="s">
        <v>1476</v>
      </c>
      <c r="C149" s="71" t="s">
        <v>1477</v>
      </c>
      <c r="D149" s="72">
        <v>2.0</v>
      </c>
      <c r="E149" s="73" t="s">
        <v>439</v>
      </c>
      <c r="F149" s="61" t="s">
        <v>725</v>
      </c>
      <c r="G149" s="70">
        <v>0.003576388888888889</v>
      </c>
    </row>
    <row r="150">
      <c r="A150" s="61" t="s">
        <v>1466</v>
      </c>
      <c r="B150" s="61" t="s">
        <v>1476</v>
      </c>
      <c r="C150" s="71" t="s">
        <v>1477</v>
      </c>
      <c r="D150" s="72">
        <v>2.0</v>
      </c>
      <c r="E150" s="61" t="s">
        <v>439</v>
      </c>
      <c r="F150" s="61" t="s">
        <v>448</v>
      </c>
      <c r="G150" s="64">
        <v>0.012303240740740741</v>
      </c>
    </row>
    <row r="151">
      <c r="A151" s="61" t="s">
        <v>1466</v>
      </c>
      <c r="B151" s="61" t="s">
        <v>1476</v>
      </c>
      <c r="C151" s="71" t="s">
        <v>1477</v>
      </c>
      <c r="D151" s="72">
        <v>2.0</v>
      </c>
      <c r="E151" s="61" t="s">
        <v>439</v>
      </c>
      <c r="F151" s="73" t="s">
        <v>727</v>
      </c>
      <c r="G151" s="77">
        <v>0.05555555555555555</v>
      </c>
    </row>
    <row r="152">
      <c r="A152" s="61" t="s">
        <v>1466</v>
      </c>
      <c r="B152" s="61" t="s">
        <v>1476</v>
      </c>
      <c r="C152" s="71" t="s">
        <v>1477</v>
      </c>
      <c r="D152" s="72">
        <v>3.0</v>
      </c>
      <c r="E152" s="61" t="s">
        <v>731</v>
      </c>
      <c r="F152" s="61" t="s">
        <v>672</v>
      </c>
      <c r="G152" s="64">
        <v>0.006724537037037037</v>
      </c>
    </row>
    <row r="153">
      <c r="A153" s="61" t="s">
        <v>1466</v>
      </c>
      <c r="B153" s="61" t="s">
        <v>1476</v>
      </c>
      <c r="C153" s="71" t="s">
        <v>1477</v>
      </c>
      <c r="D153" s="72">
        <v>3.0</v>
      </c>
      <c r="E153" s="61" t="s">
        <v>731</v>
      </c>
      <c r="F153" s="62" t="s">
        <v>675</v>
      </c>
      <c r="G153" s="70">
        <v>0.011979166666666667</v>
      </c>
    </row>
    <row r="154">
      <c r="A154" s="61" t="s">
        <v>1466</v>
      </c>
      <c r="B154" s="61" t="s">
        <v>1476</v>
      </c>
      <c r="C154" s="65" t="s">
        <v>1477</v>
      </c>
      <c r="D154" s="66">
        <v>3.0</v>
      </c>
      <c r="E154" s="65" t="s">
        <v>731</v>
      </c>
      <c r="F154" s="67" t="s">
        <v>677</v>
      </c>
      <c r="G154" s="68">
        <v>0.006122685185185185</v>
      </c>
    </row>
    <row r="155">
      <c r="A155" s="61" t="s">
        <v>1466</v>
      </c>
      <c r="B155" s="61" t="s">
        <v>1476</v>
      </c>
      <c r="C155" s="61" t="s">
        <v>1477</v>
      </c>
      <c r="D155" s="69">
        <v>3.0</v>
      </c>
      <c r="E155" s="71" t="s">
        <v>731</v>
      </c>
      <c r="F155" s="71" t="s">
        <v>679</v>
      </c>
      <c r="G155" s="64">
        <v>0.011041666666666667</v>
      </c>
    </row>
    <row r="156">
      <c r="A156" s="61" t="s">
        <v>1466</v>
      </c>
      <c r="B156" s="61" t="s">
        <v>1476</v>
      </c>
      <c r="C156" s="71" t="s">
        <v>1477</v>
      </c>
      <c r="D156" s="72">
        <v>3.0</v>
      </c>
      <c r="E156" s="62" t="s">
        <v>731</v>
      </c>
      <c r="F156" s="61" t="s">
        <v>728</v>
      </c>
      <c r="G156" s="64">
        <v>0.00869212962962963</v>
      </c>
    </row>
    <row r="157">
      <c r="A157" s="61" t="s">
        <v>1466</v>
      </c>
      <c r="B157" s="61" t="s">
        <v>1476</v>
      </c>
      <c r="C157" s="71" t="s">
        <v>1477</v>
      </c>
      <c r="D157" s="72">
        <v>3.0</v>
      </c>
      <c r="E157" s="73" t="s">
        <v>731</v>
      </c>
      <c r="F157" s="61" t="s">
        <v>732</v>
      </c>
      <c r="G157" s="70">
        <v>0.0076851851851851855</v>
      </c>
    </row>
    <row r="158">
      <c r="A158" s="61" t="s">
        <v>1466</v>
      </c>
      <c r="B158" s="61" t="s">
        <v>1476</v>
      </c>
      <c r="C158" s="61" t="s">
        <v>1477</v>
      </c>
      <c r="D158" s="74">
        <v>3.0</v>
      </c>
      <c r="E158" s="71" t="s">
        <v>731</v>
      </c>
      <c r="F158" s="71" t="s">
        <v>734</v>
      </c>
      <c r="G158" s="64">
        <v>0.005497685185185185</v>
      </c>
    </row>
    <row r="159">
      <c r="A159" s="61" t="s">
        <v>1466</v>
      </c>
      <c r="B159" s="61" t="s">
        <v>1476</v>
      </c>
      <c r="C159" s="71" t="s">
        <v>1477</v>
      </c>
      <c r="D159" s="72">
        <v>3.0</v>
      </c>
      <c r="E159" s="61" t="s">
        <v>731</v>
      </c>
      <c r="F159" s="61" t="s">
        <v>1183</v>
      </c>
      <c r="G159" s="70">
        <v>0.007476851851851852</v>
      </c>
    </row>
    <row r="160">
      <c r="A160" s="61" t="s">
        <v>1466</v>
      </c>
      <c r="B160" s="61" t="s">
        <v>1476</v>
      </c>
      <c r="C160" s="71" t="s">
        <v>1477</v>
      </c>
      <c r="D160" s="72">
        <v>3.0</v>
      </c>
      <c r="E160" s="61" t="s">
        <v>731</v>
      </c>
      <c r="F160" s="73" t="s">
        <v>736</v>
      </c>
      <c r="G160" s="77">
        <v>0.05555555555555555</v>
      </c>
    </row>
    <row r="161">
      <c r="A161" s="61" t="s">
        <v>1466</v>
      </c>
      <c r="B161" s="61" t="s">
        <v>1476</v>
      </c>
      <c r="C161" s="71" t="s">
        <v>1477</v>
      </c>
      <c r="D161" s="72">
        <v>4.0</v>
      </c>
      <c r="E161" s="73" t="s">
        <v>739</v>
      </c>
      <c r="F161" s="61" t="s">
        <v>737</v>
      </c>
      <c r="G161" s="70">
        <v>0.0029976851851851853</v>
      </c>
    </row>
    <row r="162">
      <c r="A162" s="61" t="s">
        <v>1466</v>
      </c>
      <c r="B162" s="61" t="s">
        <v>1476</v>
      </c>
      <c r="C162" s="71" t="s">
        <v>1477</v>
      </c>
      <c r="D162" s="72">
        <v>4.0</v>
      </c>
      <c r="E162" s="73" t="s">
        <v>739</v>
      </c>
      <c r="F162" s="61" t="s">
        <v>740</v>
      </c>
      <c r="G162" s="70">
        <v>0.0024074074074074076</v>
      </c>
    </row>
    <row r="163">
      <c r="A163" s="61" t="s">
        <v>1466</v>
      </c>
      <c r="B163" s="61" t="s">
        <v>1476</v>
      </c>
      <c r="C163" s="71" t="s">
        <v>1477</v>
      </c>
      <c r="D163" s="74">
        <v>4.0</v>
      </c>
      <c r="E163" s="73" t="s">
        <v>739</v>
      </c>
      <c r="F163" s="61" t="s">
        <v>742</v>
      </c>
      <c r="G163" s="70">
        <v>0.002673611111111111</v>
      </c>
    </row>
    <row r="164">
      <c r="A164" s="61" t="s">
        <v>1466</v>
      </c>
      <c r="B164" s="61" t="s">
        <v>1476</v>
      </c>
      <c r="C164" s="71" t="s">
        <v>1477</v>
      </c>
      <c r="D164" s="74">
        <v>4.0</v>
      </c>
      <c r="E164" s="73" t="s">
        <v>739</v>
      </c>
      <c r="F164" s="61" t="s">
        <v>744</v>
      </c>
      <c r="G164" s="70">
        <v>0.002395833333333333</v>
      </c>
    </row>
    <row r="165">
      <c r="A165" s="61" t="s">
        <v>1466</v>
      </c>
      <c r="B165" s="61" t="s">
        <v>1476</v>
      </c>
      <c r="C165" s="71" t="s">
        <v>1477</v>
      </c>
      <c r="D165" s="74">
        <v>4.0</v>
      </c>
      <c r="E165" s="73" t="s">
        <v>739</v>
      </c>
      <c r="F165" s="73" t="s">
        <v>746</v>
      </c>
      <c r="G165" s="77">
        <v>0.05555555555555555</v>
      </c>
    </row>
    <row r="166">
      <c r="A166" s="61" t="s">
        <v>1466</v>
      </c>
      <c r="B166" s="61" t="s">
        <v>1476</v>
      </c>
      <c r="C166" s="71" t="s">
        <v>1477</v>
      </c>
      <c r="D166" s="72">
        <v>5.0</v>
      </c>
      <c r="E166" s="61" t="s">
        <v>749</v>
      </c>
      <c r="F166" s="62" t="s">
        <v>704</v>
      </c>
      <c r="G166" s="70">
        <v>0.014212962962962964</v>
      </c>
    </row>
    <row r="167">
      <c r="A167" s="61" t="s">
        <v>1466</v>
      </c>
      <c r="B167" s="61" t="s">
        <v>1476</v>
      </c>
      <c r="C167" s="71" t="s">
        <v>1477</v>
      </c>
      <c r="D167" s="72">
        <v>5.0</v>
      </c>
      <c r="E167" s="73" t="s">
        <v>749</v>
      </c>
      <c r="F167" s="61" t="s">
        <v>707</v>
      </c>
      <c r="G167" s="70">
        <v>0.01885416666666667</v>
      </c>
    </row>
    <row r="168">
      <c r="A168" s="61" t="s">
        <v>1466</v>
      </c>
      <c r="B168" s="61" t="s">
        <v>1476</v>
      </c>
      <c r="C168" s="71" t="s">
        <v>1477</v>
      </c>
      <c r="D168" s="72">
        <v>5.0</v>
      </c>
      <c r="E168" s="73" t="s">
        <v>749</v>
      </c>
      <c r="F168" s="61" t="s">
        <v>747</v>
      </c>
      <c r="G168" s="70">
        <v>0.008680555555555556</v>
      </c>
    </row>
    <row r="169">
      <c r="A169" s="61" t="s">
        <v>1466</v>
      </c>
      <c r="B169" s="61" t="s">
        <v>1476</v>
      </c>
      <c r="C169" s="71" t="s">
        <v>1477</v>
      </c>
      <c r="D169" s="72">
        <v>5.0</v>
      </c>
      <c r="E169" s="73" t="s">
        <v>749</v>
      </c>
      <c r="F169" s="61" t="s">
        <v>1190</v>
      </c>
      <c r="G169" s="70">
        <v>0.007094907407407407</v>
      </c>
    </row>
    <row r="170">
      <c r="A170" s="61" t="s">
        <v>1466</v>
      </c>
      <c r="B170" s="61" t="s">
        <v>1476</v>
      </c>
      <c r="C170" s="71" t="s">
        <v>1477</v>
      </c>
      <c r="D170" s="72">
        <v>5.0</v>
      </c>
      <c r="E170" s="61" t="s">
        <v>749</v>
      </c>
      <c r="F170" s="62" t="s">
        <v>1478</v>
      </c>
      <c r="G170" s="70">
        <v>0.006076388888888889</v>
      </c>
    </row>
    <row r="171">
      <c r="A171" s="61" t="s">
        <v>1466</v>
      </c>
      <c r="B171" s="61" t="s">
        <v>1476</v>
      </c>
      <c r="C171" s="71" t="s">
        <v>1477</v>
      </c>
      <c r="D171" s="72">
        <v>5.0</v>
      </c>
      <c r="E171" s="61" t="s">
        <v>749</v>
      </c>
      <c r="F171" s="62" t="s">
        <v>750</v>
      </c>
      <c r="G171" s="70">
        <v>0.005300925925925926</v>
      </c>
    </row>
    <row r="172">
      <c r="A172" s="61" t="s">
        <v>1466</v>
      </c>
      <c r="B172" s="61" t="s">
        <v>1476</v>
      </c>
      <c r="C172" s="71" t="s">
        <v>1477</v>
      </c>
      <c r="D172" s="72">
        <v>5.0</v>
      </c>
      <c r="E172" s="73" t="s">
        <v>749</v>
      </c>
      <c r="F172" s="61" t="s">
        <v>752</v>
      </c>
      <c r="G172" s="70">
        <v>0.006574074074074074</v>
      </c>
    </row>
    <row r="173">
      <c r="A173" s="61" t="s">
        <v>1466</v>
      </c>
      <c r="B173" s="61" t="s">
        <v>1476</v>
      </c>
      <c r="C173" s="61" t="s">
        <v>1477</v>
      </c>
      <c r="D173" s="74">
        <v>5.0</v>
      </c>
      <c r="E173" s="71" t="s">
        <v>749</v>
      </c>
      <c r="F173" s="71" t="s">
        <v>754</v>
      </c>
      <c r="G173" s="64">
        <v>0.004837962962962963</v>
      </c>
    </row>
    <row r="174">
      <c r="A174" s="61" t="s">
        <v>1466</v>
      </c>
      <c r="B174" s="61" t="s">
        <v>1476</v>
      </c>
      <c r="C174" s="71" t="s">
        <v>1477</v>
      </c>
      <c r="D174" s="72">
        <v>5.0</v>
      </c>
      <c r="E174" s="73" t="s">
        <v>749</v>
      </c>
      <c r="F174" s="61" t="s">
        <v>756</v>
      </c>
      <c r="G174" s="70">
        <v>0.006851851851851852</v>
      </c>
    </row>
    <row r="175">
      <c r="A175" s="61" t="s">
        <v>1466</v>
      </c>
      <c r="B175" s="61" t="s">
        <v>1476</v>
      </c>
      <c r="C175" s="71" t="s">
        <v>1477</v>
      </c>
      <c r="D175" s="72">
        <v>5.0</v>
      </c>
      <c r="E175" s="73" t="s">
        <v>749</v>
      </c>
      <c r="F175" s="73" t="s">
        <v>709</v>
      </c>
      <c r="G175" s="77">
        <v>0.05555555555555555</v>
      </c>
    </row>
    <row r="176">
      <c r="A176" s="61" t="s">
        <v>1466</v>
      </c>
      <c r="B176" s="61" t="s">
        <v>1476</v>
      </c>
      <c r="C176" s="71" t="s">
        <v>1477</v>
      </c>
      <c r="D176" s="72">
        <v>5.0</v>
      </c>
      <c r="E176" s="73" t="s">
        <v>749</v>
      </c>
      <c r="F176" s="73" t="s">
        <v>1479</v>
      </c>
      <c r="G176" s="77">
        <v>0.05555555555555555</v>
      </c>
    </row>
    <row r="177">
      <c r="A177" s="61" t="s">
        <v>1466</v>
      </c>
      <c r="B177" s="61" t="s">
        <v>1476</v>
      </c>
      <c r="C177" s="71" t="s">
        <v>1480</v>
      </c>
      <c r="D177" s="72">
        <v>1.0</v>
      </c>
      <c r="E177" s="73" t="s">
        <v>453</v>
      </c>
      <c r="F177" s="61" t="s">
        <v>758</v>
      </c>
      <c r="G177" s="70">
        <v>0.017511574074074075</v>
      </c>
    </row>
    <row r="178">
      <c r="A178" s="61" t="s">
        <v>1466</v>
      </c>
      <c r="B178" s="61" t="s">
        <v>1476</v>
      </c>
      <c r="C178" s="73" t="s">
        <v>1480</v>
      </c>
      <c r="D178" s="74">
        <v>1.0</v>
      </c>
      <c r="E178" s="71" t="s">
        <v>453</v>
      </c>
      <c r="F178" s="71" t="s">
        <v>451</v>
      </c>
      <c r="G178" s="64">
        <v>0.002662037037037037</v>
      </c>
    </row>
    <row r="179">
      <c r="A179" s="61" t="s">
        <v>1466</v>
      </c>
      <c r="B179" s="61" t="s">
        <v>1476</v>
      </c>
      <c r="C179" s="71" t="s">
        <v>1480</v>
      </c>
      <c r="D179" s="74">
        <v>1.0</v>
      </c>
      <c r="E179" s="73" t="s">
        <v>453</v>
      </c>
      <c r="F179" s="61" t="s">
        <v>454</v>
      </c>
      <c r="G179" s="64">
        <v>7.986111111111112E-4</v>
      </c>
    </row>
    <row r="180">
      <c r="A180" s="61" t="s">
        <v>1466</v>
      </c>
      <c r="B180" s="61" t="s">
        <v>1476</v>
      </c>
      <c r="C180" s="65" t="s">
        <v>1480</v>
      </c>
      <c r="D180" s="66">
        <v>1.0</v>
      </c>
      <c r="E180" s="65" t="s">
        <v>453</v>
      </c>
      <c r="F180" s="67" t="s">
        <v>458</v>
      </c>
      <c r="G180" s="68">
        <v>7.986111111111112E-4</v>
      </c>
    </row>
    <row r="181">
      <c r="A181" s="61" t="s">
        <v>1466</v>
      </c>
      <c r="B181" s="61" t="s">
        <v>1476</v>
      </c>
      <c r="C181" s="65" t="s">
        <v>1480</v>
      </c>
      <c r="D181" s="66">
        <v>1.0</v>
      </c>
      <c r="E181" s="65" t="s">
        <v>453</v>
      </c>
      <c r="F181" s="71" t="s">
        <v>760</v>
      </c>
      <c r="G181" s="70">
        <v>0.041666666666666664</v>
      </c>
    </row>
    <row r="182">
      <c r="A182" s="61" t="s">
        <v>1466</v>
      </c>
      <c r="B182" s="61" t="s">
        <v>1476</v>
      </c>
      <c r="C182" s="71" t="s">
        <v>1480</v>
      </c>
      <c r="D182" s="69">
        <v>2.0</v>
      </c>
      <c r="E182" s="61" t="s">
        <v>462</v>
      </c>
      <c r="F182" s="61" t="s">
        <v>462</v>
      </c>
      <c r="G182" s="64">
        <v>0.005127314814814815</v>
      </c>
    </row>
    <row r="183">
      <c r="A183" s="61" t="s">
        <v>1466</v>
      </c>
      <c r="B183" s="61" t="s">
        <v>1476</v>
      </c>
      <c r="C183" s="71" t="s">
        <v>1480</v>
      </c>
      <c r="D183" s="69">
        <v>2.0</v>
      </c>
      <c r="E183" s="73" t="s">
        <v>462</v>
      </c>
      <c r="F183" s="61" t="s">
        <v>460</v>
      </c>
      <c r="G183" s="64">
        <v>9.375E-4</v>
      </c>
    </row>
    <row r="184">
      <c r="A184" s="61" t="s">
        <v>1466</v>
      </c>
      <c r="B184" s="61" t="s">
        <v>1476</v>
      </c>
      <c r="C184" s="71" t="s">
        <v>1480</v>
      </c>
      <c r="D184" s="69">
        <v>2.0</v>
      </c>
      <c r="E184" s="73" t="s">
        <v>462</v>
      </c>
      <c r="F184" s="61" t="s">
        <v>463</v>
      </c>
      <c r="G184" s="64">
        <v>0.001863425925925926</v>
      </c>
    </row>
    <row r="185">
      <c r="A185" s="61" t="s">
        <v>1466</v>
      </c>
      <c r="B185" s="61" t="s">
        <v>1476</v>
      </c>
      <c r="C185" s="71" t="s">
        <v>1480</v>
      </c>
      <c r="D185" s="69">
        <v>2.0</v>
      </c>
      <c r="E185" s="61" t="s">
        <v>462</v>
      </c>
      <c r="F185" s="62" t="s">
        <v>465</v>
      </c>
      <c r="G185" s="70">
        <v>6.828703703703704E-4</v>
      </c>
    </row>
    <row r="186">
      <c r="A186" s="61" t="s">
        <v>1466</v>
      </c>
      <c r="B186" s="61" t="s">
        <v>1476</v>
      </c>
      <c r="C186" s="71" t="s">
        <v>1480</v>
      </c>
      <c r="D186" s="69">
        <v>2.0</v>
      </c>
      <c r="E186" s="61" t="s">
        <v>462</v>
      </c>
      <c r="F186" s="61" t="s">
        <v>762</v>
      </c>
      <c r="G186" s="64">
        <v>7.407407407407407E-4</v>
      </c>
    </row>
    <row r="187">
      <c r="A187" s="61" t="s">
        <v>1466</v>
      </c>
      <c r="B187" s="61" t="s">
        <v>1476</v>
      </c>
      <c r="C187" s="61" t="s">
        <v>1480</v>
      </c>
      <c r="D187" s="69">
        <v>2.0</v>
      </c>
      <c r="E187" s="71" t="s">
        <v>462</v>
      </c>
      <c r="F187" s="71" t="s">
        <v>467</v>
      </c>
      <c r="G187" s="64">
        <v>6.134259259259259E-4</v>
      </c>
    </row>
    <row r="188">
      <c r="A188" s="61" t="s">
        <v>1466</v>
      </c>
      <c r="B188" s="61" t="s">
        <v>1476</v>
      </c>
      <c r="C188" s="71" t="s">
        <v>1480</v>
      </c>
      <c r="D188" s="72">
        <v>2.0</v>
      </c>
      <c r="E188" s="61" t="s">
        <v>462</v>
      </c>
      <c r="F188" s="61" t="s">
        <v>469</v>
      </c>
      <c r="G188" s="70">
        <v>9.953703703703704E-4</v>
      </c>
    </row>
    <row r="189">
      <c r="A189" s="61" t="s">
        <v>1466</v>
      </c>
      <c r="B189" s="61" t="s">
        <v>1476</v>
      </c>
      <c r="C189" s="71" t="s">
        <v>1480</v>
      </c>
      <c r="D189" s="72">
        <v>3.0</v>
      </c>
      <c r="E189" s="61" t="s">
        <v>471</v>
      </c>
      <c r="F189" s="61" t="s">
        <v>471</v>
      </c>
      <c r="G189" s="70">
        <v>0.0069560185185185185</v>
      </c>
    </row>
    <row r="190">
      <c r="A190" s="61" t="s">
        <v>1466</v>
      </c>
      <c r="B190" s="61" t="s">
        <v>1476</v>
      </c>
      <c r="C190" s="71" t="s">
        <v>1480</v>
      </c>
      <c r="D190" s="72">
        <v>3.0</v>
      </c>
      <c r="E190" s="61" t="s">
        <v>471</v>
      </c>
      <c r="F190" s="61" t="s">
        <v>764</v>
      </c>
      <c r="G190" s="70">
        <v>5.555555555555556E-4</v>
      </c>
    </row>
    <row r="191">
      <c r="A191" s="61" t="s">
        <v>1466</v>
      </c>
      <c r="B191" s="61" t="s">
        <v>1476</v>
      </c>
      <c r="C191" s="71" t="s">
        <v>1480</v>
      </c>
      <c r="D191" s="72">
        <v>3.0</v>
      </c>
      <c r="E191" s="61" t="s">
        <v>471</v>
      </c>
      <c r="F191" s="61" t="s">
        <v>473</v>
      </c>
      <c r="G191" s="70">
        <v>0.0015393518518518519</v>
      </c>
    </row>
    <row r="192">
      <c r="A192" s="61" t="s">
        <v>1466</v>
      </c>
      <c r="B192" s="61" t="s">
        <v>1476</v>
      </c>
      <c r="C192" s="71" t="s">
        <v>1480</v>
      </c>
      <c r="D192" s="72">
        <v>3.0</v>
      </c>
      <c r="E192" s="61" t="s">
        <v>471</v>
      </c>
      <c r="F192" s="61" t="s">
        <v>475</v>
      </c>
      <c r="G192" s="70">
        <v>5.671296296296297E-4</v>
      </c>
    </row>
    <row r="193">
      <c r="A193" s="61" t="s">
        <v>1466</v>
      </c>
      <c r="B193" s="61" t="s">
        <v>1476</v>
      </c>
      <c r="C193" s="71" t="s">
        <v>1480</v>
      </c>
      <c r="D193" s="72">
        <v>3.0</v>
      </c>
      <c r="E193" s="61" t="s">
        <v>471</v>
      </c>
      <c r="F193" s="61" t="s">
        <v>477</v>
      </c>
      <c r="G193" s="77">
        <v>0.05555555555555555</v>
      </c>
    </row>
    <row r="194">
      <c r="A194" s="61" t="s">
        <v>1466</v>
      </c>
      <c r="B194" s="61" t="s">
        <v>1476</v>
      </c>
      <c r="C194" s="71" t="s">
        <v>1480</v>
      </c>
      <c r="D194" s="74">
        <v>4.0</v>
      </c>
      <c r="E194" s="73" t="s">
        <v>480</v>
      </c>
      <c r="F194" s="61" t="s">
        <v>478</v>
      </c>
      <c r="G194" s="70">
        <v>0.004074074074074074</v>
      </c>
    </row>
    <row r="195">
      <c r="A195" s="61" t="s">
        <v>1466</v>
      </c>
      <c r="B195" s="61" t="s">
        <v>1476</v>
      </c>
      <c r="C195" s="71" t="s">
        <v>1480</v>
      </c>
      <c r="D195" s="74">
        <v>4.0</v>
      </c>
      <c r="E195" s="61" t="s">
        <v>480</v>
      </c>
      <c r="F195" s="62" t="s">
        <v>481</v>
      </c>
      <c r="G195" s="70">
        <v>0.014212962962962964</v>
      </c>
    </row>
    <row r="196">
      <c r="A196" s="61" t="s">
        <v>1466</v>
      </c>
      <c r="B196" s="61" t="s">
        <v>1476</v>
      </c>
      <c r="C196" s="61" t="s">
        <v>1480</v>
      </c>
      <c r="D196" s="74">
        <v>4.0</v>
      </c>
      <c r="E196" s="71" t="s">
        <v>480</v>
      </c>
      <c r="F196" s="71" t="s">
        <v>483</v>
      </c>
      <c r="G196" s="64">
        <v>0.0015277777777777779</v>
      </c>
    </row>
    <row r="197">
      <c r="A197" s="61" t="s">
        <v>1466</v>
      </c>
      <c r="B197" s="61" t="s">
        <v>1476</v>
      </c>
      <c r="C197" s="71" t="s">
        <v>1480</v>
      </c>
      <c r="D197" s="72">
        <v>4.0</v>
      </c>
      <c r="E197" s="73" t="s">
        <v>480</v>
      </c>
      <c r="F197" s="61" t="s">
        <v>485</v>
      </c>
      <c r="G197" s="70">
        <v>0.0010648148148148149</v>
      </c>
    </row>
    <row r="198">
      <c r="A198" s="61" t="s">
        <v>1466</v>
      </c>
      <c r="B198" s="61" t="s">
        <v>1476</v>
      </c>
      <c r="C198" s="71" t="s">
        <v>1480</v>
      </c>
      <c r="D198" s="72">
        <v>4.0</v>
      </c>
      <c r="E198" s="73" t="s">
        <v>480</v>
      </c>
      <c r="F198" s="73" t="s">
        <v>489</v>
      </c>
      <c r="G198" s="77">
        <v>0.05555555555555555</v>
      </c>
    </row>
    <row r="199">
      <c r="A199" s="61" t="s">
        <v>1466</v>
      </c>
      <c r="B199" s="61" t="s">
        <v>1476</v>
      </c>
      <c r="C199" s="71" t="s">
        <v>1399</v>
      </c>
      <c r="D199" s="72">
        <v>1.0</v>
      </c>
      <c r="E199" s="73" t="s">
        <v>493</v>
      </c>
      <c r="F199" s="61" t="s">
        <v>766</v>
      </c>
      <c r="G199" s="70">
        <v>0.005462962962962963</v>
      </c>
    </row>
    <row r="200">
      <c r="A200" s="61" t="s">
        <v>1466</v>
      </c>
      <c r="B200" s="61" t="s">
        <v>1476</v>
      </c>
      <c r="C200" s="71" t="s">
        <v>1399</v>
      </c>
      <c r="D200" s="72">
        <v>1.0</v>
      </c>
      <c r="E200" s="73" t="s">
        <v>493</v>
      </c>
      <c r="F200" s="61" t="s">
        <v>490</v>
      </c>
      <c r="G200" s="70">
        <v>0.0026967592592592594</v>
      </c>
    </row>
    <row r="201">
      <c r="A201" s="61" t="s">
        <v>1466</v>
      </c>
      <c r="B201" s="61" t="s">
        <v>1476</v>
      </c>
      <c r="C201" s="71" t="s">
        <v>1399</v>
      </c>
      <c r="D201" s="74">
        <v>1.0</v>
      </c>
      <c r="E201" s="73" t="s">
        <v>493</v>
      </c>
      <c r="F201" s="61" t="s">
        <v>494</v>
      </c>
      <c r="G201" s="70">
        <v>0.015439814814814814</v>
      </c>
    </row>
    <row r="202">
      <c r="A202" s="61" t="s">
        <v>1466</v>
      </c>
      <c r="B202" s="61" t="s">
        <v>1476</v>
      </c>
      <c r="C202" s="71" t="s">
        <v>1399</v>
      </c>
      <c r="D202" s="74">
        <v>1.0</v>
      </c>
      <c r="E202" s="73" t="s">
        <v>493</v>
      </c>
      <c r="F202" s="61" t="s">
        <v>1400</v>
      </c>
      <c r="G202" s="64">
        <v>0.028819444444444446</v>
      </c>
    </row>
    <row r="203">
      <c r="A203" s="61" t="s">
        <v>1466</v>
      </c>
      <c r="B203" s="61" t="s">
        <v>1476</v>
      </c>
      <c r="C203" s="71" t="s">
        <v>1399</v>
      </c>
      <c r="D203" s="74">
        <v>1.0</v>
      </c>
      <c r="E203" s="73" t="s">
        <v>493</v>
      </c>
      <c r="F203" s="61" t="s">
        <v>496</v>
      </c>
      <c r="G203" s="64">
        <v>0.010324074074074074</v>
      </c>
    </row>
    <row r="204">
      <c r="A204" s="61" t="s">
        <v>1466</v>
      </c>
      <c r="B204" s="61" t="s">
        <v>1476</v>
      </c>
      <c r="C204" s="71" t="s">
        <v>1399</v>
      </c>
      <c r="D204" s="74">
        <v>1.0</v>
      </c>
      <c r="E204" s="73" t="s">
        <v>493</v>
      </c>
      <c r="F204" s="61" t="s">
        <v>498</v>
      </c>
      <c r="G204" s="64">
        <v>0.013761574074074074</v>
      </c>
    </row>
    <row r="205">
      <c r="A205" s="61" t="s">
        <v>1466</v>
      </c>
      <c r="B205" s="61" t="s">
        <v>1476</v>
      </c>
      <c r="C205" s="71" t="s">
        <v>1399</v>
      </c>
      <c r="D205" s="74">
        <v>1.0</v>
      </c>
      <c r="E205" s="61" t="s">
        <v>493</v>
      </c>
      <c r="F205" s="62" t="s">
        <v>768</v>
      </c>
      <c r="G205" s="64">
        <v>0.00883101851851852</v>
      </c>
    </row>
    <row r="206">
      <c r="A206" s="61" t="s">
        <v>1466</v>
      </c>
      <c r="B206" s="61" t="s">
        <v>1476</v>
      </c>
      <c r="C206" s="73" t="s">
        <v>1399</v>
      </c>
      <c r="D206" s="74">
        <v>2.0</v>
      </c>
      <c r="E206" s="71" t="s">
        <v>503</v>
      </c>
      <c r="F206" s="71" t="s">
        <v>500</v>
      </c>
      <c r="G206" s="64">
        <v>0.007893518518518518</v>
      </c>
    </row>
    <row r="207">
      <c r="A207" s="61" t="s">
        <v>1466</v>
      </c>
      <c r="B207" s="61" t="s">
        <v>1476</v>
      </c>
      <c r="C207" s="71" t="s">
        <v>1399</v>
      </c>
      <c r="D207" s="72">
        <v>2.0</v>
      </c>
      <c r="E207" s="73" t="s">
        <v>503</v>
      </c>
      <c r="F207" s="61" t="s">
        <v>504</v>
      </c>
      <c r="G207" s="64">
        <v>0.007789351851851852</v>
      </c>
    </row>
    <row r="208">
      <c r="A208" s="61" t="s">
        <v>1466</v>
      </c>
      <c r="B208" s="61" t="s">
        <v>1476</v>
      </c>
      <c r="C208" s="71" t="s">
        <v>1399</v>
      </c>
      <c r="D208" s="72">
        <v>2.0</v>
      </c>
      <c r="E208" s="73" t="s">
        <v>503</v>
      </c>
      <c r="F208" s="61" t="s">
        <v>506</v>
      </c>
      <c r="G208" s="64">
        <v>0.003275462962962963</v>
      </c>
    </row>
    <row r="209">
      <c r="A209" s="61" t="s">
        <v>1466</v>
      </c>
      <c r="B209" s="61" t="s">
        <v>1476</v>
      </c>
      <c r="C209" s="71" t="s">
        <v>1399</v>
      </c>
      <c r="D209" s="72">
        <v>2.0</v>
      </c>
      <c r="E209" s="73" t="s">
        <v>503</v>
      </c>
      <c r="F209" s="61" t="s">
        <v>508</v>
      </c>
      <c r="G209" s="64">
        <v>0.014953703703703703</v>
      </c>
    </row>
    <row r="210">
      <c r="A210" s="61" t="s">
        <v>1466</v>
      </c>
      <c r="B210" s="61" t="s">
        <v>1476</v>
      </c>
      <c r="C210" s="71" t="s">
        <v>1399</v>
      </c>
      <c r="D210" s="72">
        <v>2.0</v>
      </c>
      <c r="E210" s="73" t="s">
        <v>503</v>
      </c>
      <c r="F210" s="61" t="s">
        <v>510</v>
      </c>
      <c r="G210" s="64">
        <v>0.01744212962962963</v>
      </c>
    </row>
    <row r="211">
      <c r="A211" s="61" t="s">
        <v>1466</v>
      </c>
      <c r="B211" s="61" t="s">
        <v>1476</v>
      </c>
      <c r="C211" s="61" t="s">
        <v>1399</v>
      </c>
      <c r="D211" s="74">
        <v>3.0</v>
      </c>
      <c r="E211" s="61" t="s">
        <v>516</v>
      </c>
      <c r="F211" s="62" t="s">
        <v>514</v>
      </c>
      <c r="G211" s="64">
        <v>0.011620370370370371</v>
      </c>
    </row>
    <row r="212">
      <c r="A212" s="61" t="s">
        <v>1466</v>
      </c>
      <c r="B212" s="61" t="s">
        <v>1476</v>
      </c>
      <c r="C212" s="61" t="s">
        <v>1399</v>
      </c>
      <c r="D212" s="74">
        <v>3.0</v>
      </c>
      <c r="E212" s="71" t="s">
        <v>516</v>
      </c>
      <c r="F212" s="71" t="s">
        <v>517</v>
      </c>
      <c r="G212" s="64">
        <v>0.015277777777777777</v>
      </c>
    </row>
    <row r="213">
      <c r="A213" s="61" t="s">
        <v>1466</v>
      </c>
      <c r="B213" s="61" t="s">
        <v>1476</v>
      </c>
      <c r="C213" s="71" t="s">
        <v>1399</v>
      </c>
      <c r="D213" s="72">
        <v>3.0</v>
      </c>
      <c r="E213" s="61" t="s">
        <v>516</v>
      </c>
      <c r="F213" s="61" t="s">
        <v>519</v>
      </c>
      <c r="G213" s="64">
        <v>0.01105324074074074</v>
      </c>
    </row>
    <row r="214">
      <c r="A214" s="61" t="s">
        <v>1466</v>
      </c>
      <c r="B214" s="61" t="s">
        <v>1476</v>
      </c>
      <c r="C214" s="71" t="s">
        <v>1399</v>
      </c>
      <c r="D214" s="72">
        <v>3.0</v>
      </c>
      <c r="E214" s="61" t="s">
        <v>516</v>
      </c>
      <c r="F214" s="61" t="s">
        <v>521</v>
      </c>
      <c r="G214" s="77">
        <v>0.05555555555555555</v>
      </c>
    </row>
    <row r="215">
      <c r="A215" s="61" t="s">
        <v>1466</v>
      </c>
      <c r="B215" s="61" t="s">
        <v>1476</v>
      </c>
      <c r="C215" s="71" t="s">
        <v>1399</v>
      </c>
      <c r="D215" s="72">
        <v>4.0</v>
      </c>
      <c r="E215" s="73" t="s">
        <v>524</v>
      </c>
      <c r="F215" s="61" t="s">
        <v>522</v>
      </c>
      <c r="G215" s="70">
        <v>0.010868055555555556</v>
      </c>
    </row>
    <row r="216">
      <c r="A216" s="61" t="s">
        <v>1466</v>
      </c>
      <c r="B216" s="61" t="s">
        <v>1476</v>
      </c>
      <c r="C216" s="71" t="s">
        <v>1399</v>
      </c>
      <c r="D216" s="72">
        <v>4.0</v>
      </c>
      <c r="E216" s="73" t="s">
        <v>524</v>
      </c>
      <c r="F216" s="61" t="s">
        <v>525</v>
      </c>
      <c r="G216" s="70">
        <v>0.01457175925925926</v>
      </c>
    </row>
    <row r="217">
      <c r="A217" s="61" t="s">
        <v>1466</v>
      </c>
      <c r="B217" s="61" t="s">
        <v>1476</v>
      </c>
      <c r="C217" s="71" t="s">
        <v>1399</v>
      </c>
      <c r="D217" s="72">
        <v>4.0</v>
      </c>
      <c r="E217" s="73" t="s">
        <v>524</v>
      </c>
      <c r="F217" s="61" t="s">
        <v>527</v>
      </c>
      <c r="G217" s="70">
        <v>0.00755787037037037</v>
      </c>
    </row>
    <row r="218">
      <c r="A218" s="61" t="s">
        <v>1466</v>
      </c>
      <c r="B218" s="61" t="s">
        <v>1476</v>
      </c>
      <c r="C218" s="71" t="s">
        <v>1399</v>
      </c>
      <c r="D218" s="72">
        <v>4.0</v>
      </c>
      <c r="E218" s="73" t="s">
        <v>524</v>
      </c>
      <c r="F218" s="61" t="s">
        <v>529</v>
      </c>
      <c r="G218" s="70">
        <v>0.005</v>
      </c>
    </row>
    <row r="219">
      <c r="A219" s="61" t="s">
        <v>1466</v>
      </c>
      <c r="B219" s="61" t="s">
        <v>1476</v>
      </c>
      <c r="C219" s="71" t="s">
        <v>1399</v>
      </c>
      <c r="D219" s="72">
        <v>4.0</v>
      </c>
      <c r="E219" s="73" t="s">
        <v>524</v>
      </c>
      <c r="F219" s="61" t="s">
        <v>531</v>
      </c>
      <c r="G219" s="70">
        <v>0.011493055555555555</v>
      </c>
    </row>
    <row r="220">
      <c r="A220" s="61" t="s">
        <v>1466</v>
      </c>
      <c r="B220" s="61" t="s">
        <v>1476</v>
      </c>
      <c r="C220" s="71" t="s">
        <v>1399</v>
      </c>
      <c r="D220" s="72">
        <v>4.0</v>
      </c>
      <c r="E220" s="73" t="s">
        <v>524</v>
      </c>
      <c r="F220" s="61" t="s">
        <v>533</v>
      </c>
      <c r="G220" s="70">
        <v>0.0038773148148148148</v>
      </c>
    </row>
    <row r="221">
      <c r="A221" s="61" t="s">
        <v>1466</v>
      </c>
      <c r="B221" s="61" t="s">
        <v>1476</v>
      </c>
      <c r="C221" s="71" t="s">
        <v>1399</v>
      </c>
      <c r="D221" s="72">
        <v>4.0</v>
      </c>
      <c r="E221" s="73" t="s">
        <v>524</v>
      </c>
      <c r="F221" s="61" t="s">
        <v>535</v>
      </c>
      <c r="G221" s="70">
        <v>0.002951388888888889</v>
      </c>
    </row>
    <row r="222">
      <c r="A222" s="61" t="s">
        <v>1466</v>
      </c>
      <c r="B222" s="61" t="s">
        <v>1476</v>
      </c>
      <c r="C222" s="71" t="s">
        <v>1399</v>
      </c>
      <c r="D222" s="72">
        <v>4.0</v>
      </c>
      <c r="E222" s="61" t="s">
        <v>524</v>
      </c>
      <c r="F222" s="62" t="s">
        <v>537</v>
      </c>
      <c r="G222" s="70">
        <v>0.012997685185185185</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1.22" defaultRowHeight="15.0"/>
  <cols>
    <col customWidth="1" min="1" max="1" width="12.33"/>
    <col customWidth="1" min="2" max="2" width="15.44"/>
    <col customWidth="1" min="3" max="3" width="24.22"/>
    <col customWidth="1" min="4" max="4" width="7.33"/>
    <col customWidth="1" min="5" max="5" width="39.22"/>
    <col customWidth="1" min="6" max="6" width="53.44"/>
    <col customWidth="1" min="7" max="7" width="7.44"/>
  </cols>
  <sheetData>
    <row r="1">
      <c r="A1" s="94" t="s">
        <v>1355</v>
      </c>
      <c r="B1" s="94" t="s">
        <v>1376</v>
      </c>
      <c r="C1" s="95" t="s">
        <v>1356</v>
      </c>
      <c r="D1" s="95" t="s">
        <v>1357</v>
      </c>
      <c r="E1" s="95" t="s">
        <v>13</v>
      </c>
      <c r="F1" s="95" t="s">
        <v>1359</v>
      </c>
      <c r="G1" s="95" t="s">
        <v>1360</v>
      </c>
    </row>
    <row r="2">
      <c r="A2" s="96" t="s">
        <v>1481</v>
      </c>
      <c r="B2" s="96" t="s">
        <v>1524</v>
      </c>
      <c r="C2" s="97" t="s">
        <v>1525</v>
      </c>
      <c r="D2" s="98">
        <v>1.0</v>
      </c>
      <c r="E2" s="97" t="s">
        <v>1067</v>
      </c>
      <c r="F2" s="97" t="s">
        <v>1064</v>
      </c>
      <c r="G2" s="99">
        <v>0.009409722222222222</v>
      </c>
    </row>
    <row r="3">
      <c r="A3" s="96" t="s">
        <v>1481</v>
      </c>
      <c r="B3" s="96" t="s">
        <v>1524</v>
      </c>
      <c r="C3" s="97" t="s">
        <v>1525</v>
      </c>
      <c r="D3" s="98">
        <v>1.0</v>
      </c>
      <c r="E3" s="97" t="s">
        <v>1067</v>
      </c>
      <c r="F3" s="97" t="s">
        <v>1526</v>
      </c>
      <c r="G3" s="99">
        <v>0.007905092592592592</v>
      </c>
    </row>
    <row r="4">
      <c r="A4" s="96" t="s">
        <v>1481</v>
      </c>
      <c r="B4" s="96" t="s">
        <v>1524</v>
      </c>
      <c r="C4" s="97" t="s">
        <v>1525</v>
      </c>
      <c r="D4" s="98">
        <v>1.0</v>
      </c>
      <c r="E4" s="97" t="s">
        <v>1067</v>
      </c>
      <c r="F4" s="97" t="s">
        <v>1527</v>
      </c>
      <c r="G4" s="99">
        <v>0.011319444444444444</v>
      </c>
    </row>
    <row r="5">
      <c r="A5" s="96" t="s">
        <v>1481</v>
      </c>
      <c r="B5" s="96" t="s">
        <v>1524</v>
      </c>
      <c r="C5" s="97" t="s">
        <v>1525</v>
      </c>
      <c r="D5" s="98">
        <v>1.0</v>
      </c>
      <c r="E5" s="97" t="s">
        <v>1067</v>
      </c>
      <c r="F5" s="97" t="s">
        <v>1068</v>
      </c>
      <c r="G5" s="99">
        <v>0.010798611111111111</v>
      </c>
    </row>
    <row r="6">
      <c r="A6" s="96" t="s">
        <v>1481</v>
      </c>
      <c r="B6" s="96" t="s">
        <v>1524</v>
      </c>
      <c r="C6" s="97" t="s">
        <v>1525</v>
      </c>
      <c r="D6" s="98">
        <v>1.0</v>
      </c>
      <c r="E6" s="97" t="s">
        <v>1067</v>
      </c>
      <c r="F6" s="97" t="s">
        <v>1070</v>
      </c>
      <c r="G6" s="99">
        <v>0.009456018518518518</v>
      </c>
    </row>
    <row r="7">
      <c r="A7" s="96" t="s">
        <v>1481</v>
      </c>
      <c r="B7" s="96" t="s">
        <v>1524</v>
      </c>
      <c r="C7" s="97" t="s">
        <v>1525</v>
      </c>
      <c r="D7" s="98">
        <v>1.0</v>
      </c>
      <c r="E7" s="97" t="s">
        <v>1067</v>
      </c>
      <c r="F7" s="97" t="s">
        <v>1072</v>
      </c>
      <c r="G7" s="99">
        <v>0.011087962962962963</v>
      </c>
    </row>
    <row r="8">
      <c r="A8" s="96" t="s">
        <v>1481</v>
      </c>
      <c r="B8" s="96" t="s">
        <v>1524</v>
      </c>
      <c r="C8" s="97" t="s">
        <v>1525</v>
      </c>
      <c r="D8" s="98">
        <v>1.0</v>
      </c>
      <c r="E8" s="97" t="s">
        <v>1067</v>
      </c>
      <c r="F8" s="97" t="s">
        <v>1074</v>
      </c>
      <c r="G8" s="99">
        <v>0.004224537037037037</v>
      </c>
    </row>
    <row r="9">
      <c r="A9" s="96" t="s">
        <v>1481</v>
      </c>
      <c r="B9" s="96" t="s">
        <v>1524</v>
      </c>
      <c r="C9" s="97" t="s">
        <v>1525</v>
      </c>
      <c r="D9" s="98">
        <v>1.0</v>
      </c>
      <c r="E9" s="97" t="s">
        <v>1067</v>
      </c>
      <c r="F9" s="97" t="s">
        <v>1076</v>
      </c>
      <c r="G9" s="99">
        <v>0.007893518518518518</v>
      </c>
    </row>
    <row r="10">
      <c r="A10" s="96" t="s">
        <v>1481</v>
      </c>
      <c r="B10" s="96" t="s">
        <v>1524</v>
      </c>
      <c r="C10" s="97" t="s">
        <v>1525</v>
      </c>
      <c r="D10" s="98">
        <v>1.0</v>
      </c>
      <c r="E10" s="97" t="s">
        <v>1067</v>
      </c>
      <c r="F10" s="97" t="s">
        <v>1528</v>
      </c>
      <c r="G10" s="99">
        <v>0.012256944444444445</v>
      </c>
    </row>
    <row r="11">
      <c r="A11" s="96" t="s">
        <v>1481</v>
      </c>
      <c r="B11" s="96" t="s">
        <v>1524</v>
      </c>
      <c r="C11" s="97" t="s">
        <v>1525</v>
      </c>
      <c r="D11" s="98">
        <v>1.0</v>
      </c>
      <c r="E11" s="97" t="s">
        <v>1067</v>
      </c>
      <c r="F11" s="97" t="s">
        <v>1078</v>
      </c>
      <c r="G11" s="99">
        <v>0.011435185185185185</v>
      </c>
    </row>
    <row r="12">
      <c r="A12" s="96" t="s">
        <v>1481</v>
      </c>
      <c r="B12" s="96" t="s">
        <v>1524</v>
      </c>
      <c r="C12" s="97" t="s">
        <v>1525</v>
      </c>
      <c r="D12" s="98">
        <v>1.0</v>
      </c>
      <c r="E12" s="97" t="s">
        <v>1067</v>
      </c>
      <c r="F12" s="97" t="s">
        <v>1080</v>
      </c>
      <c r="G12" s="99">
        <v>0.01734953703703704</v>
      </c>
    </row>
    <row r="13">
      <c r="A13" s="96" t="s">
        <v>1481</v>
      </c>
      <c r="B13" s="96" t="s">
        <v>1524</v>
      </c>
      <c r="C13" s="97" t="s">
        <v>1525</v>
      </c>
      <c r="D13" s="98">
        <v>1.0</v>
      </c>
      <c r="E13" s="97" t="s">
        <v>1067</v>
      </c>
      <c r="F13" s="97" t="s">
        <v>1082</v>
      </c>
      <c r="G13" s="99">
        <v>0.013668981481481482</v>
      </c>
    </row>
    <row r="14">
      <c r="A14" s="96" t="s">
        <v>1481</v>
      </c>
      <c r="B14" s="96" t="s">
        <v>1524</v>
      </c>
      <c r="C14" s="97" t="s">
        <v>1525</v>
      </c>
      <c r="D14" s="98">
        <v>1.0</v>
      </c>
      <c r="E14" s="97" t="s">
        <v>1067</v>
      </c>
      <c r="F14" s="97" t="s">
        <v>1084</v>
      </c>
      <c r="G14" s="99">
        <v>0.014282407407407407</v>
      </c>
    </row>
    <row r="15">
      <c r="A15" s="96" t="s">
        <v>1481</v>
      </c>
      <c r="B15" s="96" t="s">
        <v>1524</v>
      </c>
      <c r="C15" s="97" t="s">
        <v>1525</v>
      </c>
      <c r="D15" s="98">
        <v>1.0</v>
      </c>
      <c r="E15" s="97" t="s">
        <v>1067</v>
      </c>
      <c r="F15" s="97" t="s">
        <v>1086</v>
      </c>
      <c r="G15" s="99">
        <v>0.009675925925925926</v>
      </c>
    </row>
    <row r="16">
      <c r="A16" s="96" t="s">
        <v>1481</v>
      </c>
      <c r="B16" s="96" t="s">
        <v>1524</v>
      </c>
      <c r="C16" s="97" t="s">
        <v>1525</v>
      </c>
      <c r="D16" s="98">
        <v>1.0</v>
      </c>
      <c r="E16" s="97" t="s">
        <v>1067</v>
      </c>
      <c r="F16" s="97" t="s">
        <v>1088</v>
      </c>
      <c r="G16" s="99">
        <v>0.05555555555555555</v>
      </c>
    </row>
    <row r="17">
      <c r="A17" s="96" t="s">
        <v>1481</v>
      </c>
      <c r="B17" s="96" t="s">
        <v>1524</v>
      </c>
      <c r="C17" s="97" t="s">
        <v>1525</v>
      </c>
      <c r="D17" s="98">
        <v>1.0</v>
      </c>
      <c r="E17" s="97" t="s">
        <v>1067</v>
      </c>
      <c r="F17" s="97" t="s">
        <v>1089</v>
      </c>
      <c r="G17" s="99">
        <v>0.05555555555555555</v>
      </c>
    </row>
    <row r="18">
      <c r="A18" s="96" t="s">
        <v>1481</v>
      </c>
      <c r="B18" s="96" t="s">
        <v>1524</v>
      </c>
      <c r="C18" s="97" t="s">
        <v>1525</v>
      </c>
      <c r="D18" s="98">
        <v>2.0</v>
      </c>
      <c r="E18" s="97" t="s">
        <v>1092</v>
      </c>
      <c r="F18" s="97" t="s">
        <v>1090</v>
      </c>
      <c r="G18" s="99">
        <v>0.015520833333333333</v>
      </c>
    </row>
    <row r="19">
      <c r="A19" s="96" t="s">
        <v>1481</v>
      </c>
      <c r="B19" s="96" t="s">
        <v>1524</v>
      </c>
      <c r="C19" s="97" t="s">
        <v>1525</v>
      </c>
      <c r="D19" s="98">
        <v>2.0</v>
      </c>
      <c r="E19" s="97" t="s">
        <v>1092</v>
      </c>
      <c r="F19" s="97" t="s">
        <v>1093</v>
      </c>
      <c r="G19" s="99">
        <v>0.014756944444444444</v>
      </c>
    </row>
    <row r="20">
      <c r="A20" s="96" t="s">
        <v>1481</v>
      </c>
      <c r="B20" s="96" t="s">
        <v>1524</v>
      </c>
      <c r="C20" s="97" t="s">
        <v>1525</v>
      </c>
      <c r="D20" s="98">
        <v>2.0</v>
      </c>
      <c r="E20" s="97" t="s">
        <v>1092</v>
      </c>
      <c r="F20" s="97" t="s">
        <v>1095</v>
      </c>
      <c r="G20" s="99">
        <v>0.011516203703703704</v>
      </c>
    </row>
    <row r="21">
      <c r="A21" s="96" t="s">
        <v>1481</v>
      </c>
      <c r="B21" s="96" t="s">
        <v>1524</v>
      </c>
      <c r="C21" s="97" t="s">
        <v>1525</v>
      </c>
      <c r="D21" s="98">
        <v>2.0</v>
      </c>
      <c r="E21" s="97" t="s">
        <v>1092</v>
      </c>
      <c r="F21" s="97" t="s">
        <v>1097</v>
      </c>
      <c r="G21" s="99">
        <v>0.01628472222222222</v>
      </c>
    </row>
    <row r="22">
      <c r="A22" s="96" t="s">
        <v>1481</v>
      </c>
      <c r="B22" s="96" t="s">
        <v>1524</v>
      </c>
      <c r="C22" s="97" t="s">
        <v>1525</v>
      </c>
      <c r="D22" s="98">
        <v>2.0</v>
      </c>
      <c r="E22" s="97" t="s">
        <v>1092</v>
      </c>
      <c r="F22" s="97" t="s">
        <v>1099</v>
      </c>
      <c r="G22" s="99">
        <v>0.01119212962962963</v>
      </c>
    </row>
    <row r="23">
      <c r="A23" s="96" t="s">
        <v>1481</v>
      </c>
      <c r="B23" s="96" t="s">
        <v>1524</v>
      </c>
      <c r="C23" s="97" t="s">
        <v>1525</v>
      </c>
      <c r="D23" s="98">
        <v>2.0</v>
      </c>
      <c r="E23" s="97" t="s">
        <v>1092</v>
      </c>
      <c r="F23" s="97" t="s">
        <v>1529</v>
      </c>
      <c r="G23" s="99">
        <v>0.013518518518518518</v>
      </c>
    </row>
    <row r="24">
      <c r="A24" s="96" t="s">
        <v>1481</v>
      </c>
      <c r="B24" s="96" t="s">
        <v>1524</v>
      </c>
      <c r="C24" s="97" t="s">
        <v>1525</v>
      </c>
      <c r="D24" s="98">
        <v>2.0</v>
      </c>
      <c r="E24" s="97" t="s">
        <v>1092</v>
      </c>
      <c r="F24" s="97" t="s">
        <v>1101</v>
      </c>
      <c r="G24" s="99">
        <v>0.010914351851851852</v>
      </c>
    </row>
    <row r="25">
      <c r="A25" s="96" t="s">
        <v>1481</v>
      </c>
      <c r="B25" s="96" t="s">
        <v>1524</v>
      </c>
      <c r="C25" s="97" t="s">
        <v>1525</v>
      </c>
      <c r="D25" s="98">
        <v>2.0</v>
      </c>
      <c r="E25" s="97" t="s">
        <v>1092</v>
      </c>
      <c r="F25" s="97" t="s">
        <v>1103</v>
      </c>
      <c r="G25" s="99">
        <v>0.011122685185185185</v>
      </c>
    </row>
    <row r="26">
      <c r="A26" s="96" t="s">
        <v>1481</v>
      </c>
      <c r="B26" s="96" t="s">
        <v>1524</v>
      </c>
      <c r="C26" s="97" t="s">
        <v>1525</v>
      </c>
      <c r="D26" s="98">
        <v>2.0</v>
      </c>
      <c r="E26" s="97" t="s">
        <v>1092</v>
      </c>
      <c r="F26" s="97" t="s">
        <v>1105</v>
      </c>
      <c r="G26" s="99">
        <v>0.016412037037037037</v>
      </c>
    </row>
    <row r="27">
      <c r="A27" s="96" t="s">
        <v>1481</v>
      </c>
      <c r="B27" s="96" t="s">
        <v>1524</v>
      </c>
      <c r="C27" s="97" t="s">
        <v>1525</v>
      </c>
      <c r="D27" s="98">
        <v>2.0</v>
      </c>
      <c r="E27" s="97" t="s">
        <v>1092</v>
      </c>
      <c r="F27" s="97" t="s">
        <v>1107</v>
      </c>
      <c r="G27" s="99">
        <v>0.011087962962962963</v>
      </c>
    </row>
    <row r="28">
      <c r="A28" s="96" t="s">
        <v>1481</v>
      </c>
      <c r="B28" s="96" t="s">
        <v>1524</v>
      </c>
      <c r="C28" s="97" t="s">
        <v>1525</v>
      </c>
      <c r="D28" s="98">
        <v>2.0</v>
      </c>
      <c r="E28" s="97" t="s">
        <v>1092</v>
      </c>
      <c r="F28" s="97" t="s">
        <v>1109</v>
      </c>
      <c r="G28" s="99">
        <v>0.041666666666666664</v>
      </c>
    </row>
    <row r="29">
      <c r="A29" s="96" t="s">
        <v>1481</v>
      </c>
      <c r="B29" s="96" t="s">
        <v>1524</v>
      </c>
      <c r="C29" s="97" t="s">
        <v>1525</v>
      </c>
      <c r="D29" s="98">
        <v>2.0</v>
      </c>
      <c r="E29" s="97" t="s">
        <v>1092</v>
      </c>
      <c r="F29" s="97" t="s">
        <v>1110</v>
      </c>
      <c r="G29" s="99">
        <v>0.05555555555555555</v>
      </c>
    </row>
    <row r="30">
      <c r="A30" s="96" t="s">
        <v>1481</v>
      </c>
      <c r="B30" s="96" t="s">
        <v>1524</v>
      </c>
      <c r="C30" s="97" t="s">
        <v>1530</v>
      </c>
      <c r="D30" s="98">
        <v>1.0</v>
      </c>
      <c r="E30" s="97" t="s">
        <v>1113</v>
      </c>
      <c r="F30" s="97" t="s">
        <v>1531</v>
      </c>
      <c r="G30" s="99">
        <v>0.018287037037037036</v>
      </c>
    </row>
    <row r="31">
      <c r="A31" s="96" t="s">
        <v>1481</v>
      </c>
      <c r="B31" s="96" t="s">
        <v>1524</v>
      </c>
      <c r="C31" s="97" t="s">
        <v>1530</v>
      </c>
      <c r="D31" s="98">
        <v>1.0</v>
      </c>
      <c r="E31" s="97" t="s">
        <v>1113</v>
      </c>
      <c r="F31" s="97" t="s">
        <v>1111</v>
      </c>
      <c r="G31" s="99">
        <v>0.010636574074074074</v>
      </c>
    </row>
    <row r="32">
      <c r="A32" s="96" t="s">
        <v>1481</v>
      </c>
      <c r="B32" s="96" t="s">
        <v>1524</v>
      </c>
      <c r="C32" s="97" t="s">
        <v>1530</v>
      </c>
      <c r="D32" s="98">
        <v>1.0</v>
      </c>
      <c r="E32" s="97" t="s">
        <v>1113</v>
      </c>
      <c r="F32" s="97" t="s">
        <v>1114</v>
      </c>
      <c r="G32" s="99">
        <v>0.014108796296296296</v>
      </c>
    </row>
    <row r="33">
      <c r="A33" s="96" t="s">
        <v>1481</v>
      </c>
      <c r="B33" s="96" t="s">
        <v>1524</v>
      </c>
      <c r="C33" s="97" t="s">
        <v>1530</v>
      </c>
      <c r="D33" s="98">
        <v>1.0</v>
      </c>
      <c r="E33" s="97" t="s">
        <v>1113</v>
      </c>
      <c r="F33" s="97" t="s">
        <v>1116</v>
      </c>
      <c r="G33" s="99">
        <v>0.041666666666666664</v>
      </c>
    </row>
    <row r="34">
      <c r="A34" s="96" t="s">
        <v>1481</v>
      </c>
      <c r="B34" s="96" t="s">
        <v>1524</v>
      </c>
      <c r="C34" s="97" t="s">
        <v>1530</v>
      </c>
      <c r="D34" s="98">
        <v>2.0</v>
      </c>
      <c r="E34" s="97" t="s">
        <v>1119</v>
      </c>
      <c r="F34" s="97" t="s">
        <v>1117</v>
      </c>
      <c r="G34" s="99">
        <v>0.01670138888888889</v>
      </c>
    </row>
    <row r="35">
      <c r="A35" s="96" t="s">
        <v>1481</v>
      </c>
      <c r="B35" s="96" t="s">
        <v>1524</v>
      </c>
      <c r="C35" s="97" t="s">
        <v>1530</v>
      </c>
      <c r="D35" s="98">
        <v>2.0</v>
      </c>
      <c r="E35" s="97" t="s">
        <v>1119</v>
      </c>
      <c r="F35" s="97" t="s">
        <v>1120</v>
      </c>
      <c r="G35" s="99">
        <v>0.012268518518518519</v>
      </c>
    </row>
    <row r="36">
      <c r="A36" s="96" t="s">
        <v>1481</v>
      </c>
      <c r="B36" s="96" t="s">
        <v>1524</v>
      </c>
      <c r="C36" s="97" t="s">
        <v>1530</v>
      </c>
      <c r="D36" s="98">
        <v>2.0</v>
      </c>
      <c r="E36" s="97" t="s">
        <v>1119</v>
      </c>
      <c r="F36" s="97" t="s">
        <v>1122</v>
      </c>
      <c r="G36" s="99">
        <v>0.00974537037037037</v>
      </c>
    </row>
    <row r="37">
      <c r="A37" s="96" t="s">
        <v>1481</v>
      </c>
      <c r="B37" s="96" t="s">
        <v>1524</v>
      </c>
      <c r="C37" s="97" t="s">
        <v>1530</v>
      </c>
      <c r="D37" s="98">
        <v>2.0</v>
      </c>
      <c r="E37" s="97" t="s">
        <v>1119</v>
      </c>
      <c r="F37" s="97" t="s">
        <v>1124</v>
      </c>
      <c r="G37" s="99">
        <v>0.006724537037037037</v>
      </c>
    </row>
    <row r="38">
      <c r="A38" s="96" t="s">
        <v>1481</v>
      </c>
      <c r="B38" s="96" t="s">
        <v>1524</v>
      </c>
      <c r="C38" s="97" t="s">
        <v>1530</v>
      </c>
      <c r="D38" s="98">
        <v>2.0</v>
      </c>
      <c r="E38" s="97" t="s">
        <v>1119</v>
      </c>
      <c r="F38" s="97" t="s">
        <v>1126</v>
      </c>
      <c r="G38" s="99">
        <v>0.010844907407407407</v>
      </c>
    </row>
    <row r="39">
      <c r="A39" s="96" t="s">
        <v>1481</v>
      </c>
      <c r="B39" s="96" t="s">
        <v>1524</v>
      </c>
      <c r="C39" s="97" t="s">
        <v>1530</v>
      </c>
      <c r="D39" s="98">
        <v>2.0</v>
      </c>
      <c r="E39" s="97" t="s">
        <v>1119</v>
      </c>
      <c r="F39" s="97" t="s">
        <v>1128</v>
      </c>
      <c r="G39" s="99">
        <v>0.007997685185185186</v>
      </c>
    </row>
    <row r="40">
      <c r="A40" s="96" t="s">
        <v>1481</v>
      </c>
      <c r="B40" s="96" t="s">
        <v>1524</v>
      </c>
      <c r="C40" s="97" t="s">
        <v>1530</v>
      </c>
      <c r="D40" s="98">
        <v>2.0</v>
      </c>
      <c r="E40" s="97" t="s">
        <v>1119</v>
      </c>
      <c r="F40" s="97" t="s">
        <v>1532</v>
      </c>
      <c r="G40" s="99">
        <v>0.041666666666666664</v>
      </c>
    </row>
    <row r="41">
      <c r="A41" s="96" t="s">
        <v>1481</v>
      </c>
      <c r="B41" s="96" t="s">
        <v>1524</v>
      </c>
      <c r="C41" s="97" t="s">
        <v>1533</v>
      </c>
      <c r="D41" s="98">
        <v>1.0</v>
      </c>
      <c r="E41" s="97" t="s">
        <v>1131</v>
      </c>
      <c r="F41" s="97" t="s">
        <v>1130</v>
      </c>
      <c r="G41" s="99">
        <v>0.012673611111111111</v>
      </c>
    </row>
    <row r="42">
      <c r="A42" s="96" t="s">
        <v>1481</v>
      </c>
      <c r="B42" s="96" t="s">
        <v>1524</v>
      </c>
      <c r="C42" s="97" t="s">
        <v>1533</v>
      </c>
      <c r="D42" s="98">
        <v>1.0</v>
      </c>
      <c r="E42" s="97" t="s">
        <v>1131</v>
      </c>
      <c r="F42" s="97" t="s">
        <v>1132</v>
      </c>
      <c r="G42" s="99">
        <v>0.013530092592592592</v>
      </c>
    </row>
    <row r="43">
      <c r="A43" s="96" t="s">
        <v>1481</v>
      </c>
      <c r="B43" s="96" t="s">
        <v>1524</v>
      </c>
      <c r="C43" s="97" t="s">
        <v>1533</v>
      </c>
      <c r="D43" s="98">
        <v>1.0</v>
      </c>
      <c r="E43" s="97" t="s">
        <v>1131</v>
      </c>
      <c r="F43" s="97" t="s">
        <v>1133</v>
      </c>
      <c r="G43" s="99">
        <v>0.008101851851851851</v>
      </c>
    </row>
    <row r="44">
      <c r="A44" s="96" t="s">
        <v>1481</v>
      </c>
      <c r="B44" s="96" t="s">
        <v>1524</v>
      </c>
      <c r="C44" s="97" t="s">
        <v>1533</v>
      </c>
      <c r="D44" s="98">
        <v>1.0</v>
      </c>
      <c r="E44" s="97" t="s">
        <v>1131</v>
      </c>
      <c r="F44" s="97" t="s">
        <v>1534</v>
      </c>
      <c r="G44" s="99">
        <v>0.006666666666666667</v>
      </c>
    </row>
    <row r="45">
      <c r="A45" s="96" t="s">
        <v>1481</v>
      </c>
      <c r="B45" s="96" t="s">
        <v>1524</v>
      </c>
      <c r="C45" s="97" t="s">
        <v>1533</v>
      </c>
      <c r="D45" s="98">
        <v>1.0</v>
      </c>
      <c r="E45" s="97" t="s">
        <v>1131</v>
      </c>
      <c r="F45" s="97" t="s">
        <v>1134</v>
      </c>
      <c r="G45" s="99">
        <v>0.017025462962962964</v>
      </c>
    </row>
    <row r="46">
      <c r="A46" s="96" t="s">
        <v>1481</v>
      </c>
      <c r="B46" s="96" t="s">
        <v>1524</v>
      </c>
      <c r="C46" s="97" t="s">
        <v>1533</v>
      </c>
      <c r="D46" s="98">
        <v>1.0</v>
      </c>
      <c r="E46" s="97" t="s">
        <v>1131</v>
      </c>
      <c r="F46" s="97" t="s">
        <v>1135</v>
      </c>
      <c r="G46" s="99">
        <v>0.021782407407407407</v>
      </c>
    </row>
    <row r="47">
      <c r="A47" s="96" t="s">
        <v>1481</v>
      </c>
      <c r="B47" s="96" t="s">
        <v>1524</v>
      </c>
      <c r="C47" s="97" t="s">
        <v>1533</v>
      </c>
      <c r="D47" s="98">
        <v>2.0</v>
      </c>
      <c r="E47" s="97" t="s">
        <v>1137</v>
      </c>
      <c r="F47" s="97" t="s">
        <v>1136</v>
      </c>
      <c r="G47" s="99">
        <v>0.013738425925925926</v>
      </c>
    </row>
    <row r="48">
      <c r="A48" s="96" t="s">
        <v>1481</v>
      </c>
      <c r="B48" s="96" t="s">
        <v>1524</v>
      </c>
      <c r="C48" s="97" t="s">
        <v>1533</v>
      </c>
      <c r="D48" s="98">
        <v>2.0</v>
      </c>
      <c r="E48" s="97" t="s">
        <v>1137</v>
      </c>
      <c r="F48" s="97" t="s">
        <v>1138</v>
      </c>
      <c r="G48" s="99">
        <v>0.009363425925925926</v>
      </c>
    </row>
    <row r="49">
      <c r="A49" s="96" t="s">
        <v>1481</v>
      </c>
      <c r="B49" s="96" t="s">
        <v>1524</v>
      </c>
      <c r="C49" s="97" t="s">
        <v>1533</v>
      </c>
      <c r="D49" s="98">
        <v>2.0</v>
      </c>
      <c r="E49" s="97" t="s">
        <v>1137</v>
      </c>
      <c r="F49" s="97" t="s">
        <v>1139</v>
      </c>
      <c r="G49" s="99">
        <v>0.00931712962962963</v>
      </c>
    </row>
    <row r="50">
      <c r="A50" s="96" t="s">
        <v>1481</v>
      </c>
      <c r="B50" s="96" t="s">
        <v>1524</v>
      </c>
      <c r="C50" s="97" t="s">
        <v>1533</v>
      </c>
      <c r="D50" s="98">
        <v>2.0</v>
      </c>
      <c r="E50" s="97" t="s">
        <v>1137</v>
      </c>
      <c r="F50" s="97" t="s">
        <v>1140</v>
      </c>
      <c r="G50" s="99">
        <v>0.01392361111111111</v>
      </c>
    </row>
    <row r="51">
      <c r="A51" s="96" t="s">
        <v>1481</v>
      </c>
      <c r="B51" s="96" t="s">
        <v>1524</v>
      </c>
      <c r="C51" s="97" t="s">
        <v>1533</v>
      </c>
      <c r="D51" s="98">
        <v>2.0</v>
      </c>
      <c r="E51" s="97" t="s">
        <v>1137</v>
      </c>
      <c r="F51" s="97" t="s">
        <v>1019</v>
      </c>
      <c r="G51" s="99">
        <v>0.015752314814814816</v>
      </c>
    </row>
    <row r="52">
      <c r="A52" s="96" t="s">
        <v>1481</v>
      </c>
      <c r="B52" s="96" t="s">
        <v>1524</v>
      </c>
      <c r="C52" s="97" t="s">
        <v>1533</v>
      </c>
      <c r="D52" s="98">
        <v>2.0</v>
      </c>
      <c r="E52" s="97" t="s">
        <v>1137</v>
      </c>
      <c r="F52" s="97" t="s">
        <v>1141</v>
      </c>
      <c r="G52" s="99">
        <v>0.019479166666666665</v>
      </c>
    </row>
    <row r="53">
      <c r="A53" s="96" t="s">
        <v>1481</v>
      </c>
      <c r="B53" s="96" t="s">
        <v>1524</v>
      </c>
      <c r="C53" s="97" t="s">
        <v>1533</v>
      </c>
      <c r="D53" s="98">
        <v>3.0</v>
      </c>
      <c r="E53" s="97" t="s">
        <v>1143</v>
      </c>
      <c r="F53" s="97" t="s">
        <v>1142</v>
      </c>
      <c r="G53" s="99">
        <v>0.00849537037037037</v>
      </c>
    </row>
    <row r="54">
      <c r="A54" s="96" t="s">
        <v>1481</v>
      </c>
      <c r="B54" s="96" t="s">
        <v>1524</v>
      </c>
      <c r="C54" s="97" t="s">
        <v>1533</v>
      </c>
      <c r="D54" s="98">
        <v>3.0</v>
      </c>
      <c r="E54" s="97" t="s">
        <v>1143</v>
      </c>
      <c r="F54" s="97" t="s">
        <v>1535</v>
      </c>
      <c r="G54" s="99">
        <v>0.013159722222222222</v>
      </c>
    </row>
    <row r="55">
      <c r="A55" s="96" t="s">
        <v>1481</v>
      </c>
      <c r="B55" s="96" t="s">
        <v>1524</v>
      </c>
      <c r="C55" s="97" t="s">
        <v>1533</v>
      </c>
      <c r="D55" s="98">
        <v>3.0</v>
      </c>
      <c r="E55" s="97" t="s">
        <v>1143</v>
      </c>
      <c r="F55" s="97" t="s">
        <v>1022</v>
      </c>
      <c r="G55" s="99">
        <v>0.012256944444444445</v>
      </c>
    </row>
    <row r="56">
      <c r="A56" s="96" t="s">
        <v>1481</v>
      </c>
      <c r="B56" s="96" t="s">
        <v>1524</v>
      </c>
      <c r="C56" s="97" t="s">
        <v>1533</v>
      </c>
      <c r="D56" s="98">
        <v>3.0</v>
      </c>
      <c r="E56" s="97" t="s">
        <v>1143</v>
      </c>
      <c r="F56" s="97" t="s">
        <v>1536</v>
      </c>
      <c r="G56" s="99">
        <v>0.01173611111111111</v>
      </c>
    </row>
    <row r="57">
      <c r="A57" s="96" t="s">
        <v>1481</v>
      </c>
      <c r="B57" s="96" t="s">
        <v>1524</v>
      </c>
      <c r="C57" s="97" t="s">
        <v>1533</v>
      </c>
      <c r="D57" s="98">
        <v>3.0</v>
      </c>
      <c r="E57" s="97" t="s">
        <v>1143</v>
      </c>
      <c r="F57" s="97" t="s">
        <v>1537</v>
      </c>
      <c r="G57" s="99">
        <v>0.01494212962962963</v>
      </c>
    </row>
    <row r="58">
      <c r="A58" s="96" t="s">
        <v>1481</v>
      </c>
      <c r="B58" s="96" t="s">
        <v>1524</v>
      </c>
      <c r="C58" s="97" t="s">
        <v>1533</v>
      </c>
      <c r="D58" s="98">
        <v>4.0</v>
      </c>
      <c r="E58" s="97" t="s">
        <v>1035</v>
      </c>
      <c r="F58" s="97" t="s">
        <v>1033</v>
      </c>
      <c r="G58" s="99">
        <v>0.014016203703703704</v>
      </c>
    </row>
    <row r="59">
      <c r="A59" s="96" t="s">
        <v>1481</v>
      </c>
      <c r="B59" s="96" t="s">
        <v>1524</v>
      </c>
      <c r="C59" s="97" t="s">
        <v>1533</v>
      </c>
      <c r="D59" s="98">
        <v>4.0</v>
      </c>
      <c r="E59" s="97" t="s">
        <v>1035</v>
      </c>
      <c r="F59" s="97" t="s">
        <v>1144</v>
      </c>
      <c r="G59" s="99">
        <v>0.011539351851851851</v>
      </c>
    </row>
    <row r="60">
      <c r="A60" s="96" t="s">
        <v>1481</v>
      </c>
      <c r="B60" s="96" t="s">
        <v>1524</v>
      </c>
      <c r="C60" s="97" t="s">
        <v>1533</v>
      </c>
      <c r="D60" s="98">
        <v>4.0</v>
      </c>
      <c r="E60" s="97" t="s">
        <v>1035</v>
      </c>
      <c r="F60" s="97" t="s">
        <v>1538</v>
      </c>
      <c r="G60" s="99">
        <v>0.02761574074074074</v>
      </c>
    </row>
    <row r="61">
      <c r="A61" s="96" t="s">
        <v>1481</v>
      </c>
      <c r="B61" s="96" t="s">
        <v>1524</v>
      </c>
      <c r="C61" s="97" t="s">
        <v>1533</v>
      </c>
      <c r="D61" s="98">
        <v>4.0</v>
      </c>
      <c r="E61" s="97" t="s">
        <v>1035</v>
      </c>
      <c r="F61" s="97" t="s">
        <v>1145</v>
      </c>
      <c r="G61" s="99">
        <v>0.012847222222222222</v>
      </c>
    </row>
    <row r="62">
      <c r="A62" s="96" t="s">
        <v>1481</v>
      </c>
      <c r="B62" s="96" t="s">
        <v>1524</v>
      </c>
      <c r="C62" s="97" t="s">
        <v>1533</v>
      </c>
      <c r="D62" s="98">
        <v>4.0</v>
      </c>
      <c r="E62" s="97" t="s">
        <v>1035</v>
      </c>
      <c r="F62" s="97" t="s">
        <v>1146</v>
      </c>
      <c r="G62" s="99">
        <v>0.010949074074074075</v>
      </c>
    </row>
    <row r="63">
      <c r="A63" s="96" t="s">
        <v>1481</v>
      </c>
      <c r="B63" s="96" t="s">
        <v>1524</v>
      </c>
      <c r="C63" s="97" t="s">
        <v>1533</v>
      </c>
      <c r="D63" s="98">
        <v>4.0</v>
      </c>
      <c r="E63" s="97" t="s">
        <v>1035</v>
      </c>
      <c r="F63" s="97" t="s">
        <v>1147</v>
      </c>
      <c r="G63" s="99">
        <v>0.01885416666666667</v>
      </c>
    </row>
    <row r="64">
      <c r="A64" s="96" t="s">
        <v>1481</v>
      </c>
      <c r="B64" s="96" t="s">
        <v>1524</v>
      </c>
      <c r="C64" s="97" t="s">
        <v>1533</v>
      </c>
      <c r="D64" s="98">
        <v>4.0</v>
      </c>
      <c r="E64" s="97" t="s">
        <v>1035</v>
      </c>
      <c r="F64" s="97" t="s">
        <v>1539</v>
      </c>
      <c r="G64" s="99">
        <v>0.05555555555555555</v>
      </c>
    </row>
    <row r="65">
      <c r="A65" s="96" t="s">
        <v>1481</v>
      </c>
      <c r="B65" s="96" t="s">
        <v>1524</v>
      </c>
      <c r="C65" s="97" t="s">
        <v>1533</v>
      </c>
      <c r="D65" s="98">
        <v>5.0</v>
      </c>
      <c r="E65" s="97" t="s">
        <v>1046</v>
      </c>
      <c r="F65" s="97" t="s">
        <v>1044</v>
      </c>
      <c r="G65" s="99">
        <v>0.013900462962962963</v>
      </c>
    </row>
    <row r="66">
      <c r="A66" s="96" t="s">
        <v>1481</v>
      </c>
      <c r="B66" s="96" t="s">
        <v>1524</v>
      </c>
      <c r="C66" s="97" t="s">
        <v>1533</v>
      </c>
      <c r="D66" s="98">
        <v>5.0</v>
      </c>
      <c r="E66" s="97" t="s">
        <v>1046</v>
      </c>
      <c r="F66" s="97" t="s">
        <v>1148</v>
      </c>
      <c r="G66" s="99">
        <v>0.005405092592592592</v>
      </c>
    </row>
    <row r="67">
      <c r="A67" s="96" t="s">
        <v>1481</v>
      </c>
      <c r="B67" s="96" t="s">
        <v>1524</v>
      </c>
      <c r="C67" s="97" t="s">
        <v>1533</v>
      </c>
      <c r="D67" s="98">
        <v>5.0</v>
      </c>
      <c r="E67" s="97" t="s">
        <v>1046</v>
      </c>
      <c r="F67" s="97" t="s">
        <v>1540</v>
      </c>
      <c r="G67" s="99">
        <v>0.01568287037037037</v>
      </c>
    </row>
    <row r="68">
      <c r="A68" s="96" t="s">
        <v>1481</v>
      </c>
      <c r="B68" s="96" t="s">
        <v>1524</v>
      </c>
      <c r="C68" s="97" t="s">
        <v>1533</v>
      </c>
      <c r="D68" s="98">
        <v>5.0</v>
      </c>
      <c r="E68" s="97" t="s">
        <v>1046</v>
      </c>
      <c r="F68" s="97" t="s">
        <v>1149</v>
      </c>
      <c r="G68" s="99">
        <v>0.00542824074074074</v>
      </c>
    </row>
    <row r="69">
      <c r="A69" s="96" t="s">
        <v>1481</v>
      </c>
      <c r="B69" s="96" t="s">
        <v>1524</v>
      </c>
      <c r="C69" s="97" t="s">
        <v>1533</v>
      </c>
      <c r="D69" s="98">
        <v>5.0</v>
      </c>
      <c r="E69" s="97" t="s">
        <v>1046</v>
      </c>
      <c r="F69" s="97" t="s">
        <v>1150</v>
      </c>
      <c r="G69" s="99">
        <v>0.02771990740740741</v>
      </c>
    </row>
    <row r="70">
      <c r="A70" s="96" t="s">
        <v>1481</v>
      </c>
      <c r="B70" s="96" t="s">
        <v>1524</v>
      </c>
      <c r="C70" s="97" t="s">
        <v>1533</v>
      </c>
      <c r="D70" s="98">
        <v>5.0</v>
      </c>
      <c r="E70" s="97" t="s">
        <v>1046</v>
      </c>
      <c r="F70" s="97" t="s">
        <v>1151</v>
      </c>
      <c r="G70" s="99">
        <v>0.01545138888888889</v>
      </c>
    </row>
    <row r="71">
      <c r="A71" s="96" t="s">
        <v>1481</v>
      </c>
      <c r="B71" s="96" t="s">
        <v>1524</v>
      </c>
      <c r="C71" s="97" t="s">
        <v>1533</v>
      </c>
      <c r="D71" s="98">
        <v>5.0</v>
      </c>
      <c r="E71" s="97" t="s">
        <v>1046</v>
      </c>
      <c r="F71" s="97" t="s">
        <v>1152</v>
      </c>
      <c r="G71" s="99">
        <v>0.012233796296296296</v>
      </c>
    </row>
    <row r="72">
      <c r="A72" s="96" t="s">
        <v>1481</v>
      </c>
      <c r="B72" s="96" t="s">
        <v>1524</v>
      </c>
      <c r="C72" s="97" t="s">
        <v>1533</v>
      </c>
      <c r="D72" s="98">
        <v>5.0</v>
      </c>
      <c r="E72" s="97" t="s">
        <v>1046</v>
      </c>
      <c r="F72" s="97" t="s">
        <v>1153</v>
      </c>
      <c r="G72" s="99">
        <v>0.013541666666666667</v>
      </c>
    </row>
    <row r="73">
      <c r="A73" s="96" t="s">
        <v>1481</v>
      </c>
      <c r="B73" s="96" t="s">
        <v>1524</v>
      </c>
      <c r="C73" s="97" t="s">
        <v>1533</v>
      </c>
      <c r="D73" s="98">
        <v>5.0</v>
      </c>
      <c r="E73" s="97" t="s">
        <v>1046</v>
      </c>
      <c r="F73" s="97" t="s">
        <v>1154</v>
      </c>
      <c r="G73" s="99">
        <v>0.015324074074074073</v>
      </c>
    </row>
    <row r="74">
      <c r="A74" s="96" t="s">
        <v>1481</v>
      </c>
      <c r="B74" s="96" t="s">
        <v>1524</v>
      </c>
      <c r="C74" s="97" t="s">
        <v>1533</v>
      </c>
      <c r="D74" s="98">
        <v>5.0</v>
      </c>
      <c r="E74" s="97" t="s">
        <v>1046</v>
      </c>
      <c r="F74" s="97" t="s">
        <v>1155</v>
      </c>
      <c r="G74" s="99">
        <v>0.05555555555555555</v>
      </c>
    </row>
    <row r="75">
      <c r="A75" s="96" t="s">
        <v>1481</v>
      </c>
      <c r="B75" s="96" t="s">
        <v>1524</v>
      </c>
      <c r="C75" s="97" t="s">
        <v>1533</v>
      </c>
      <c r="D75" s="98">
        <v>6.0</v>
      </c>
      <c r="E75" s="97" t="s">
        <v>1157</v>
      </c>
      <c r="F75" s="97" t="s">
        <v>1541</v>
      </c>
      <c r="G75" s="99">
        <v>0.019097222222222224</v>
      </c>
    </row>
    <row r="76">
      <c r="A76" s="96" t="s">
        <v>1481</v>
      </c>
      <c r="B76" s="96" t="s">
        <v>1524</v>
      </c>
      <c r="C76" s="97" t="s">
        <v>1533</v>
      </c>
      <c r="D76" s="98">
        <v>6.0</v>
      </c>
      <c r="E76" s="97" t="s">
        <v>1157</v>
      </c>
      <c r="F76" s="97" t="s">
        <v>1156</v>
      </c>
      <c r="G76" s="99">
        <v>0.021608796296296296</v>
      </c>
    </row>
    <row r="77">
      <c r="A77" s="96" t="s">
        <v>1481</v>
      </c>
      <c r="B77" s="96" t="s">
        <v>1524</v>
      </c>
      <c r="C77" s="97" t="s">
        <v>1533</v>
      </c>
      <c r="D77" s="98">
        <v>6.0</v>
      </c>
      <c r="E77" s="97" t="s">
        <v>1157</v>
      </c>
      <c r="F77" s="97" t="s">
        <v>1158</v>
      </c>
      <c r="G77" s="99">
        <v>0.019837962962962963</v>
      </c>
    </row>
    <row r="78">
      <c r="A78" s="96" t="s">
        <v>1481</v>
      </c>
      <c r="B78" s="96" t="s">
        <v>1524</v>
      </c>
      <c r="C78" s="97" t="s">
        <v>1533</v>
      </c>
      <c r="D78" s="98">
        <v>6.0</v>
      </c>
      <c r="E78" s="97" t="s">
        <v>1157</v>
      </c>
      <c r="F78" s="97" t="s">
        <v>1159</v>
      </c>
      <c r="G78" s="99">
        <v>0.017106481481481483</v>
      </c>
    </row>
    <row r="79">
      <c r="A79" s="96" t="s">
        <v>1481</v>
      </c>
      <c r="B79" s="96" t="s">
        <v>1524</v>
      </c>
      <c r="C79" s="97" t="s">
        <v>1533</v>
      </c>
      <c r="D79" s="98">
        <v>6.0</v>
      </c>
      <c r="E79" s="97" t="s">
        <v>1157</v>
      </c>
      <c r="F79" s="97" t="s">
        <v>1160</v>
      </c>
      <c r="G79" s="99">
        <v>0.023541666666666666</v>
      </c>
    </row>
    <row r="80">
      <c r="A80" s="96" t="s">
        <v>1481</v>
      </c>
      <c r="B80" s="96" t="s">
        <v>1524</v>
      </c>
      <c r="C80" s="97" t="s">
        <v>1533</v>
      </c>
      <c r="D80" s="98">
        <v>6.0</v>
      </c>
      <c r="E80" s="97" t="s">
        <v>1157</v>
      </c>
      <c r="F80" s="97" t="s">
        <v>1161</v>
      </c>
      <c r="G80" s="99">
        <v>0.016840277777777777</v>
      </c>
    </row>
    <row r="81">
      <c r="A81" s="96" t="s">
        <v>1481</v>
      </c>
      <c r="B81" s="96" t="s">
        <v>1524</v>
      </c>
      <c r="C81" s="97" t="s">
        <v>1533</v>
      </c>
      <c r="D81" s="98">
        <v>6.0</v>
      </c>
      <c r="E81" s="97" t="s">
        <v>1157</v>
      </c>
      <c r="F81" s="97" t="s">
        <v>1542</v>
      </c>
      <c r="G81" s="99">
        <v>0.018425925925925925</v>
      </c>
    </row>
    <row r="82">
      <c r="A82" s="96" t="s">
        <v>1481</v>
      </c>
      <c r="B82" s="96" t="s">
        <v>1524</v>
      </c>
      <c r="C82" s="97" t="s">
        <v>1533</v>
      </c>
      <c r="D82" s="98">
        <v>6.0</v>
      </c>
      <c r="E82" s="97" t="s">
        <v>1157</v>
      </c>
      <c r="F82" s="97" t="s">
        <v>1162</v>
      </c>
      <c r="G82" s="99">
        <v>0.016493055555555556</v>
      </c>
    </row>
    <row r="83">
      <c r="A83" s="96" t="s">
        <v>1481</v>
      </c>
      <c r="B83" s="96" t="s">
        <v>1524</v>
      </c>
      <c r="C83" s="97" t="s">
        <v>1533</v>
      </c>
      <c r="D83" s="98">
        <v>6.0</v>
      </c>
      <c r="E83" s="97" t="s">
        <v>1157</v>
      </c>
      <c r="F83" s="97" t="s">
        <v>1163</v>
      </c>
      <c r="G83" s="99">
        <v>0.05555555555555555</v>
      </c>
    </row>
    <row r="84">
      <c r="A84" s="96" t="s">
        <v>1481</v>
      </c>
      <c r="B84" s="96" t="s">
        <v>1524</v>
      </c>
      <c r="C84" s="97" t="s">
        <v>1533</v>
      </c>
      <c r="D84" s="98">
        <v>7.0</v>
      </c>
      <c r="E84" s="97" t="s">
        <v>1165</v>
      </c>
      <c r="F84" s="97" t="s">
        <v>1164</v>
      </c>
      <c r="G84" s="99">
        <v>0.017222222222222222</v>
      </c>
    </row>
    <row r="85">
      <c r="A85" s="96" t="s">
        <v>1481</v>
      </c>
      <c r="B85" s="96" t="s">
        <v>1524</v>
      </c>
      <c r="C85" s="97" t="s">
        <v>1533</v>
      </c>
      <c r="D85" s="98">
        <v>7.0</v>
      </c>
      <c r="E85" s="97" t="s">
        <v>1165</v>
      </c>
      <c r="F85" s="97" t="s">
        <v>1166</v>
      </c>
      <c r="G85" s="99">
        <v>0.015439814814814814</v>
      </c>
    </row>
    <row r="86">
      <c r="A86" s="96" t="s">
        <v>1481</v>
      </c>
      <c r="B86" s="96" t="s">
        <v>1524</v>
      </c>
      <c r="C86" s="97" t="s">
        <v>1543</v>
      </c>
      <c r="D86" s="98">
        <v>1.0</v>
      </c>
      <c r="E86" s="97" t="s">
        <v>1168</v>
      </c>
      <c r="F86" s="97" t="s">
        <v>1167</v>
      </c>
      <c r="G86" s="99">
        <v>0.015636574074074074</v>
      </c>
    </row>
    <row r="87">
      <c r="A87" s="96" t="s">
        <v>1481</v>
      </c>
      <c r="B87" s="96" t="s">
        <v>1524</v>
      </c>
      <c r="C87" s="97" t="s">
        <v>1543</v>
      </c>
      <c r="D87" s="98">
        <v>2.0</v>
      </c>
      <c r="E87" s="97" t="s">
        <v>1170</v>
      </c>
      <c r="F87" s="97" t="s">
        <v>1169</v>
      </c>
      <c r="G87" s="99">
        <v>0.011909722222222223</v>
      </c>
    </row>
    <row r="88">
      <c r="A88" s="96" t="s">
        <v>1481</v>
      </c>
      <c r="B88" s="96" t="s">
        <v>1524</v>
      </c>
      <c r="C88" s="97" t="s">
        <v>1543</v>
      </c>
      <c r="D88" s="98">
        <v>2.0</v>
      </c>
      <c r="E88" s="97" t="s">
        <v>1170</v>
      </c>
      <c r="F88" s="97" t="s">
        <v>1171</v>
      </c>
      <c r="G88" s="99">
        <v>0.01369212962962963</v>
      </c>
    </row>
    <row r="89">
      <c r="A89" s="96" t="s">
        <v>1481</v>
      </c>
      <c r="B89" s="96" t="s">
        <v>1524</v>
      </c>
      <c r="C89" s="97" t="s">
        <v>1543</v>
      </c>
      <c r="D89" s="98">
        <v>2.0</v>
      </c>
      <c r="E89" s="97" t="s">
        <v>1170</v>
      </c>
      <c r="F89" s="97" t="s">
        <v>1544</v>
      </c>
      <c r="G89" s="99">
        <v>0.01074074074074074</v>
      </c>
    </row>
    <row r="90">
      <c r="A90" s="96" t="s">
        <v>1481</v>
      </c>
      <c r="B90" s="96" t="s">
        <v>1524</v>
      </c>
      <c r="C90" s="97" t="s">
        <v>1543</v>
      </c>
      <c r="D90" s="98">
        <v>2.0</v>
      </c>
      <c r="E90" s="97" t="s">
        <v>1170</v>
      </c>
      <c r="F90" s="97" t="s">
        <v>1545</v>
      </c>
      <c r="G90" s="99">
        <v>0.00980324074074074</v>
      </c>
    </row>
    <row r="91">
      <c r="A91" s="96" t="s">
        <v>1481</v>
      </c>
      <c r="B91" s="96" t="s">
        <v>1524</v>
      </c>
      <c r="C91" s="97" t="s">
        <v>1543</v>
      </c>
      <c r="D91" s="98">
        <v>3.0</v>
      </c>
      <c r="E91" s="97" t="s">
        <v>1173</v>
      </c>
      <c r="F91" s="97" t="s">
        <v>1172</v>
      </c>
      <c r="G91" s="99">
        <v>0.016226851851851853</v>
      </c>
    </row>
    <row r="92">
      <c r="A92" s="96" t="s">
        <v>1481</v>
      </c>
      <c r="B92" s="96" t="s">
        <v>1524</v>
      </c>
      <c r="C92" s="97" t="s">
        <v>1543</v>
      </c>
      <c r="D92" s="98">
        <v>3.0</v>
      </c>
      <c r="E92" s="97" t="s">
        <v>1173</v>
      </c>
      <c r="F92" s="97" t="s">
        <v>1174</v>
      </c>
      <c r="G92" s="99">
        <v>0.017025462962962964</v>
      </c>
    </row>
    <row r="93">
      <c r="A93" s="96" t="s">
        <v>1481</v>
      </c>
      <c r="B93" s="96" t="s">
        <v>1524</v>
      </c>
      <c r="C93" s="97" t="s">
        <v>1543</v>
      </c>
      <c r="D93" s="98">
        <v>3.0</v>
      </c>
      <c r="E93" s="97" t="s">
        <v>1173</v>
      </c>
      <c r="F93" s="97" t="s">
        <v>1175</v>
      </c>
      <c r="G93" s="99">
        <v>0.019664351851851853</v>
      </c>
    </row>
    <row r="94">
      <c r="A94" s="96" t="s">
        <v>1481</v>
      </c>
      <c r="B94" s="96" t="s">
        <v>1524</v>
      </c>
      <c r="C94" s="97" t="s">
        <v>1543</v>
      </c>
      <c r="D94" s="98">
        <v>3.0</v>
      </c>
      <c r="E94" s="97" t="s">
        <v>1173</v>
      </c>
      <c r="F94" s="97" t="s">
        <v>1176</v>
      </c>
      <c r="G94" s="99">
        <v>0.011909722222222223</v>
      </c>
    </row>
    <row r="95">
      <c r="A95" s="96" t="s">
        <v>1481</v>
      </c>
      <c r="B95" s="96" t="s">
        <v>1524</v>
      </c>
      <c r="C95" s="97" t="s">
        <v>1543</v>
      </c>
      <c r="D95" s="98">
        <v>4.0</v>
      </c>
      <c r="E95" s="97" t="s">
        <v>1178</v>
      </c>
      <c r="F95" s="97" t="s">
        <v>1177</v>
      </c>
      <c r="G95" s="99">
        <v>0.014155092592592592</v>
      </c>
    </row>
    <row r="96">
      <c r="A96" s="96" t="s">
        <v>1481</v>
      </c>
      <c r="B96" s="96" t="s">
        <v>1524</v>
      </c>
      <c r="C96" s="97" t="s">
        <v>1543</v>
      </c>
      <c r="D96" s="98">
        <v>4.0</v>
      </c>
      <c r="E96" s="97" t="s">
        <v>1178</v>
      </c>
      <c r="F96" s="97" t="s">
        <v>1179</v>
      </c>
      <c r="G96" s="99">
        <v>0.013148148148148148</v>
      </c>
    </row>
    <row r="97">
      <c r="A97" s="96" t="s">
        <v>1481</v>
      </c>
      <c r="B97" s="96" t="s">
        <v>1524</v>
      </c>
      <c r="C97" s="97" t="s">
        <v>1543</v>
      </c>
      <c r="D97" s="98">
        <v>4.0</v>
      </c>
      <c r="E97" s="97" t="s">
        <v>1178</v>
      </c>
      <c r="F97" s="97" t="s">
        <v>1180</v>
      </c>
      <c r="G97" s="99">
        <v>0.05555555555555555</v>
      </c>
    </row>
    <row r="98">
      <c r="A98" s="96" t="s">
        <v>1481</v>
      </c>
      <c r="B98" s="96" t="s">
        <v>1524</v>
      </c>
      <c r="C98" s="97" t="s">
        <v>1546</v>
      </c>
      <c r="D98" s="98">
        <v>1.0</v>
      </c>
      <c r="E98" s="97" t="s">
        <v>1186</v>
      </c>
      <c r="F98" s="97" t="s">
        <v>672</v>
      </c>
      <c r="G98" s="99">
        <v>0.006724537037037037</v>
      </c>
    </row>
    <row r="99">
      <c r="A99" s="96" t="s">
        <v>1481</v>
      </c>
      <c r="B99" s="96" t="s">
        <v>1524</v>
      </c>
      <c r="C99" s="97" t="s">
        <v>1546</v>
      </c>
      <c r="D99" s="98">
        <v>1.0</v>
      </c>
      <c r="E99" s="97" t="s">
        <v>1186</v>
      </c>
      <c r="F99" s="97" t="s">
        <v>675</v>
      </c>
      <c r="G99" s="99">
        <v>0.011979166666666667</v>
      </c>
    </row>
    <row r="100">
      <c r="A100" s="96" t="s">
        <v>1481</v>
      </c>
      <c r="B100" s="96" t="s">
        <v>1524</v>
      </c>
      <c r="C100" s="100"/>
      <c r="D100" s="101"/>
      <c r="E100" s="100"/>
      <c r="F100" s="100"/>
      <c r="G100" s="100"/>
    </row>
    <row r="101">
      <c r="A101" s="96" t="s">
        <v>1481</v>
      </c>
      <c r="B101" s="96" t="s">
        <v>1524</v>
      </c>
      <c r="C101" s="97" t="s">
        <v>1546</v>
      </c>
      <c r="D101" s="98">
        <v>1.0</v>
      </c>
      <c r="E101" s="97" t="s">
        <v>1186</v>
      </c>
      <c r="F101" s="97" t="s">
        <v>677</v>
      </c>
      <c r="G101" s="99">
        <v>0.006122685185185185</v>
      </c>
    </row>
    <row r="102">
      <c r="A102" s="96" t="s">
        <v>1481</v>
      </c>
      <c r="B102" s="96" t="s">
        <v>1524</v>
      </c>
      <c r="C102" s="97" t="s">
        <v>1546</v>
      </c>
      <c r="D102" s="98">
        <v>1.0</v>
      </c>
      <c r="E102" s="97" t="s">
        <v>1186</v>
      </c>
      <c r="F102" s="97" t="s">
        <v>679</v>
      </c>
      <c r="G102" s="99">
        <v>0.011041666666666667</v>
      </c>
    </row>
    <row r="103">
      <c r="A103" s="96" t="s">
        <v>1481</v>
      </c>
      <c r="B103" s="96" t="s">
        <v>1524</v>
      </c>
      <c r="C103" s="97" t="s">
        <v>1546</v>
      </c>
      <c r="D103" s="98">
        <v>1.0</v>
      </c>
      <c r="E103" s="97" t="s">
        <v>1186</v>
      </c>
      <c r="F103" s="97" t="s">
        <v>1181</v>
      </c>
      <c r="G103" s="99">
        <v>0.00869212962962963</v>
      </c>
    </row>
    <row r="104">
      <c r="A104" s="96" t="s">
        <v>1481</v>
      </c>
      <c r="B104" s="96" t="s">
        <v>1524</v>
      </c>
      <c r="C104" s="97" t="s">
        <v>1546</v>
      </c>
      <c r="D104" s="98">
        <v>1.0</v>
      </c>
      <c r="E104" s="97" t="s">
        <v>1186</v>
      </c>
      <c r="F104" s="97" t="s">
        <v>732</v>
      </c>
      <c r="G104" s="99">
        <v>0.0076851851851851855</v>
      </c>
    </row>
    <row r="105">
      <c r="A105" s="96" t="s">
        <v>1481</v>
      </c>
      <c r="B105" s="96" t="s">
        <v>1524</v>
      </c>
      <c r="C105" s="97" t="s">
        <v>1546</v>
      </c>
      <c r="D105" s="98">
        <v>1.0</v>
      </c>
      <c r="E105" s="97" t="s">
        <v>1186</v>
      </c>
      <c r="F105" s="97" t="s">
        <v>734</v>
      </c>
      <c r="G105" s="99">
        <v>0.005497685185185185</v>
      </c>
    </row>
    <row r="106">
      <c r="A106" s="96" t="s">
        <v>1481</v>
      </c>
      <c r="B106" s="96" t="s">
        <v>1524</v>
      </c>
      <c r="C106" s="97" t="s">
        <v>1546</v>
      </c>
      <c r="D106" s="98">
        <v>1.0</v>
      </c>
      <c r="E106" s="97" t="s">
        <v>1186</v>
      </c>
      <c r="F106" s="97" t="s">
        <v>1183</v>
      </c>
      <c r="G106" s="99">
        <v>0.007476851851851852</v>
      </c>
    </row>
    <row r="107">
      <c r="A107" s="96" t="s">
        <v>1481</v>
      </c>
      <c r="B107" s="96" t="s">
        <v>1524</v>
      </c>
      <c r="C107" s="97" t="s">
        <v>1546</v>
      </c>
      <c r="D107" s="98">
        <v>1.0</v>
      </c>
      <c r="E107" s="97" t="s">
        <v>1186</v>
      </c>
      <c r="F107" s="97" t="s">
        <v>1547</v>
      </c>
      <c r="G107" s="99">
        <v>0.05555555555555555</v>
      </c>
    </row>
    <row r="108">
      <c r="A108" s="96" t="s">
        <v>1481</v>
      </c>
      <c r="B108" s="96" t="s">
        <v>1524</v>
      </c>
      <c r="C108" s="97" t="s">
        <v>1546</v>
      </c>
      <c r="D108" s="98">
        <v>1.0</v>
      </c>
      <c r="E108" s="97" t="s">
        <v>1186</v>
      </c>
      <c r="F108" s="97" t="s">
        <v>1185</v>
      </c>
      <c r="G108" s="99">
        <v>0.05555555555555555</v>
      </c>
    </row>
    <row r="109">
      <c r="A109" s="96" t="s">
        <v>1481</v>
      </c>
      <c r="B109" s="96" t="s">
        <v>1524</v>
      </c>
      <c r="C109" s="97" t="s">
        <v>1546</v>
      </c>
      <c r="D109" s="98">
        <v>2.0</v>
      </c>
      <c r="E109" s="97" t="s">
        <v>1189</v>
      </c>
      <c r="F109" s="97" t="s">
        <v>1187</v>
      </c>
      <c r="G109" s="99">
        <v>0.014212962962962964</v>
      </c>
    </row>
    <row r="110">
      <c r="A110" s="96" t="s">
        <v>1481</v>
      </c>
      <c r="B110" s="96" t="s">
        <v>1524</v>
      </c>
      <c r="C110" s="97" t="s">
        <v>1546</v>
      </c>
      <c r="D110" s="98">
        <v>2.0</v>
      </c>
      <c r="E110" s="97" t="s">
        <v>1189</v>
      </c>
      <c r="F110" s="97" t="s">
        <v>707</v>
      </c>
      <c r="G110" s="99">
        <v>0.01885416666666667</v>
      </c>
    </row>
    <row r="111">
      <c r="A111" s="96" t="s">
        <v>1481</v>
      </c>
      <c r="B111" s="96" t="s">
        <v>1524</v>
      </c>
      <c r="C111" s="97" t="s">
        <v>1546</v>
      </c>
      <c r="D111" s="98">
        <v>2.0</v>
      </c>
      <c r="E111" s="97" t="s">
        <v>1189</v>
      </c>
      <c r="F111" s="97" t="s">
        <v>747</v>
      </c>
      <c r="G111" s="99">
        <v>0.008680555555555556</v>
      </c>
    </row>
    <row r="112">
      <c r="A112" s="96" t="s">
        <v>1481</v>
      </c>
      <c r="B112" s="96" t="s">
        <v>1524</v>
      </c>
      <c r="C112" s="97" t="s">
        <v>1546</v>
      </c>
      <c r="D112" s="98">
        <v>2.0</v>
      </c>
      <c r="E112" s="97" t="s">
        <v>1189</v>
      </c>
      <c r="F112" s="97" t="s">
        <v>1190</v>
      </c>
      <c r="G112" s="99">
        <v>0.007094907407407407</v>
      </c>
    </row>
    <row r="113">
      <c r="A113" s="96" t="s">
        <v>1481</v>
      </c>
      <c r="B113" s="96" t="s">
        <v>1524</v>
      </c>
      <c r="C113" s="97" t="s">
        <v>1546</v>
      </c>
      <c r="D113" s="98">
        <v>2.0</v>
      </c>
      <c r="E113" s="97" t="s">
        <v>1189</v>
      </c>
      <c r="F113" s="97" t="s">
        <v>1478</v>
      </c>
      <c r="G113" s="99">
        <v>0.006076388888888889</v>
      </c>
    </row>
    <row r="114">
      <c r="A114" s="96" t="s">
        <v>1481</v>
      </c>
      <c r="B114" s="96" t="s">
        <v>1524</v>
      </c>
      <c r="C114" s="97" t="s">
        <v>1546</v>
      </c>
      <c r="D114" s="98">
        <v>2.0</v>
      </c>
      <c r="E114" s="97" t="s">
        <v>1189</v>
      </c>
      <c r="F114" s="97" t="s">
        <v>750</v>
      </c>
      <c r="G114" s="99">
        <v>0.005300925925925926</v>
      </c>
    </row>
    <row r="115">
      <c r="A115" s="96" t="s">
        <v>1481</v>
      </c>
      <c r="B115" s="96" t="s">
        <v>1524</v>
      </c>
      <c r="C115" s="97" t="s">
        <v>1546</v>
      </c>
      <c r="D115" s="98">
        <v>2.0</v>
      </c>
      <c r="E115" s="97" t="s">
        <v>1189</v>
      </c>
      <c r="F115" s="97" t="s">
        <v>752</v>
      </c>
      <c r="G115" s="99">
        <v>0.006574074074074074</v>
      </c>
    </row>
    <row r="116">
      <c r="A116" s="96" t="s">
        <v>1481</v>
      </c>
      <c r="B116" s="96" t="s">
        <v>1524</v>
      </c>
      <c r="C116" s="97" t="s">
        <v>1546</v>
      </c>
      <c r="D116" s="98">
        <v>2.0</v>
      </c>
      <c r="E116" s="97" t="s">
        <v>1189</v>
      </c>
      <c r="F116" s="97" t="s">
        <v>754</v>
      </c>
      <c r="G116" s="99">
        <v>0.004837962962962963</v>
      </c>
    </row>
    <row r="117">
      <c r="A117" s="96" t="s">
        <v>1481</v>
      </c>
      <c r="B117" s="96" t="s">
        <v>1524</v>
      </c>
      <c r="C117" s="97" t="s">
        <v>1546</v>
      </c>
      <c r="D117" s="98">
        <v>2.0</v>
      </c>
      <c r="E117" s="97" t="s">
        <v>1189</v>
      </c>
      <c r="F117" s="97" t="s">
        <v>756</v>
      </c>
      <c r="G117" s="99">
        <v>0.006851851851851852</v>
      </c>
    </row>
    <row r="118">
      <c r="A118" s="96" t="s">
        <v>1481</v>
      </c>
      <c r="B118" s="96" t="s">
        <v>1524</v>
      </c>
      <c r="C118" s="97" t="s">
        <v>1546</v>
      </c>
      <c r="D118" s="98">
        <v>2.0</v>
      </c>
      <c r="E118" s="97" t="s">
        <v>1189</v>
      </c>
      <c r="F118" s="97" t="s">
        <v>1192</v>
      </c>
      <c r="G118" s="99">
        <v>0.05555555555555555</v>
      </c>
    </row>
    <row r="119">
      <c r="A119" s="96" t="s">
        <v>1481</v>
      </c>
      <c r="B119" s="96" t="s">
        <v>1524</v>
      </c>
      <c r="C119" s="97" t="s">
        <v>1546</v>
      </c>
      <c r="D119" s="98">
        <v>2.0</v>
      </c>
      <c r="E119" s="97" t="s">
        <v>1189</v>
      </c>
      <c r="F119" s="97" t="s">
        <v>1193</v>
      </c>
      <c r="G119" s="99">
        <v>0.05555555555555555</v>
      </c>
    </row>
    <row r="120">
      <c r="A120" s="96" t="s">
        <v>1481</v>
      </c>
      <c r="B120" s="96" t="s">
        <v>1524</v>
      </c>
      <c r="C120" s="97" t="s">
        <v>1546</v>
      </c>
      <c r="D120" s="98">
        <v>3.0</v>
      </c>
      <c r="E120" s="97" t="s">
        <v>1195</v>
      </c>
      <c r="F120" s="97" t="s">
        <v>1194</v>
      </c>
      <c r="G120" s="99">
        <v>0.005092592592592593</v>
      </c>
    </row>
    <row r="121">
      <c r="A121" s="96" t="s">
        <v>1481</v>
      </c>
      <c r="B121" s="96" t="s">
        <v>1524</v>
      </c>
      <c r="C121" s="97" t="s">
        <v>1546</v>
      </c>
      <c r="D121" s="98">
        <v>3.0</v>
      </c>
      <c r="E121" s="97" t="s">
        <v>1195</v>
      </c>
      <c r="F121" s="97" t="s">
        <v>1196</v>
      </c>
      <c r="G121" s="99">
        <v>0.006284722222222222</v>
      </c>
    </row>
    <row r="122">
      <c r="A122" s="96" t="s">
        <v>1481</v>
      </c>
      <c r="B122" s="96" t="s">
        <v>1524</v>
      </c>
      <c r="C122" s="97" t="s">
        <v>1546</v>
      </c>
      <c r="D122" s="98">
        <v>3.0</v>
      </c>
      <c r="E122" s="97" t="s">
        <v>1195</v>
      </c>
      <c r="F122" s="97" t="s">
        <v>1197</v>
      </c>
      <c r="G122" s="99">
        <v>0.006666666666666667</v>
      </c>
    </row>
    <row r="123">
      <c r="A123" s="96" t="s">
        <v>1481</v>
      </c>
      <c r="B123" s="96" t="s">
        <v>1524</v>
      </c>
      <c r="C123" s="97" t="s">
        <v>1546</v>
      </c>
      <c r="D123" s="98">
        <v>3.0</v>
      </c>
      <c r="E123" s="97" t="s">
        <v>1195</v>
      </c>
      <c r="F123" s="97" t="s">
        <v>1198</v>
      </c>
      <c r="G123" s="99">
        <v>0.021770833333333333</v>
      </c>
    </row>
    <row r="124">
      <c r="A124" s="96" t="s">
        <v>1481</v>
      </c>
      <c r="B124" s="96" t="s">
        <v>1524</v>
      </c>
      <c r="C124" s="97" t="s">
        <v>1546</v>
      </c>
      <c r="D124" s="98">
        <v>3.0</v>
      </c>
      <c r="E124" s="97" t="s">
        <v>1195</v>
      </c>
      <c r="F124" s="97" t="s">
        <v>1548</v>
      </c>
      <c r="G124" s="99">
        <v>0.01849537037037037</v>
      </c>
    </row>
    <row r="125">
      <c r="A125" s="96" t="s">
        <v>1481</v>
      </c>
      <c r="B125" s="96" t="s">
        <v>1524</v>
      </c>
      <c r="C125" s="97" t="s">
        <v>1546</v>
      </c>
      <c r="D125" s="98">
        <v>3.0</v>
      </c>
      <c r="E125" s="97" t="s">
        <v>1195</v>
      </c>
      <c r="F125" s="97" t="s">
        <v>1199</v>
      </c>
      <c r="G125" s="99">
        <v>0.016550925925925927</v>
      </c>
    </row>
    <row r="126">
      <c r="A126" s="96" t="s">
        <v>1481</v>
      </c>
      <c r="B126" s="96" t="s">
        <v>1524</v>
      </c>
      <c r="C126" s="97" t="s">
        <v>1546</v>
      </c>
      <c r="D126" s="98">
        <v>3.0</v>
      </c>
      <c r="E126" s="97" t="s">
        <v>1195</v>
      </c>
      <c r="F126" s="97" t="s">
        <v>1200</v>
      </c>
      <c r="G126" s="99">
        <v>0.01607638888888889</v>
      </c>
    </row>
    <row r="127">
      <c r="A127" s="96" t="s">
        <v>1481</v>
      </c>
      <c r="B127" s="96" t="s">
        <v>1524</v>
      </c>
      <c r="C127" s="97" t="s">
        <v>1546</v>
      </c>
      <c r="D127" s="98">
        <v>3.0</v>
      </c>
      <c r="E127" s="97" t="s">
        <v>1195</v>
      </c>
      <c r="F127" s="97" t="s">
        <v>1201</v>
      </c>
      <c r="G127" s="99">
        <v>0.05555555555555555</v>
      </c>
    </row>
    <row r="128">
      <c r="A128" s="96" t="s">
        <v>1481</v>
      </c>
      <c r="B128" s="96" t="s">
        <v>1524</v>
      </c>
      <c r="C128" s="97" t="s">
        <v>1546</v>
      </c>
      <c r="D128" s="98">
        <v>3.0</v>
      </c>
      <c r="E128" s="97" t="s">
        <v>1195</v>
      </c>
      <c r="F128" s="97" t="s">
        <v>1202</v>
      </c>
      <c r="G128" s="99">
        <v>0.05555555555555555</v>
      </c>
    </row>
    <row r="129">
      <c r="A129" s="100"/>
      <c r="B129" s="100"/>
      <c r="C129" s="100"/>
      <c r="D129" s="101"/>
      <c r="E129" s="100"/>
      <c r="F129" s="100"/>
      <c r="G129" s="100"/>
    </row>
    <row r="130" ht="30.0" customHeight="1">
      <c r="A130" s="100"/>
      <c r="B130" s="100"/>
      <c r="C130" s="100"/>
      <c r="D130" s="101"/>
      <c r="E130" s="100"/>
      <c r="F130" s="100"/>
      <c r="G130" s="100"/>
    </row>
    <row r="131">
      <c r="A131" s="100"/>
      <c r="B131" s="100"/>
      <c r="C131" s="100"/>
      <c r="D131" s="101"/>
      <c r="E131" s="100"/>
      <c r="F131" s="100"/>
      <c r="G131" s="100"/>
    </row>
    <row r="132">
      <c r="A132" s="100"/>
      <c r="B132" s="100"/>
      <c r="C132" s="100"/>
      <c r="D132" s="101"/>
      <c r="E132" s="100"/>
      <c r="F132" s="100"/>
      <c r="G132" s="100"/>
    </row>
    <row r="133">
      <c r="A133" s="100"/>
      <c r="B133" s="100"/>
      <c r="C133" s="100"/>
      <c r="D133" s="101"/>
      <c r="E133" s="100"/>
      <c r="F133" s="100"/>
      <c r="G133" s="100"/>
    </row>
    <row r="134">
      <c r="A134" s="100"/>
      <c r="B134" s="100"/>
      <c r="C134" s="100"/>
      <c r="D134" s="101"/>
      <c r="E134" s="100"/>
      <c r="F134" s="100"/>
      <c r="G134" s="100"/>
    </row>
    <row r="135">
      <c r="A135" s="100"/>
      <c r="B135" s="100"/>
      <c r="C135" s="100"/>
      <c r="D135" s="101"/>
      <c r="E135" s="100"/>
      <c r="F135" s="100"/>
      <c r="G135" s="100"/>
    </row>
    <row r="136">
      <c r="A136" s="100"/>
      <c r="B136" s="100"/>
      <c r="C136" s="100"/>
      <c r="D136" s="101"/>
      <c r="E136" s="100"/>
      <c r="F136" s="100"/>
      <c r="G136" s="100"/>
    </row>
    <row r="137">
      <c r="A137" s="100"/>
      <c r="B137" s="100"/>
      <c r="C137" s="100"/>
      <c r="D137" s="101"/>
      <c r="E137" s="100"/>
      <c r="F137" s="100"/>
      <c r="G137" s="100"/>
    </row>
    <row r="138">
      <c r="A138" s="100"/>
      <c r="B138" s="100"/>
      <c r="C138" s="100"/>
      <c r="D138" s="101"/>
      <c r="E138" s="100"/>
      <c r="F138" s="100"/>
      <c r="G138" s="100"/>
    </row>
    <row r="139">
      <c r="A139" s="100"/>
      <c r="B139" s="100"/>
      <c r="C139" s="100"/>
      <c r="D139" s="101"/>
      <c r="E139" s="100"/>
      <c r="F139" s="100"/>
      <c r="G139" s="100"/>
    </row>
    <row r="140">
      <c r="A140" s="100"/>
      <c r="B140" s="100"/>
      <c r="C140" s="100"/>
      <c r="D140" s="101"/>
      <c r="E140" s="100"/>
      <c r="F140" s="100"/>
      <c r="G140" s="100"/>
    </row>
    <row r="141">
      <c r="A141" s="100"/>
      <c r="B141" s="100"/>
      <c r="C141" s="100"/>
      <c r="D141" s="101"/>
      <c r="E141" s="100"/>
      <c r="F141" s="100"/>
      <c r="G141" s="100"/>
    </row>
    <row r="142">
      <c r="A142" s="100"/>
      <c r="B142" s="100"/>
      <c r="C142" s="100"/>
      <c r="D142" s="101"/>
      <c r="E142" s="100"/>
      <c r="F142" s="100"/>
      <c r="G142" s="100"/>
    </row>
    <row r="143">
      <c r="A143" s="100"/>
      <c r="B143" s="100"/>
      <c r="C143" s="100"/>
      <c r="D143" s="101"/>
      <c r="E143" s="100"/>
      <c r="F143" s="100"/>
      <c r="G143" s="100"/>
    </row>
    <row r="144">
      <c r="A144" s="100"/>
      <c r="B144" s="100"/>
      <c r="C144" s="100"/>
      <c r="D144" s="101"/>
      <c r="E144" s="100"/>
      <c r="F144" s="100"/>
      <c r="G144" s="100"/>
    </row>
    <row r="145">
      <c r="A145" s="100"/>
      <c r="B145" s="100"/>
      <c r="C145" s="100"/>
      <c r="D145" s="101"/>
      <c r="E145" s="100"/>
      <c r="F145" s="100"/>
      <c r="G145" s="100"/>
    </row>
    <row r="146">
      <c r="A146" s="100"/>
      <c r="B146" s="100"/>
      <c r="C146" s="100"/>
      <c r="D146" s="101"/>
      <c r="E146" s="100"/>
      <c r="F146" s="100"/>
      <c r="G146" s="100"/>
    </row>
    <row r="147">
      <c r="A147" s="100"/>
      <c r="B147" s="100"/>
      <c r="C147" s="100"/>
      <c r="D147" s="101"/>
      <c r="E147" s="100"/>
      <c r="F147" s="100"/>
      <c r="G147" s="100"/>
    </row>
    <row r="148">
      <c r="A148" s="100"/>
      <c r="B148" s="100"/>
      <c r="C148" s="100"/>
      <c r="D148" s="101"/>
      <c r="E148" s="100"/>
      <c r="F148" s="100"/>
      <c r="G148" s="100"/>
    </row>
    <row r="149">
      <c r="A149" s="100"/>
      <c r="B149" s="100"/>
      <c r="C149" s="100"/>
      <c r="D149" s="101"/>
      <c r="E149" s="100"/>
      <c r="F149" s="100"/>
      <c r="G149" s="100"/>
    </row>
    <row r="150">
      <c r="A150" s="100"/>
      <c r="B150" s="100"/>
      <c r="C150" s="100"/>
      <c r="D150" s="101"/>
      <c r="E150" s="100"/>
      <c r="F150" s="100"/>
      <c r="G150" s="100"/>
    </row>
    <row r="151">
      <c r="A151" s="100"/>
      <c r="B151" s="100"/>
      <c r="C151" s="100"/>
      <c r="D151" s="101"/>
      <c r="E151" s="100"/>
      <c r="F151" s="100"/>
      <c r="G151" s="100"/>
    </row>
  </sheetData>
  <printOptions gridLines="1" horizontalCentered="1"/>
  <pageMargins bottom="0.75" footer="0.0" header="0.0" left="0.7" right="0.7" top="0.75"/>
  <pageSetup fitToHeight="0" cellComments="atEnd" orientation="landscape" pageOrder="overThenDown"/>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19.78"/>
    <col customWidth="1" min="2" max="2" width="37.89"/>
    <col customWidth="1" min="3" max="3" width="63.11"/>
    <col customWidth="1" min="4" max="4" width="20.44"/>
    <col customWidth="1" min="8" max="8" width="274.67"/>
  </cols>
  <sheetData>
    <row r="1">
      <c r="A1" s="106" t="s">
        <v>1637</v>
      </c>
      <c r="B1" s="106" t="s">
        <v>1638</v>
      </c>
      <c r="C1" s="107" t="s">
        <v>1639</v>
      </c>
      <c r="D1" s="108" t="s">
        <v>1640</v>
      </c>
      <c r="E1" s="109" t="s">
        <v>1641</v>
      </c>
      <c r="F1" s="109" t="s">
        <v>1642</v>
      </c>
      <c r="G1" s="110"/>
      <c r="H1" s="109" t="s">
        <v>1643</v>
      </c>
    </row>
    <row r="2">
      <c r="A2" s="111" t="s">
        <v>1644</v>
      </c>
      <c r="B2" s="112"/>
      <c r="C2" s="112"/>
      <c r="D2" s="113"/>
      <c r="E2" s="112"/>
      <c r="F2" s="114">
        <f>SUM(F3+F6)</f>
        <v>0.6462962963</v>
      </c>
      <c r="G2" s="112"/>
      <c r="H2" s="112"/>
    </row>
    <row r="3">
      <c r="A3" s="115" t="s">
        <v>1645</v>
      </c>
      <c r="B3" s="116"/>
      <c r="C3" s="116"/>
      <c r="D3" s="117"/>
      <c r="E3" s="116"/>
      <c r="F3" s="118">
        <f>SUM(F4)</f>
        <v>0</v>
      </c>
      <c r="G3" s="116"/>
      <c r="H3" s="116"/>
    </row>
    <row r="4">
      <c r="A4" s="110"/>
      <c r="B4" s="110" t="s">
        <v>1646</v>
      </c>
      <c r="C4" s="110"/>
      <c r="D4" s="119"/>
      <c r="E4" s="110"/>
      <c r="F4" s="120">
        <f>SUM(D5)</f>
        <v>0</v>
      </c>
      <c r="G4" s="110"/>
      <c r="H4" s="110"/>
    </row>
    <row r="5">
      <c r="A5" s="110"/>
      <c r="B5" s="110"/>
      <c r="C5" s="121" t="s">
        <v>1647</v>
      </c>
      <c r="D5" s="119"/>
      <c r="E5" s="110"/>
      <c r="F5" s="119"/>
      <c r="G5" s="110"/>
      <c r="H5" s="110"/>
    </row>
    <row r="6">
      <c r="A6" s="115" t="s">
        <v>1637</v>
      </c>
      <c r="B6" s="116"/>
      <c r="C6" s="116"/>
      <c r="D6" s="117"/>
      <c r="E6" s="116"/>
      <c r="F6" s="118">
        <f>SUM(F7:F59)</f>
        <v>0.6462962963</v>
      </c>
      <c r="G6" s="116"/>
      <c r="H6" s="116"/>
    </row>
    <row r="7">
      <c r="A7" s="110"/>
      <c r="B7" s="121" t="s">
        <v>524</v>
      </c>
      <c r="C7" s="110"/>
      <c r="D7" s="119"/>
      <c r="E7" s="110"/>
      <c r="F7" s="120">
        <f>SUM(D8:D14)</f>
        <v>0.0559837963</v>
      </c>
      <c r="G7" s="110"/>
      <c r="H7" s="110"/>
    </row>
    <row r="8">
      <c r="A8" s="110"/>
      <c r="B8" s="110"/>
      <c r="C8" s="121" t="s">
        <v>522</v>
      </c>
      <c r="D8" s="122">
        <v>0.010844907407407407</v>
      </c>
      <c r="E8" s="110"/>
      <c r="F8" s="110"/>
      <c r="G8" s="110"/>
      <c r="H8" s="121" t="s">
        <v>523</v>
      </c>
    </row>
    <row r="9">
      <c r="A9" s="110"/>
      <c r="B9" s="110"/>
      <c r="C9" s="121" t="s">
        <v>525</v>
      </c>
      <c r="D9" s="122">
        <v>0.014456018518518519</v>
      </c>
      <c r="E9" s="110"/>
      <c r="F9" s="110"/>
      <c r="G9" s="110"/>
      <c r="H9" s="121" t="s">
        <v>526</v>
      </c>
    </row>
    <row r="10">
      <c r="A10" s="110"/>
      <c r="B10" s="110"/>
      <c r="C10" s="121" t="s">
        <v>527</v>
      </c>
      <c r="D10" s="122">
        <v>0.007337962962962963</v>
      </c>
      <c r="E10" s="110"/>
      <c r="F10" s="110"/>
      <c r="G10" s="110"/>
      <c r="H10" s="121" t="s">
        <v>528</v>
      </c>
    </row>
    <row r="11">
      <c r="A11" s="110"/>
      <c r="B11" s="110"/>
      <c r="C11" s="121" t="s">
        <v>529</v>
      </c>
      <c r="D11" s="122">
        <v>0.005104166666666667</v>
      </c>
      <c r="E11" s="110"/>
      <c r="F11" s="110"/>
      <c r="G11" s="110"/>
      <c r="H11" s="121" t="s">
        <v>530</v>
      </c>
    </row>
    <row r="12">
      <c r="A12" s="110"/>
      <c r="B12" s="110"/>
      <c r="C12" s="121" t="s">
        <v>531</v>
      </c>
      <c r="D12" s="122">
        <v>0.011458333333333333</v>
      </c>
      <c r="E12" s="110"/>
      <c r="F12" s="110"/>
      <c r="G12" s="110"/>
      <c r="H12" s="121" t="s">
        <v>532</v>
      </c>
    </row>
    <row r="13">
      <c r="A13" s="110"/>
      <c r="B13" s="110"/>
      <c r="C13" s="121" t="s">
        <v>533</v>
      </c>
      <c r="D13" s="122">
        <v>0.0038773148148148148</v>
      </c>
      <c r="E13" s="110"/>
      <c r="F13" s="119"/>
      <c r="G13" s="110"/>
      <c r="H13" s="121" t="s">
        <v>534</v>
      </c>
    </row>
    <row r="14">
      <c r="A14" s="110"/>
      <c r="B14" s="110"/>
      <c r="C14" s="121" t="s">
        <v>535</v>
      </c>
      <c r="D14" s="122">
        <v>0.002905092592592593</v>
      </c>
      <c r="E14" s="110"/>
      <c r="F14" s="110"/>
      <c r="G14" s="110"/>
      <c r="H14" s="121" t="s">
        <v>536</v>
      </c>
    </row>
    <row r="15">
      <c r="A15" s="110"/>
      <c r="B15" s="121" t="s">
        <v>577</v>
      </c>
      <c r="C15" s="110"/>
      <c r="D15" s="119"/>
      <c r="E15" s="110"/>
      <c r="F15" s="120">
        <f>SUM(D16:D29)</f>
        <v>0.1836921296</v>
      </c>
      <c r="G15" s="110"/>
      <c r="H15" s="110"/>
    </row>
    <row r="16">
      <c r="A16" s="110"/>
      <c r="B16" s="110"/>
      <c r="C16" s="121" t="s">
        <v>575</v>
      </c>
      <c r="D16" s="122">
        <v>0.011550925925925926</v>
      </c>
      <c r="E16" s="110"/>
      <c r="F16" s="119"/>
      <c r="G16" s="110"/>
      <c r="H16" s="121" t="s">
        <v>576</v>
      </c>
    </row>
    <row r="17">
      <c r="A17" s="110"/>
      <c r="B17" s="110"/>
      <c r="C17" s="121" t="s">
        <v>578</v>
      </c>
      <c r="D17" s="122">
        <v>0.015613425925925926</v>
      </c>
      <c r="E17" s="110"/>
      <c r="F17" s="119"/>
      <c r="G17" s="110"/>
      <c r="H17" s="121" t="s">
        <v>579</v>
      </c>
    </row>
    <row r="18">
      <c r="A18" s="110"/>
      <c r="B18" s="110"/>
      <c r="C18" s="121" t="s">
        <v>580</v>
      </c>
      <c r="D18" s="122">
        <v>0.007638888888888889</v>
      </c>
      <c r="E18" s="110"/>
      <c r="F18" s="119"/>
      <c r="G18" s="110"/>
      <c r="H18" s="121" t="s">
        <v>581</v>
      </c>
    </row>
    <row r="19">
      <c r="A19" s="110"/>
      <c r="B19" s="110"/>
      <c r="C19" s="121" t="s">
        <v>1408</v>
      </c>
      <c r="D19" s="122">
        <v>0.01207175925925926</v>
      </c>
      <c r="E19" s="110"/>
      <c r="F19" s="119"/>
      <c r="G19" s="110"/>
      <c r="H19" s="121" t="s">
        <v>1648</v>
      </c>
    </row>
    <row r="20">
      <c r="A20" s="110"/>
      <c r="B20" s="110"/>
      <c r="C20" s="121" t="s">
        <v>1409</v>
      </c>
      <c r="D20" s="122">
        <v>0.009837962962962963</v>
      </c>
      <c r="E20" s="110"/>
      <c r="F20" s="119"/>
      <c r="G20" s="110"/>
      <c r="H20" s="121" t="s">
        <v>1649</v>
      </c>
    </row>
    <row r="21">
      <c r="A21" s="110"/>
      <c r="B21" s="110"/>
      <c r="C21" s="121" t="s">
        <v>582</v>
      </c>
      <c r="D21" s="122">
        <v>0.014976851851851852</v>
      </c>
      <c r="E21" s="110"/>
      <c r="F21" s="119"/>
      <c r="G21" s="110"/>
      <c r="H21" s="121" t="s">
        <v>583</v>
      </c>
    </row>
    <row r="22">
      <c r="A22" s="110"/>
      <c r="B22" s="110"/>
      <c r="C22" s="121" t="s">
        <v>584</v>
      </c>
      <c r="D22" s="122">
        <v>0.018483796296296297</v>
      </c>
      <c r="E22" s="110"/>
      <c r="F22" s="110"/>
      <c r="G22" s="110"/>
      <c r="H22" s="121" t="s">
        <v>585</v>
      </c>
    </row>
    <row r="23">
      <c r="A23" s="110"/>
      <c r="B23" s="110"/>
      <c r="C23" s="121" t="s">
        <v>586</v>
      </c>
      <c r="D23" s="122">
        <v>0.019837962962962963</v>
      </c>
      <c r="E23" s="110"/>
      <c r="F23" s="110"/>
      <c r="G23" s="110"/>
      <c r="H23" s="121" t="s">
        <v>587</v>
      </c>
    </row>
    <row r="24">
      <c r="A24" s="110"/>
      <c r="B24" s="110"/>
      <c r="C24" s="121" t="s">
        <v>588</v>
      </c>
      <c r="D24" s="122">
        <v>0.016203703703703703</v>
      </c>
      <c r="E24" s="110"/>
      <c r="F24" s="119"/>
      <c r="G24" s="110"/>
      <c r="H24" s="121" t="s">
        <v>589</v>
      </c>
    </row>
    <row r="25">
      <c r="A25" s="110"/>
      <c r="B25" s="110"/>
      <c r="C25" s="121" t="s">
        <v>590</v>
      </c>
      <c r="D25" s="122">
        <v>0.01810185185185185</v>
      </c>
      <c r="E25" s="110"/>
      <c r="F25" s="119"/>
      <c r="G25" s="110"/>
      <c r="H25" s="121" t="s">
        <v>591</v>
      </c>
    </row>
    <row r="26">
      <c r="A26" s="110"/>
      <c r="B26" s="110"/>
      <c r="C26" s="121" t="s">
        <v>1410</v>
      </c>
      <c r="D26" s="122">
        <v>0.0042361111111111115</v>
      </c>
      <c r="E26" s="110"/>
      <c r="F26" s="119"/>
      <c r="G26" s="110"/>
      <c r="H26" s="121" t="s">
        <v>1650</v>
      </c>
    </row>
    <row r="27">
      <c r="A27" s="110"/>
      <c r="B27" s="110"/>
      <c r="C27" s="121" t="s">
        <v>592</v>
      </c>
      <c r="D27" s="122">
        <v>0.01136574074074074</v>
      </c>
      <c r="E27" s="110"/>
      <c r="F27" s="119"/>
      <c r="G27" s="110"/>
      <c r="H27" s="121" t="s">
        <v>593</v>
      </c>
    </row>
    <row r="28">
      <c r="A28" s="110"/>
      <c r="B28" s="110"/>
      <c r="C28" s="121" t="s">
        <v>594</v>
      </c>
      <c r="D28" s="122">
        <v>0.01511574074074074</v>
      </c>
      <c r="E28" s="110"/>
      <c r="F28" s="110"/>
      <c r="G28" s="110"/>
      <c r="H28" s="121" t="s">
        <v>595</v>
      </c>
    </row>
    <row r="29">
      <c r="A29" s="110"/>
      <c r="B29" s="110"/>
      <c r="C29" s="121" t="s">
        <v>1651</v>
      </c>
      <c r="D29" s="122">
        <v>0.008657407407407407</v>
      </c>
      <c r="E29" s="110"/>
      <c r="F29" s="110"/>
      <c r="G29" s="110"/>
      <c r="H29" s="121" t="s">
        <v>1652</v>
      </c>
    </row>
    <row r="30">
      <c r="A30" s="110"/>
      <c r="B30" s="121" t="s">
        <v>1653</v>
      </c>
      <c r="C30" s="110"/>
      <c r="D30" s="119"/>
      <c r="E30" s="110"/>
      <c r="F30" s="120">
        <f>SUM(D31:D35)</f>
        <v>0.08427083333</v>
      </c>
      <c r="G30" s="110"/>
      <c r="H30" s="110"/>
    </row>
    <row r="31">
      <c r="A31" s="110"/>
      <c r="B31" s="110"/>
      <c r="C31" s="121" t="s">
        <v>1654</v>
      </c>
      <c r="D31" s="122">
        <v>0.023310185185185184</v>
      </c>
      <c r="E31" s="110"/>
      <c r="F31" s="119"/>
      <c r="G31" s="110"/>
      <c r="H31" s="121" t="s">
        <v>1655</v>
      </c>
    </row>
    <row r="32">
      <c r="A32" s="110"/>
      <c r="B32" s="110"/>
      <c r="C32" s="121" t="s">
        <v>1656</v>
      </c>
      <c r="D32" s="122">
        <v>0.02861111111111111</v>
      </c>
      <c r="E32" s="110"/>
      <c r="F32" s="119"/>
      <c r="G32" s="110"/>
      <c r="H32" s="121" t="s">
        <v>1657</v>
      </c>
    </row>
    <row r="33">
      <c r="A33" s="110"/>
      <c r="B33" s="110"/>
      <c r="C33" s="121" t="s">
        <v>496</v>
      </c>
      <c r="D33" s="122">
        <v>0.010092592592592592</v>
      </c>
      <c r="E33" s="110"/>
      <c r="F33" s="119"/>
      <c r="G33" s="110"/>
      <c r="H33" s="121" t="s">
        <v>1658</v>
      </c>
    </row>
    <row r="34">
      <c r="A34" s="110"/>
      <c r="B34" s="110"/>
      <c r="C34" s="121" t="s">
        <v>498</v>
      </c>
      <c r="D34" s="122">
        <v>0.013564814814814814</v>
      </c>
      <c r="E34" s="110"/>
      <c r="F34" s="119"/>
      <c r="G34" s="110"/>
      <c r="H34" s="121" t="s">
        <v>499</v>
      </c>
    </row>
    <row r="35">
      <c r="A35" s="110"/>
      <c r="B35" s="110"/>
      <c r="C35" s="121" t="s">
        <v>768</v>
      </c>
      <c r="D35" s="122">
        <v>0.00869212962962963</v>
      </c>
      <c r="E35" s="110"/>
      <c r="F35" s="119"/>
      <c r="G35" s="110"/>
      <c r="H35" s="121" t="s">
        <v>769</v>
      </c>
    </row>
    <row r="36">
      <c r="A36" s="110"/>
      <c r="B36" s="121" t="s">
        <v>541</v>
      </c>
      <c r="C36" s="110"/>
      <c r="D36" s="119"/>
      <c r="E36" s="110"/>
      <c r="F36" s="120">
        <f>SUM(D37:D38)</f>
        <v>0.03841435185</v>
      </c>
      <c r="G36" s="110"/>
      <c r="H36" s="110"/>
    </row>
    <row r="37">
      <c r="A37" s="110"/>
      <c r="B37" s="110"/>
      <c r="C37" s="121" t="s">
        <v>539</v>
      </c>
      <c r="D37" s="122">
        <v>0.025347222222222222</v>
      </c>
      <c r="E37" s="110"/>
      <c r="F37" s="110"/>
      <c r="G37" s="110"/>
      <c r="H37" s="121" t="s">
        <v>540</v>
      </c>
    </row>
    <row r="38">
      <c r="A38" s="110"/>
      <c r="B38" s="110"/>
      <c r="C38" s="121" t="s">
        <v>542</v>
      </c>
      <c r="D38" s="122">
        <v>0.01306712962962963</v>
      </c>
      <c r="E38" s="110"/>
      <c r="F38" s="119"/>
      <c r="G38" s="110"/>
      <c r="H38" s="121" t="s">
        <v>543</v>
      </c>
    </row>
    <row r="39">
      <c r="A39" s="110"/>
      <c r="B39" s="121" t="s">
        <v>546</v>
      </c>
      <c r="C39" s="110"/>
      <c r="D39" s="119"/>
      <c r="E39" s="110"/>
      <c r="F39" s="120">
        <f>SUM(D40:D41)</f>
        <v>0.03563657407</v>
      </c>
      <c r="G39" s="110"/>
      <c r="H39" s="110"/>
    </row>
    <row r="40">
      <c r="A40" s="110"/>
      <c r="B40" s="110"/>
      <c r="C40" s="121" t="s">
        <v>1402</v>
      </c>
      <c r="D40" s="122">
        <v>0.022164351851851852</v>
      </c>
      <c r="E40" s="110"/>
      <c r="F40" s="119"/>
      <c r="G40" s="110"/>
      <c r="H40" s="121" t="s">
        <v>1659</v>
      </c>
    </row>
    <row r="41">
      <c r="A41" s="110"/>
      <c r="B41" s="110"/>
      <c r="C41" s="121" t="s">
        <v>544</v>
      </c>
      <c r="D41" s="122">
        <v>0.013472222222222222</v>
      </c>
      <c r="E41" s="110"/>
      <c r="F41" s="110"/>
      <c r="G41" s="110"/>
      <c r="H41" s="123" t="s">
        <v>545</v>
      </c>
    </row>
    <row r="42">
      <c r="A42" s="110"/>
      <c r="B42" s="121" t="s">
        <v>549</v>
      </c>
      <c r="C42" s="110"/>
      <c r="D42" s="119"/>
      <c r="E42" s="110"/>
      <c r="F42" s="120">
        <f>SUM(D43:D51)</f>
        <v>0.1562152778</v>
      </c>
      <c r="G42" s="110"/>
      <c r="H42" s="110"/>
    </row>
    <row r="43">
      <c r="A43" s="110"/>
      <c r="B43" s="110"/>
      <c r="C43" s="121" t="s">
        <v>1660</v>
      </c>
      <c r="D43" s="122">
        <v>0.021458333333333333</v>
      </c>
      <c r="E43" s="110"/>
      <c r="F43" s="110"/>
      <c r="G43" s="110"/>
      <c r="H43" s="123" t="s">
        <v>1661</v>
      </c>
    </row>
    <row r="44">
      <c r="A44" s="110"/>
      <c r="B44" s="110"/>
      <c r="C44" s="121" t="s">
        <v>1662</v>
      </c>
      <c r="D44" s="122">
        <v>0.013981481481481482</v>
      </c>
      <c r="E44" s="110"/>
      <c r="F44" s="110"/>
      <c r="G44" s="110"/>
      <c r="H44" s="123" t="s">
        <v>1663</v>
      </c>
    </row>
    <row r="45">
      <c r="A45" s="110"/>
      <c r="B45" s="110"/>
      <c r="C45" s="121" t="s">
        <v>1664</v>
      </c>
      <c r="D45" s="122">
        <v>0.018194444444444444</v>
      </c>
      <c r="E45" s="110"/>
      <c r="F45" s="110"/>
      <c r="G45" s="110"/>
      <c r="H45" s="123" t="s">
        <v>1665</v>
      </c>
    </row>
    <row r="46">
      <c r="A46" s="110"/>
      <c r="B46" s="110"/>
      <c r="C46" s="121" t="s">
        <v>552</v>
      </c>
      <c r="D46" s="122">
        <v>0.026643518518518518</v>
      </c>
      <c r="E46" s="110"/>
      <c r="F46" s="110"/>
      <c r="G46" s="110"/>
      <c r="H46" s="123" t="s">
        <v>553</v>
      </c>
    </row>
    <row r="47">
      <c r="A47" s="110"/>
      <c r="B47" s="110"/>
      <c r="C47" s="121" t="s">
        <v>554</v>
      </c>
      <c r="D47" s="122">
        <v>0.010034722222222223</v>
      </c>
      <c r="E47" s="110"/>
      <c r="F47" s="119"/>
      <c r="G47" s="110"/>
      <c r="H47" s="123" t="s">
        <v>555</v>
      </c>
    </row>
    <row r="48">
      <c r="A48" s="110"/>
      <c r="B48" s="110"/>
      <c r="C48" s="121" t="s">
        <v>1405</v>
      </c>
      <c r="D48" s="122">
        <v>0.013171296296296296</v>
      </c>
      <c r="E48" s="110"/>
      <c r="F48" s="110"/>
      <c r="G48" s="110"/>
      <c r="H48" s="123" t="s">
        <v>1666</v>
      </c>
    </row>
    <row r="49">
      <c r="A49" s="110"/>
      <c r="B49" s="110"/>
      <c r="C49" s="121" t="s">
        <v>556</v>
      </c>
      <c r="D49" s="122">
        <v>0.0175</v>
      </c>
      <c r="E49" s="110"/>
      <c r="F49" s="110"/>
      <c r="G49" s="110"/>
      <c r="H49" s="123" t="s">
        <v>557</v>
      </c>
    </row>
    <row r="50">
      <c r="A50" s="110"/>
      <c r="B50" s="110"/>
      <c r="C50" s="121" t="s">
        <v>558</v>
      </c>
      <c r="D50" s="122">
        <v>0.016793981481481483</v>
      </c>
      <c r="E50" s="110"/>
      <c r="F50" s="119"/>
      <c r="G50" s="110"/>
      <c r="H50" s="123" t="s">
        <v>559</v>
      </c>
    </row>
    <row r="51">
      <c r="A51" s="110"/>
      <c r="B51" s="110"/>
      <c r="C51" s="121" t="s">
        <v>560</v>
      </c>
      <c r="D51" s="122">
        <v>0.0184375</v>
      </c>
      <c r="E51" s="110"/>
      <c r="F51" s="119"/>
      <c r="G51" s="110"/>
      <c r="H51" s="123" t="s">
        <v>561</v>
      </c>
    </row>
    <row r="52">
      <c r="A52" s="110"/>
      <c r="B52" s="121" t="s">
        <v>564</v>
      </c>
      <c r="C52" s="110"/>
      <c r="D52" s="119"/>
      <c r="E52" s="110"/>
      <c r="F52" s="120">
        <f>SUM(D53:D59)</f>
        <v>0.09208333333</v>
      </c>
      <c r="G52" s="110"/>
      <c r="H52" s="110"/>
    </row>
    <row r="53">
      <c r="A53" s="110"/>
      <c r="B53" s="110"/>
      <c r="C53" s="110" t="s">
        <v>562</v>
      </c>
      <c r="D53" s="122">
        <v>0.013518518518518518</v>
      </c>
      <c r="E53" s="110"/>
      <c r="F53" s="110"/>
      <c r="G53" s="110"/>
      <c r="H53" s="121" t="s">
        <v>563</v>
      </c>
    </row>
    <row r="54">
      <c r="A54" s="110"/>
      <c r="B54" s="110"/>
      <c r="C54" s="110" t="s">
        <v>565</v>
      </c>
      <c r="D54" s="122">
        <v>0.00988425925925926</v>
      </c>
      <c r="E54" s="110"/>
      <c r="F54" s="110"/>
      <c r="G54" s="110"/>
      <c r="H54" s="121" t="s">
        <v>566</v>
      </c>
    </row>
    <row r="55">
      <c r="A55" s="110"/>
      <c r="B55" s="110"/>
      <c r="C55" s="121" t="s">
        <v>567</v>
      </c>
      <c r="D55" s="122">
        <v>0.007268518518518519</v>
      </c>
      <c r="E55" s="110"/>
      <c r="F55" s="110"/>
      <c r="G55" s="110"/>
      <c r="H55" s="121" t="s">
        <v>568</v>
      </c>
    </row>
    <row r="56">
      <c r="A56" s="110"/>
      <c r="B56" s="110"/>
      <c r="C56" s="121" t="s">
        <v>569</v>
      </c>
      <c r="D56" s="122">
        <v>0.025138888888888888</v>
      </c>
      <c r="E56" s="110"/>
      <c r="F56" s="110"/>
      <c r="G56" s="110"/>
      <c r="H56" s="121" t="s">
        <v>570</v>
      </c>
    </row>
    <row r="57">
      <c r="A57" s="110"/>
      <c r="B57" s="110"/>
      <c r="C57" s="121" t="s">
        <v>571</v>
      </c>
      <c r="D57" s="122">
        <v>0.015543981481481482</v>
      </c>
      <c r="E57" s="110"/>
      <c r="F57" s="110"/>
      <c r="G57" s="110"/>
      <c r="H57" s="121" t="s">
        <v>572</v>
      </c>
    </row>
    <row r="58">
      <c r="A58" s="110"/>
      <c r="B58" s="110"/>
      <c r="C58" s="121" t="s">
        <v>1667</v>
      </c>
      <c r="D58" s="122">
        <v>0.01355324074074074</v>
      </c>
      <c r="E58" s="110"/>
      <c r="F58" s="119"/>
      <c r="G58" s="110"/>
      <c r="H58" s="110" t="s">
        <v>1668</v>
      </c>
    </row>
    <row r="59">
      <c r="A59" s="110"/>
      <c r="B59" s="110"/>
      <c r="C59" s="121" t="s">
        <v>573</v>
      </c>
      <c r="D59" s="122">
        <v>0.007175925925925926</v>
      </c>
      <c r="E59" s="110"/>
      <c r="F59" s="119"/>
      <c r="G59" s="110"/>
      <c r="H59" s="110" t="s">
        <v>574</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2.56"/>
    <col customWidth="1" min="2" max="2" width="23.0"/>
    <col customWidth="1" min="3" max="3" width="28.11"/>
    <col customWidth="1" min="4" max="4" width="7.44"/>
    <col customWidth="1" min="5" max="5" width="31.89"/>
    <col customWidth="1" min="6" max="6" width="48.89"/>
    <col customWidth="1" min="7" max="7" width="7.44"/>
  </cols>
  <sheetData>
    <row r="1">
      <c r="A1" s="87" t="s">
        <v>1355</v>
      </c>
      <c r="B1" s="87" t="s">
        <v>1376</v>
      </c>
      <c r="C1" s="88" t="s">
        <v>1356</v>
      </c>
      <c r="D1" s="88" t="s">
        <v>1357</v>
      </c>
      <c r="E1" s="88" t="s">
        <v>13</v>
      </c>
      <c r="F1" s="88" t="s">
        <v>1359</v>
      </c>
      <c r="G1" s="88" t="s">
        <v>1360</v>
      </c>
    </row>
    <row r="2">
      <c r="A2" s="89" t="s">
        <v>1481</v>
      </c>
      <c r="B2" s="89" t="s">
        <v>1482</v>
      </c>
      <c r="C2" s="90" t="s">
        <v>1483</v>
      </c>
      <c r="D2" s="91">
        <v>1.0</v>
      </c>
      <c r="E2" s="90" t="s">
        <v>773</v>
      </c>
      <c r="F2" s="90" t="s">
        <v>770</v>
      </c>
      <c r="G2" s="92">
        <v>0.010428240740740741</v>
      </c>
    </row>
    <row r="3">
      <c r="A3" s="89" t="s">
        <v>1481</v>
      </c>
      <c r="B3" s="89" t="s">
        <v>1482</v>
      </c>
      <c r="C3" s="90" t="s">
        <v>1483</v>
      </c>
      <c r="D3" s="91">
        <v>1.0</v>
      </c>
      <c r="E3" s="90" t="s">
        <v>773</v>
      </c>
      <c r="F3" s="90" t="s">
        <v>710</v>
      </c>
      <c r="G3" s="92">
        <v>0.014224537037037037</v>
      </c>
    </row>
    <row r="4">
      <c r="A4" s="89" t="s">
        <v>1481</v>
      </c>
      <c r="B4" s="89" t="s">
        <v>1482</v>
      </c>
      <c r="C4" s="90" t="s">
        <v>1483</v>
      </c>
      <c r="D4" s="91">
        <v>1.0</v>
      </c>
      <c r="E4" s="90" t="s">
        <v>773</v>
      </c>
      <c r="F4" s="90" t="s">
        <v>1484</v>
      </c>
      <c r="G4" s="92">
        <v>0.010555555555555556</v>
      </c>
    </row>
    <row r="5">
      <c r="A5" s="89" t="s">
        <v>1481</v>
      </c>
      <c r="B5" s="89" t="s">
        <v>1482</v>
      </c>
      <c r="C5" s="90" t="s">
        <v>1483</v>
      </c>
      <c r="D5" s="91">
        <v>2.0</v>
      </c>
      <c r="E5" s="90" t="s">
        <v>776</v>
      </c>
      <c r="F5" s="90" t="s">
        <v>774</v>
      </c>
      <c r="G5" s="92">
        <v>0.008599537037037037</v>
      </c>
    </row>
    <row r="6">
      <c r="A6" s="89" t="s">
        <v>1481</v>
      </c>
      <c r="B6" s="89" t="s">
        <v>1482</v>
      </c>
      <c r="C6" s="90" t="s">
        <v>1483</v>
      </c>
      <c r="D6" s="91">
        <v>2.0</v>
      </c>
      <c r="E6" s="90" t="s">
        <v>776</v>
      </c>
      <c r="F6" s="90" t="s">
        <v>1485</v>
      </c>
      <c r="G6" s="92">
        <v>0.006759259259259259</v>
      </c>
    </row>
    <row r="7">
      <c r="A7" s="89" t="s">
        <v>1481</v>
      </c>
      <c r="B7" s="89" t="s">
        <v>1482</v>
      </c>
      <c r="C7" s="90" t="s">
        <v>1483</v>
      </c>
      <c r="D7" s="91">
        <v>2.0</v>
      </c>
      <c r="E7" s="90" t="s">
        <v>776</v>
      </c>
      <c r="F7" s="90" t="s">
        <v>777</v>
      </c>
      <c r="G7" s="92">
        <v>0.020833333333333332</v>
      </c>
    </row>
    <row r="8">
      <c r="A8" s="89" t="s">
        <v>1481</v>
      </c>
      <c r="B8" s="89" t="s">
        <v>1482</v>
      </c>
      <c r="C8" s="90" t="s">
        <v>1486</v>
      </c>
      <c r="D8" s="91">
        <v>1.0</v>
      </c>
      <c r="E8" s="90" t="s">
        <v>780</v>
      </c>
      <c r="F8" s="90" t="s">
        <v>778</v>
      </c>
      <c r="G8" s="92">
        <v>0.007465277777777778</v>
      </c>
    </row>
    <row r="9">
      <c r="A9" s="89" t="s">
        <v>1481</v>
      </c>
      <c r="B9" s="89" t="s">
        <v>1482</v>
      </c>
      <c r="C9" s="90" t="s">
        <v>1486</v>
      </c>
      <c r="D9" s="91">
        <v>1.0</v>
      </c>
      <c r="E9" s="90" t="s">
        <v>780</v>
      </c>
      <c r="F9" s="90" t="s">
        <v>781</v>
      </c>
      <c r="G9" s="92">
        <v>0.005324074074074074</v>
      </c>
    </row>
    <row r="10">
      <c r="A10" s="89" t="s">
        <v>1481</v>
      </c>
      <c r="B10" s="89" t="s">
        <v>1482</v>
      </c>
      <c r="C10" s="90" t="s">
        <v>1486</v>
      </c>
      <c r="D10" s="91">
        <v>2.0</v>
      </c>
      <c r="E10" s="90" t="s">
        <v>784</v>
      </c>
      <c r="F10" s="90" t="s">
        <v>783</v>
      </c>
      <c r="G10" s="92">
        <v>0.005509259259259259</v>
      </c>
    </row>
    <row r="11">
      <c r="A11" s="89" t="s">
        <v>1481</v>
      </c>
      <c r="B11" s="89" t="s">
        <v>1482</v>
      </c>
      <c r="C11" s="90" t="s">
        <v>1486</v>
      </c>
      <c r="D11" s="91">
        <v>2.0</v>
      </c>
      <c r="E11" s="90" t="s">
        <v>784</v>
      </c>
      <c r="F11" s="90" t="s">
        <v>785</v>
      </c>
      <c r="G11" s="92">
        <v>0.008506944444444444</v>
      </c>
    </row>
    <row r="12">
      <c r="A12" s="89" t="s">
        <v>1481</v>
      </c>
      <c r="B12" s="89" t="s">
        <v>1482</v>
      </c>
      <c r="C12" s="90" t="s">
        <v>1486</v>
      </c>
      <c r="D12" s="91">
        <v>2.0</v>
      </c>
      <c r="E12" s="90" t="s">
        <v>784</v>
      </c>
      <c r="F12" s="90" t="s">
        <v>1487</v>
      </c>
      <c r="G12" s="92">
        <v>0.005567129629629629</v>
      </c>
    </row>
    <row r="13">
      <c r="A13" s="89" t="s">
        <v>1481</v>
      </c>
      <c r="B13" s="89" t="s">
        <v>1482</v>
      </c>
      <c r="C13" s="90" t="s">
        <v>1486</v>
      </c>
      <c r="D13" s="91">
        <v>2.0</v>
      </c>
      <c r="E13" s="90" t="s">
        <v>784</v>
      </c>
      <c r="F13" s="90" t="s">
        <v>787</v>
      </c>
      <c r="G13" s="92">
        <v>0.005393518518518519</v>
      </c>
    </row>
    <row r="14">
      <c r="A14" s="89" t="s">
        <v>1481</v>
      </c>
      <c r="B14" s="89" t="s">
        <v>1482</v>
      </c>
      <c r="C14" s="90" t="s">
        <v>1486</v>
      </c>
      <c r="D14" s="91">
        <v>2.0</v>
      </c>
      <c r="E14" s="90" t="s">
        <v>784</v>
      </c>
      <c r="F14" s="90" t="s">
        <v>789</v>
      </c>
      <c r="G14" s="92">
        <v>0.010162037037037037</v>
      </c>
    </row>
    <row r="15">
      <c r="A15" s="89" t="s">
        <v>1481</v>
      </c>
      <c r="B15" s="89" t="s">
        <v>1482</v>
      </c>
      <c r="C15" s="90" t="s">
        <v>1486</v>
      </c>
      <c r="D15" s="91">
        <v>2.0</v>
      </c>
      <c r="E15" s="90" t="s">
        <v>784</v>
      </c>
      <c r="F15" s="90" t="s">
        <v>791</v>
      </c>
      <c r="G15" s="92">
        <v>0.00681712962962963</v>
      </c>
    </row>
    <row r="16">
      <c r="A16" s="89" t="s">
        <v>1481</v>
      </c>
      <c r="B16" s="89" t="s">
        <v>1482</v>
      </c>
      <c r="C16" s="90" t="s">
        <v>1486</v>
      </c>
      <c r="D16" s="91">
        <v>2.0</v>
      </c>
      <c r="E16" s="90" t="s">
        <v>784</v>
      </c>
      <c r="F16" s="90" t="s">
        <v>793</v>
      </c>
      <c r="G16" s="92">
        <v>0.001979166666666667</v>
      </c>
    </row>
    <row r="17">
      <c r="A17" s="89" t="s">
        <v>1481</v>
      </c>
      <c r="B17" s="89" t="s">
        <v>1482</v>
      </c>
      <c r="C17" s="90" t="s">
        <v>1486</v>
      </c>
      <c r="D17" s="91">
        <v>2.0</v>
      </c>
      <c r="E17" s="90" t="s">
        <v>784</v>
      </c>
      <c r="F17" s="90" t="s">
        <v>795</v>
      </c>
      <c r="G17" s="92">
        <v>0.020833333333333332</v>
      </c>
    </row>
    <row r="18">
      <c r="A18" s="89" t="s">
        <v>1481</v>
      </c>
      <c r="B18" s="89" t="s">
        <v>1482</v>
      </c>
      <c r="C18" s="90" t="s">
        <v>1486</v>
      </c>
      <c r="D18" s="91">
        <v>3.0</v>
      </c>
      <c r="E18" s="90" t="s">
        <v>798</v>
      </c>
      <c r="F18" s="90" t="s">
        <v>796</v>
      </c>
      <c r="G18" s="92">
        <v>0.006666666666666667</v>
      </c>
    </row>
    <row r="19">
      <c r="A19" s="89" t="s">
        <v>1481</v>
      </c>
      <c r="B19" s="89" t="s">
        <v>1482</v>
      </c>
      <c r="C19" s="90" t="s">
        <v>1486</v>
      </c>
      <c r="D19" s="91">
        <v>3.0</v>
      </c>
      <c r="E19" s="90" t="s">
        <v>798</v>
      </c>
      <c r="F19" s="90" t="s">
        <v>799</v>
      </c>
      <c r="G19" s="92">
        <v>0.00738425925925926</v>
      </c>
    </row>
    <row r="20">
      <c r="A20" s="89" t="s">
        <v>1481</v>
      </c>
      <c r="B20" s="89" t="s">
        <v>1482</v>
      </c>
      <c r="C20" s="90" t="s">
        <v>1486</v>
      </c>
      <c r="D20" s="91">
        <v>3.0</v>
      </c>
      <c r="E20" s="90" t="s">
        <v>798</v>
      </c>
      <c r="F20" s="90" t="s">
        <v>801</v>
      </c>
      <c r="G20" s="92">
        <v>0.004085648148148148</v>
      </c>
    </row>
    <row r="21">
      <c r="A21" s="89" t="s">
        <v>1481</v>
      </c>
      <c r="B21" s="89" t="s">
        <v>1482</v>
      </c>
      <c r="C21" s="90" t="s">
        <v>1486</v>
      </c>
      <c r="D21" s="91">
        <v>3.0</v>
      </c>
      <c r="E21" s="90" t="s">
        <v>798</v>
      </c>
      <c r="F21" s="90" t="s">
        <v>803</v>
      </c>
      <c r="G21" s="92">
        <v>0.020833333333333332</v>
      </c>
    </row>
    <row r="22">
      <c r="A22" s="89" t="s">
        <v>1481</v>
      </c>
      <c r="B22" s="89" t="s">
        <v>1482</v>
      </c>
      <c r="C22" s="90" t="s">
        <v>1486</v>
      </c>
      <c r="D22" s="91">
        <v>3.0</v>
      </c>
      <c r="E22" s="90" t="s">
        <v>798</v>
      </c>
      <c r="F22" s="90" t="s">
        <v>804</v>
      </c>
      <c r="G22" s="92">
        <v>0.020833333333333332</v>
      </c>
    </row>
    <row r="23">
      <c r="A23" s="89" t="s">
        <v>1481</v>
      </c>
      <c r="B23" s="89" t="s">
        <v>1482</v>
      </c>
      <c r="C23" s="90" t="s">
        <v>1486</v>
      </c>
      <c r="D23" s="91">
        <v>4.0</v>
      </c>
      <c r="E23" s="90" t="s">
        <v>807</v>
      </c>
      <c r="F23" s="90" t="s">
        <v>805</v>
      </c>
      <c r="G23" s="92">
        <v>0.0125</v>
      </c>
    </row>
    <row r="24">
      <c r="A24" s="89" t="s">
        <v>1481</v>
      </c>
      <c r="B24" s="89" t="s">
        <v>1482</v>
      </c>
      <c r="C24" s="90" t="s">
        <v>1486</v>
      </c>
      <c r="D24" s="91">
        <v>4.0</v>
      </c>
      <c r="E24" s="90" t="s">
        <v>807</v>
      </c>
      <c r="F24" s="90" t="s">
        <v>808</v>
      </c>
      <c r="G24" s="92">
        <v>0.010578703703703703</v>
      </c>
    </row>
    <row r="25">
      <c r="A25" s="89" t="s">
        <v>1481</v>
      </c>
      <c r="B25" s="89" t="s">
        <v>1482</v>
      </c>
      <c r="C25" s="90" t="s">
        <v>1486</v>
      </c>
      <c r="D25" s="91">
        <v>4.0</v>
      </c>
      <c r="E25" s="90" t="s">
        <v>807</v>
      </c>
      <c r="F25" s="90" t="s">
        <v>810</v>
      </c>
      <c r="G25" s="92">
        <v>0.009432870370370371</v>
      </c>
    </row>
    <row r="26">
      <c r="A26" s="89" t="s">
        <v>1481</v>
      </c>
      <c r="B26" s="89" t="s">
        <v>1482</v>
      </c>
      <c r="C26" s="90" t="s">
        <v>1486</v>
      </c>
      <c r="D26" s="91">
        <v>4.0</v>
      </c>
      <c r="E26" s="90" t="s">
        <v>807</v>
      </c>
      <c r="F26" s="90" t="s">
        <v>812</v>
      </c>
      <c r="G26" s="92">
        <v>0.010972222222222222</v>
      </c>
    </row>
    <row r="27">
      <c r="A27" s="89" t="s">
        <v>1481</v>
      </c>
      <c r="B27" s="89" t="s">
        <v>1482</v>
      </c>
      <c r="C27" s="90" t="s">
        <v>1486</v>
      </c>
      <c r="D27" s="91">
        <v>4.0</v>
      </c>
      <c r="E27" s="90" t="s">
        <v>807</v>
      </c>
      <c r="F27" s="90" t="s">
        <v>814</v>
      </c>
      <c r="G27" s="92">
        <v>0.003310185185185185</v>
      </c>
    </row>
    <row r="28">
      <c r="A28" s="89" t="s">
        <v>1481</v>
      </c>
      <c r="B28" s="89" t="s">
        <v>1482</v>
      </c>
      <c r="C28" s="90" t="s">
        <v>1486</v>
      </c>
      <c r="D28" s="91">
        <v>4.0</v>
      </c>
      <c r="E28" s="90" t="s">
        <v>807</v>
      </c>
      <c r="F28" s="90" t="s">
        <v>1488</v>
      </c>
      <c r="G28" s="92">
        <v>0.009143518518518518</v>
      </c>
    </row>
    <row r="29">
      <c r="A29" s="89" t="s">
        <v>1481</v>
      </c>
      <c r="B29" s="89" t="s">
        <v>1482</v>
      </c>
      <c r="C29" s="90" t="s">
        <v>1486</v>
      </c>
      <c r="D29" s="91">
        <v>4.0</v>
      </c>
      <c r="E29" s="90" t="s">
        <v>807</v>
      </c>
      <c r="F29" s="90" t="s">
        <v>1489</v>
      </c>
      <c r="G29" s="92">
        <v>0.00880787037037037</v>
      </c>
    </row>
    <row r="30">
      <c r="A30" s="89" t="s">
        <v>1481</v>
      </c>
      <c r="B30" s="89" t="s">
        <v>1482</v>
      </c>
      <c r="C30" s="90" t="s">
        <v>1486</v>
      </c>
      <c r="D30" s="91">
        <v>4.0</v>
      </c>
      <c r="E30" s="90" t="s">
        <v>807</v>
      </c>
      <c r="F30" s="90" t="s">
        <v>816</v>
      </c>
      <c r="G30" s="92">
        <v>0.007604166666666667</v>
      </c>
    </row>
    <row r="31">
      <c r="A31" s="89" t="s">
        <v>1481</v>
      </c>
      <c r="B31" s="89" t="s">
        <v>1482</v>
      </c>
      <c r="C31" s="90" t="s">
        <v>1486</v>
      </c>
      <c r="D31" s="91">
        <v>4.0</v>
      </c>
      <c r="E31" s="90" t="s">
        <v>807</v>
      </c>
      <c r="F31" s="90" t="s">
        <v>818</v>
      </c>
      <c r="G31" s="92">
        <v>0.041666666666666664</v>
      </c>
    </row>
    <row r="32">
      <c r="A32" s="89" t="s">
        <v>1481</v>
      </c>
      <c r="B32" s="89" t="s">
        <v>1482</v>
      </c>
      <c r="C32" s="90" t="s">
        <v>1486</v>
      </c>
      <c r="D32" s="91">
        <v>4.0</v>
      </c>
      <c r="E32" s="90" t="s">
        <v>807</v>
      </c>
      <c r="F32" s="90" t="s">
        <v>819</v>
      </c>
      <c r="G32" s="92">
        <v>0.03125</v>
      </c>
    </row>
    <row r="33">
      <c r="A33" s="89" t="s">
        <v>1481</v>
      </c>
      <c r="B33" s="89" t="s">
        <v>1482</v>
      </c>
      <c r="C33" s="90" t="s">
        <v>1490</v>
      </c>
      <c r="D33" s="91">
        <v>1.0</v>
      </c>
      <c r="E33" s="90" t="s">
        <v>822</v>
      </c>
      <c r="F33" s="90" t="s">
        <v>1491</v>
      </c>
      <c r="G33" s="92">
        <v>0.01224537037037037</v>
      </c>
    </row>
    <row r="34">
      <c r="A34" s="89" t="s">
        <v>1481</v>
      </c>
      <c r="B34" s="89" t="s">
        <v>1482</v>
      </c>
      <c r="C34" s="90" t="s">
        <v>1490</v>
      </c>
      <c r="D34" s="91">
        <v>1.0</v>
      </c>
      <c r="E34" s="90" t="s">
        <v>822</v>
      </c>
      <c r="F34" s="90" t="s">
        <v>820</v>
      </c>
      <c r="G34" s="92">
        <v>0.009016203703703703</v>
      </c>
    </row>
    <row r="35">
      <c r="A35" s="89" t="s">
        <v>1481</v>
      </c>
      <c r="B35" s="89" t="s">
        <v>1482</v>
      </c>
      <c r="C35" s="90" t="s">
        <v>1490</v>
      </c>
      <c r="D35" s="91">
        <v>1.0</v>
      </c>
      <c r="E35" s="90" t="s">
        <v>822</v>
      </c>
      <c r="F35" s="90" t="s">
        <v>823</v>
      </c>
      <c r="G35" s="92">
        <v>0.005729166666666666</v>
      </c>
    </row>
    <row r="36">
      <c r="A36" s="89" t="s">
        <v>1481</v>
      </c>
      <c r="B36" s="89" t="s">
        <v>1482</v>
      </c>
      <c r="C36" s="90" t="s">
        <v>1490</v>
      </c>
      <c r="D36" s="91">
        <v>1.0</v>
      </c>
      <c r="E36" s="90" t="s">
        <v>822</v>
      </c>
      <c r="F36" s="90" t="s">
        <v>825</v>
      </c>
      <c r="G36" s="92">
        <v>0.004189814814814815</v>
      </c>
    </row>
    <row r="37">
      <c r="A37" s="89" t="s">
        <v>1481</v>
      </c>
      <c r="B37" s="89" t="s">
        <v>1482</v>
      </c>
      <c r="C37" s="90" t="s">
        <v>1490</v>
      </c>
      <c r="D37" s="91">
        <v>2.0</v>
      </c>
      <c r="E37" s="90" t="s">
        <v>829</v>
      </c>
      <c r="F37" s="90" t="s">
        <v>827</v>
      </c>
      <c r="G37" s="92">
        <v>0.004583333333333333</v>
      </c>
    </row>
    <row r="38">
      <c r="A38" s="89" t="s">
        <v>1481</v>
      </c>
      <c r="B38" s="89" t="s">
        <v>1482</v>
      </c>
      <c r="C38" s="90" t="s">
        <v>1490</v>
      </c>
      <c r="D38" s="91">
        <v>2.0</v>
      </c>
      <c r="E38" s="90" t="s">
        <v>829</v>
      </c>
      <c r="F38" s="90" t="s">
        <v>830</v>
      </c>
      <c r="G38" s="92">
        <v>0.00681712962962963</v>
      </c>
    </row>
    <row r="39">
      <c r="A39" s="89" t="s">
        <v>1481</v>
      </c>
      <c r="B39" s="89" t="s">
        <v>1482</v>
      </c>
      <c r="C39" s="90" t="s">
        <v>1490</v>
      </c>
      <c r="D39" s="91">
        <v>2.0</v>
      </c>
      <c r="E39" s="90" t="s">
        <v>829</v>
      </c>
      <c r="F39" s="90" t="s">
        <v>832</v>
      </c>
      <c r="G39" s="92">
        <v>0.0038657407407407408</v>
      </c>
    </row>
    <row r="40">
      <c r="A40" s="89" t="s">
        <v>1481</v>
      </c>
      <c r="B40" s="89" t="s">
        <v>1482</v>
      </c>
      <c r="C40" s="90" t="s">
        <v>1490</v>
      </c>
      <c r="D40" s="91">
        <v>2.0</v>
      </c>
      <c r="E40" s="90" t="s">
        <v>829</v>
      </c>
      <c r="F40" s="90" t="s">
        <v>1492</v>
      </c>
      <c r="G40" s="92">
        <v>0.011076388888888889</v>
      </c>
    </row>
    <row r="41">
      <c r="A41" s="89" t="s">
        <v>1481</v>
      </c>
      <c r="B41" s="89" t="s">
        <v>1482</v>
      </c>
      <c r="C41" s="90" t="s">
        <v>1490</v>
      </c>
      <c r="D41" s="91">
        <v>2.0</v>
      </c>
      <c r="E41" s="90" t="s">
        <v>829</v>
      </c>
      <c r="F41" s="90" t="s">
        <v>834</v>
      </c>
      <c r="G41" s="92">
        <v>0.003923611111111111</v>
      </c>
    </row>
    <row r="42">
      <c r="A42" s="89" t="s">
        <v>1481</v>
      </c>
      <c r="B42" s="89" t="s">
        <v>1482</v>
      </c>
      <c r="C42" s="90" t="s">
        <v>1490</v>
      </c>
      <c r="D42" s="91">
        <v>3.0</v>
      </c>
      <c r="E42" s="90" t="s">
        <v>838</v>
      </c>
      <c r="F42" s="90" t="s">
        <v>836</v>
      </c>
      <c r="G42" s="92">
        <v>0.0031944444444444446</v>
      </c>
    </row>
    <row r="43">
      <c r="A43" s="89" t="s">
        <v>1481</v>
      </c>
      <c r="B43" s="89" t="s">
        <v>1482</v>
      </c>
      <c r="C43" s="90" t="s">
        <v>1490</v>
      </c>
      <c r="D43" s="91">
        <v>3.0</v>
      </c>
      <c r="E43" s="90" t="s">
        <v>838</v>
      </c>
      <c r="F43" s="90" t="s">
        <v>839</v>
      </c>
      <c r="G43" s="92">
        <v>0.005648148148148148</v>
      </c>
    </row>
    <row r="44">
      <c r="A44" s="89" t="s">
        <v>1481</v>
      </c>
      <c r="B44" s="89" t="s">
        <v>1482</v>
      </c>
      <c r="C44" s="90" t="s">
        <v>1490</v>
      </c>
      <c r="D44" s="91">
        <v>3.0</v>
      </c>
      <c r="E44" s="90" t="s">
        <v>838</v>
      </c>
      <c r="F44" s="90" t="s">
        <v>841</v>
      </c>
      <c r="G44" s="92">
        <v>0.005138888888888889</v>
      </c>
    </row>
    <row r="45">
      <c r="A45" s="89" t="s">
        <v>1481</v>
      </c>
      <c r="B45" s="89" t="s">
        <v>1482</v>
      </c>
      <c r="C45" s="90" t="s">
        <v>1490</v>
      </c>
      <c r="D45" s="91">
        <v>3.0</v>
      </c>
      <c r="E45" s="90" t="s">
        <v>838</v>
      </c>
      <c r="F45" s="90" t="s">
        <v>1493</v>
      </c>
      <c r="G45" s="92">
        <v>0.004340277777777778</v>
      </c>
    </row>
    <row r="46">
      <c r="A46" s="89" t="s">
        <v>1481</v>
      </c>
      <c r="B46" s="89" t="s">
        <v>1482</v>
      </c>
      <c r="C46" s="90" t="s">
        <v>1490</v>
      </c>
      <c r="D46" s="91">
        <v>3.0</v>
      </c>
      <c r="E46" s="90" t="s">
        <v>838</v>
      </c>
      <c r="F46" s="90" t="s">
        <v>843</v>
      </c>
      <c r="G46" s="92">
        <v>0.004884259259259259</v>
      </c>
    </row>
    <row r="47">
      <c r="A47" s="89" t="s">
        <v>1481</v>
      </c>
      <c r="B47" s="89" t="s">
        <v>1482</v>
      </c>
      <c r="C47" s="90" t="s">
        <v>1490</v>
      </c>
      <c r="D47" s="91">
        <v>3.0</v>
      </c>
      <c r="E47" s="90" t="s">
        <v>838</v>
      </c>
      <c r="F47" s="90" t="s">
        <v>845</v>
      </c>
      <c r="G47" s="92">
        <v>0.0625</v>
      </c>
    </row>
    <row r="48">
      <c r="A48" s="89" t="s">
        <v>1481</v>
      </c>
      <c r="B48" s="89" t="s">
        <v>1482</v>
      </c>
      <c r="C48" s="90" t="s">
        <v>1494</v>
      </c>
      <c r="D48" s="91">
        <v>1.0</v>
      </c>
      <c r="E48" s="90" t="s">
        <v>848</v>
      </c>
      <c r="F48" s="90" t="s">
        <v>846</v>
      </c>
      <c r="G48" s="92">
        <v>0.0043287037037037035</v>
      </c>
    </row>
    <row r="49">
      <c r="A49" s="89" t="s">
        <v>1481</v>
      </c>
      <c r="B49" s="89" t="s">
        <v>1482</v>
      </c>
      <c r="C49" s="90" t="s">
        <v>1494</v>
      </c>
      <c r="D49" s="91">
        <v>1.0</v>
      </c>
      <c r="E49" s="90" t="s">
        <v>848</v>
      </c>
      <c r="F49" s="90" t="s">
        <v>849</v>
      </c>
      <c r="G49" s="92">
        <v>0.0020833333333333333</v>
      </c>
    </row>
    <row r="50">
      <c r="A50" s="89" t="s">
        <v>1481</v>
      </c>
      <c r="B50" s="89" t="s">
        <v>1482</v>
      </c>
      <c r="C50" s="90" t="s">
        <v>1494</v>
      </c>
      <c r="D50" s="91">
        <v>1.0</v>
      </c>
      <c r="E50" s="90" t="s">
        <v>848</v>
      </c>
      <c r="F50" s="90" t="s">
        <v>1495</v>
      </c>
      <c r="G50" s="92">
        <v>0.009328703703703704</v>
      </c>
    </row>
    <row r="51">
      <c r="A51" s="89" t="s">
        <v>1481</v>
      </c>
      <c r="B51" s="89" t="s">
        <v>1482</v>
      </c>
      <c r="C51" s="90" t="s">
        <v>1494</v>
      </c>
      <c r="D51" s="91">
        <v>2.0</v>
      </c>
      <c r="E51" s="90" t="s">
        <v>853</v>
      </c>
      <c r="F51" s="90" t="s">
        <v>851</v>
      </c>
      <c r="G51" s="92">
        <v>0.009548611111111112</v>
      </c>
    </row>
    <row r="52">
      <c r="A52" s="89" t="s">
        <v>1481</v>
      </c>
      <c r="B52" s="89" t="s">
        <v>1482</v>
      </c>
      <c r="C52" s="90" t="s">
        <v>1494</v>
      </c>
      <c r="D52" s="91">
        <v>2.0</v>
      </c>
      <c r="E52" s="90" t="s">
        <v>853</v>
      </c>
      <c r="F52" s="90" t="s">
        <v>854</v>
      </c>
      <c r="G52" s="92">
        <v>0.0028125</v>
      </c>
    </row>
    <row r="53">
      <c r="A53" s="89" t="s">
        <v>1481</v>
      </c>
      <c r="B53" s="89" t="s">
        <v>1482</v>
      </c>
      <c r="C53" s="90" t="s">
        <v>1494</v>
      </c>
      <c r="D53" s="91">
        <v>2.0</v>
      </c>
      <c r="E53" s="90" t="s">
        <v>853</v>
      </c>
      <c r="F53" s="90" t="s">
        <v>856</v>
      </c>
      <c r="G53" s="92">
        <v>0.01005787037037037</v>
      </c>
    </row>
    <row r="54">
      <c r="A54" s="89" t="s">
        <v>1481</v>
      </c>
      <c r="B54" s="89" t="s">
        <v>1482</v>
      </c>
      <c r="C54" s="90" t="s">
        <v>1494</v>
      </c>
      <c r="D54" s="91">
        <v>2.0</v>
      </c>
      <c r="E54" s="90" t="s">
        <v>853</v>
      </c>
      <c r="F54" s="90" t="s">
        <v>858</v>
      </c>
      <c r="G54" s="92">
        <v>0.001412037037037037</v>
      </c>
    </row>
    <row r="55">
      <c r="A55" s="89" t="s">
        <v>1481</v>
      </c>
      <c r="B55" s="89" t="s">
        <v>1482</v>
      </c>
      <c r="C55" s="90" t="s">
        <v>1494</v>
      </c>
      <c r="D55" s="91">
        <v>2.0</v>
      </c>
      <c r="E55" s="90" t="s">
        <v>853</v>
      </c>
      <c r="F55" s="90" t="s">
        <v>860</v>
      </c>
      <c r="G55" s="92">
        <v>0.0031944444444444446</v>
      </c>
    </row>
    <row r="56">
      <c r="A56" s="89" t="s">
        <v>1481</v>
      </c>
      <c r="B56" s="89" t="s">
        <v>1482</v>
      </c>
      <c r="C56" s="90" t="s">
        <v>1494</v>
      </c>
      <c r="D56" s="91">
        <v>2.0</v>
      </c>
      <c r="E56" s="90" t="s">
        <v>853</v>
      </c>
      <c r="F56" s="90" t="s">
        <v>862</v>
      </c>
      <c r="G56" s="92">
        <v>0.0625</v>
      </c>
    </row>
    <row r="57">
      <c r="A57" s="89" t="s">
        <v>1481</v>
      </c>
      <c r="B57" s="89" t="s">
        <v>1482</v>
      </c>
      <c r="C57" s="90" t="s">
        <v>1496</v>
      </c>
      <c r="D57" s="91">
        <v>1.0</v>
      </c>
      <c r="E57" s="90" t="s">
        <v>865</v>
      </c>
      <c r="F57" s="90" t="s">
        <v>194</v>
      </c>
      <c r="G57" s="92">
        <v>0.003414351851851852</v>
      </c>
    </row>
    <row r="58">
      <c r="A58" s="89" t="s">
        <v>1481</v>
      </c>
      <c r="B58" s="89" t="s">
        <v>1482</v>
      </c>
      <c r="C58" s="90" t="s">
        <v>1496</v>
      </c>
      <c r="D58" s="91">
        <v>1.0</v>
      </c>
      <c r="E58" s="90" t="s">
        <v>865</v>
      </c>
      <c r="F58" s="90" t="s">
        <v>863</v>
      </c>
      <c r="G58" s="92">
        <v>0.011990740740740741</v>
      </c>
    </row>
    <row r="59">
      <c r="A59" s="89" t="s">
        <v>1481</v>
      </c>
      <c r="B59" s="89" t="s">
        <v>1482</v>
      </c>
      <c r="C59" s="90" t="s">
        <v>1496</v>
      </c>
      <c r="D59" s="91">
        <v>1.0</v>
      </c>
      <c r="E59" s="90" t="s">
        <v>865</v>
      </c>
      <c r="F59" s="90" t="s">
        <v>1497</v>
      </c>
      <c r="G59" s="92">
        <v>0.0029976851851851853</v>
      </c>
    </row>
    <row r="60">
      <c r="A60" s="89" t="s">
        <v>1481</v>
      </c>
      <c r="B60" s="89" t="s">
        <v>1482</v>
      </c>
      <c r="C60" s="90" t="s">
        <v>1496</v>
      </c>
      <c r="D60" s="91">
        <v>2.0</v>
      </c>
      <c r="E60" s="90" t="s">
        <v>868</v>
      </c>
      <c r="F60" s="90" t="s">
        <v>866</v>
      </c>
      <c r="G60" s="92">
        <v>0.007418981481481481</v>
      </c>
    </row>
    <row r="61">
      <c r="A61" s="89" t="s">
        <v>1481</v>
      </c>
      <c r="B61" s="89" t="s">
        <v>1482</v>
      </c>
      <c r="C61" s="90" t="s">
        <v>1496</v>
      </c>
      <c r="D61" s="91">
        <v>2.0</v>
      </c>
      <c r="E61" s="90" t="s">
        <v>868</v>
      </c>
      <c r="F61" s="90" t="s">
        <v>869</v>
      </c>
      <c r="G61" s="92">
        <v>0.0018055555555555555</v>
      </c>
    </row>
    <row r="62">
      <c r="A62" s="89" t="s">
        <v>1481</v>
      </c>
      <c r="B62" s="89" t="s">
        <v>1482</v>
      </c>
      <c r="C62" s="90" t="s">
        <v>1496</v>
      </c>
      <c r="D62" s="91">
        <v>2.0</v>
      </c>
      <c r="E62" s="90" t="s">
        <v>868</v>
      </c>
      <c r="F62" s="90" t="s">
        <v>871</v>
      </c>
      <c r="G62" s="92">
        <v>0.0060879629629629626</v>
      </c>
    </row>
    <row r="63">
      <c r="A63" s="89" t="s">
        <v>1481</v>
      </c>
      <c r="B63" s="89" t="s">
        <v>1482</v>
      </c>
      <c r="C63" s="90" t="s">
        <v>1496</v>
      </c>
      <c r="D63" s="91">
        <v>3.0</v>
      </c>
      <c r="E63" s="90" t="s">
        <v>874</v>
      </c>
      <c r="F63" s="90" t="s">
        <v>1498</v>
      </c>
      <c r="G63" s="92">
        <v>0.01849537037037037</v>
      </c>
    </row>
    <row r="64">
      <c r="A64" s="89" t="s">
        <v>1481</v>
      </c>
      <c r="B64" s="89" t="s">
        <v>1482</v>
      </c>
      <c r="C64" s="90" t="s">
        <v>1496</v>
      </c>
      <c r="D64" s="91">
        <v>3.0</v>
      </c>
      <c r="E64" s="90" t="s">
        <v>874</v>
      </c>
      <c r="F64" s="90" t="s">
        <v>873</v>
      </c>
      <c r="G64" s="92">
        <v>0.016516203703703703</v>
      </c>
    </row>
    <row r="65">
      <c r="A65" s="89" t="s">
        <v>1481</v>
      </c>
      <c r="B65" s="89" t="s">
        <v>1482</v>
      </c>
      <c r="C65" s="90" t="s">
        <v>1496</v>
      </c>
      <c r="D65" s="91">
        <v>3.0</v>
      </c>
      <c r="E65" s="90" t="s">
        <v>874</v>
      </c>
      <c r="F65" s="90" t="s">
        <v>875</v>
      </c>
      <c r="G65" s="92">
        <v>0.012534722222222221</v>
      </c>
    </row>
    <row r="66">
      <c r="A66" s="89" t="s">
        <v>1481</v>
      </c>
      <c r="B66" s="89" t="s">
        <v>1482</v>
      </c>
      <c r="C66" s="90" t="s">
        <v>1496</v>
      </c>
      <c r="D66" s="91">
        <v>3.0</v>
      </c>
      <c r="E66" s="90" t="s">
        <v>874</v>
      </c>
      <c r="F66" s="90" t="s">
        <v>876</v>
      </c>
      <c r="G66" s="92">
        <v>0.01638888888888889</v>
      </c>
    </row>
    <row r="67">
      <c r="A67" s="89" t="s">
        <v>1481</v>
      </c>
      <c r="B67" s="89" t="s">
        <v>1482</v>
      </c>
      <c r="C67" s="90" t="s">
        <v>1496</v>
      </c>
      <c r="D67" s="91">
        <v>3.0</v>
      </c>
      <c r="E67" s="90" t="s">
        <v>874</v>
      </c>
      <c r="F67" s="90" t="s">
        <v>393</v>
      </c>
      <c r="G67" s="92">
        <v>0.05555555555555555</v>
      </c>
    </row>
    <row r="68">
      <c r="A68" s="89" t="s">
        <v>1481</v>
      </c>
      <c r="B68" s="89" t="s">
        <v>1482</v>
      </c>
      <c r="C68" s="90" t="s">
        <v>1496</v>
      </c>
      <c r="D68" s="91">
        <v>4.0</v>
      </c>
      <c r="E68" s="90" t="s">
        <v>879</v>
      </c>
      <c r="F68" s="90" t="s">
        <v>877</v>
      </c>
      <c r="G68" s="92">
        <v>0.003287037037037037</v>
      </c>
    </row>
    <row r="69">
      <c r="A69" s="89" t="s">
        <v>1481</v>
      </c>
      <c r="B69" s="89" t="s">
        <v>1482</v>
      </c>
      <c r="C69" s="90" t="s">
        <v>1496</v>
      </c>
      <c r="D69" s="91">
        <v>4.0</v>
      </c>
      <c r="E69" s="90" t="s">
        <v>879</v>
      </c>
      <c r="F69" s="90" t="s">
        <v>880</v>
      </c>
      <c r="G69" s="92">
        <v>0.0026967592592592594</v>
      </c>
    </row>
    <row r="70">
      <c r="A70" s="89" t="s">
        <v>1481</v>
      </c>
      <c r="B70" s="89" t="s">
        <v>1482</v>
      </c>
      <c r="C70" s="90" t="s">
        <v>1496</v>
      </c>
      <c r="D70" s="91">
        <v>4.0</v>
      </c>
      <c r="E70" s="90" t="s">
        <v>879</v>
      </c>
      <c r="F70" s="90" t="s">
        <v>882</v>
      </c>
      <c r="G70" s="92">
        <v>0.009085648148148148</v>
      </c>
    </row>
    <row r="71">
      <c r="A71" s="89" t="s">
        <v>1481</v>
      </c>
      <c r="B71" s="89" t="s">
        <v>1482</v>
      </c>
      <c r="C71" s="90" t="s">
        <v>1496</v>
      </c>
      <c r="D71" s="91">
        <v>4.0</v>
      </c>
      <c r="E71" s="90" t="s">
        <v>879</v>
      </c>
      <c r="F71" s="90" t="s">
        <v>884</v>
      </c>
      <c r="G71" s="92">
        <v>0.0036226851851851854</v>
      </c>
    </row>
    <row r="72">
      <c r="A72" s="89" t="s">
        <v>1481</v>
      </c>
      <c r="B72" s="89" t="s">
        <v>1482</v>
      </c>
      <c r="C72" s="90" t="s">
        <v>1496</v>
      </c>
      <c r="D72" s="91">
        <v>4.0</v>
      </c>
      <c r="E72" s="90" t="s">
        <v>879</v>
      </c>
      <c r="F72" s="90" t="s">
        <v>886</v>
      </c>
      <c r="G72" s="92">
        <v>0.0012268518518518518</v>
      </c>
    </row>
    <row r="73">
      <c r="A73" s="89" t="s">
        <v>1481</v>
      </c>
      <c r="B73" s="89" t="s">
        <v>1482</v>
      </c>
      <c r="C73" s="90" t="s">
        <v>1496</v>
      </c>
      <c r="D73" s="91">
        <v>4.0</v>
      </c>
      <c r="E73" s="90" t="s">
        <v>879</v>
      </c>
      <c r="F73" s="90" t="s">
        <v>410</v>
      </c>
      <c r="G73" s="92">
        <v>0.05555555555555555</v>
      </c>
    </row>
    <row r="74">
      <c r="A74" s="89" t="s">
        <v>1481</v>
      </c>
      <c r="B74" s="89" t="s">
        <v>1482</v>
      </c>
      <c r="C74" s="90" t="s">
        <v>1496</v>
      </c>
      <c r="D74" s="91">
        <v>4.0</v>
      </c>
      <c r="E74" s="90" t="s">
        <v>879</v>
      </c>
      <c r="F74" s="90" t="s">
        <v>415</v>
      </c>
      <c r="G74" s="92">
        <v>0.05555555555555555</v>
      </c>
    </row>
    <row r="75">
      <c r="A75" s="89" t="s">
        <v>1481</v>
      </c>
      <c r="B75" s="89" t="s">
        <v>1482</v>
      </c>
      <c r="C75" s="90" t="s">
        <v>1496</v>
      </c>
      <c r="D75" s="91">
        <v>5.0</v>
      </c>
      <c r="E75" s="90" t="s">
        <v>1499</v>
      </c>
      <c r="F75" s="90" t="s">
        <v>1500</v>
      </c>
      <c r="G75" s="92">
        <v>0.0014930555555555556</v>
      </c>
    </row>
    <row r="76">
      <c r="A76" s="89" t="s">
        <v>1481</v>
      </c>
      <c r="B76" s="89" t="s">
        <v>1482</v>
      </c>
      <c r="C76" s="90" t="s">
        <v>1496</v>
      </c>
      <c r="D76" s="91">
        <v>5.0</v>
      </c>
      <c r="E76" s="90" t="s">
        <v>1499</v>
      </c>
      <c r="F76" s="90" t="s">
        <v>1501</v>
      </c>
      <c r="G76" s="92">
        <v>0.009097222222222222</v>
      </c>
    </row>
    <row r="77">
      <c r="A77" s="89" t="s">
        <v>1481</v>
      </c>
      <c r="B77" s="89" t="s">
        <v>1482</v>
      </c>
      <c r="C77" s="90" t="s">
        <v>1496</v>
      </c>
      <c r="D77" s="91">
        <v>5.0</v>
      </c>
      <c r="E77" s="90" t="s">
        <v>1499</v>
      </c>
      <c r="F77" s="90" t="s">
        <v>416</v>
      </c>
      <c r="G77" s="92">
        <v>0.05555555555555555</v>
      </c>
    </row>
    <row r="78">
      <c r="A78" s="89" t="s">
        <v>1481</v>
      </c>
      <c r="B78" s="89" t="s">
        <v>1482</v>
      </c>
      <c r="C78" s="90" t="s">
        <v>1496</v>
      </c>
      <c r="D78" s="91">
        <v>6.0</v>
      </c>
      <c r="E78" s="90" t="s">
        <v>890</v>
      </c>
      <c r="F78" s="90" t="s">
        <v>888</v>
      </c>
      <c r="G78" s="92">
        <v>0.004907407407407407</v>
      </c>
    </row>
    <row r="79">
      <c r="A79" s="89" t="s">
        <v>1481</v>
      </c>
      <c r="B79" s="89" t="s">
        <v>1482</v>
      </c>
      <c r="C79" s="90" t="s">
        <v>1496</v>
      </c>
      <c r="D79" s="91">
        <v>6.0</v>
      </c>
      <c r="E79" s="90" t="s">
        <v>890</v>
      </c>
      <c r="F79" s="90" t="s">
        <v>1502</v>
      </c>
      <c r="G79" s="92">
        <v>0.005069444444444444</v>
      </c>
    </row>
    <row r="80">
      <c r="A80" s="89" t="s">
        <v>1481</v>
      </c>
      <c r="B80" s="89" t="s">
        <v>1482</v>
      </c>
      <c r="C80" s="90" t="s">
        <v>1496</v>
      </c>
      <c r="D80" s="91">
        <v>6.0</v>
      </c>
      <c r="E80" s="90" t="s">
        <v>890</v>
      </c>
      <c r="F80" s="90" t="s">
        <v>891</v>
      </c>
      <c r="G80" s="92">
        <v>0.0020833333333333333</v>
      </c>
    </row>
    <row r="81">
      <c r="A81" s="89" t="s">
        <v>1481</v>
      </c>
      <c r="B81" s="89" t="s">
        <v>1482</v>
      </c>
      <c r="C81" s="90" t="s">
        <v>1496</v>
      </c>
      <c r="D81" s="91">
        <v>7.0</v>
      </c>
      <c r="E81" s="90" t="s">
        <v>894</v>
      </c>
      <c r="F81" s="90" t="s">
        <v>892</v>
      </c>
      <c r="G81" s="92">
        <v>0.005648148148148148</v>
      </c>
    </row>
    <row r="82">
      <c r="A82" s="89" t="s">
        <v>1481</v>
      </c>
      <c r="B82" s="89" t="s">
        <v>1482</v>
      </c>
      <c r="C82" s="90" t="s">
        <v>1496</v>
      </c>
      <c r="D82" s="91">
        <v>7.0</v>
      </c>
      <c r="E82" s="90" t="s">
        <v>894</v>
      </c>
      <c r="F82" s="90" t="s">
        <v>1503</v>
      </c>
      <c r="G82" s="92">
        <v>0.007326388888888889</v>
      </c>
    </row>
    <row r="83">
      <c r="A83" s="89" t="s">
        <v>1481</v>
      </c>
      <c r="B83" s="89" t="s">
        <v>1482</v>
      </c>
      <c r="C83" s="90" t="s">
        <v>1496</v>
      </c>
      <c r="D83" s="91">
        <v>7.0</v>
      </c>
      <c r="E83" s="90" t="s">
        <v>894</v>
      </c>
      <c r="F83" s="90" t="s">
        <v>1504</v>
      </c>
      <c r="G83" s="92">
        <v>0.00125</v>
      </c>
    </row>
    <row r="84">
      <c r="A84" s="89" t="s">
        <v>1481</v>
      </c>
      <c r="B84" s="89" t="s">
        <v>1482</v>
      </c>
      <c r="C84" s="90" t="s">
        <v>1496</v>
      </c>
      <c r="D84" s="91">
        <v>7.0</v>
      </c>
      <c r="E84" s="90" t="s">
        <v>894</v>
      </c>
      <c r="F84" s="90" t="s">
        <v>895</v>
      </c>
      <c r="G84" s="92">
        <v>0.0020833333333333333</v>
      </c>
    </row>
    <row r="85">
      <c r="A85" s="89" t="s">
        <v>1481</v>
      </c>
      <c r="B85" s="89" t="s">
        <v>1482</v>
      </c>
      <c r="C85" s="90" t="s">
        <v>1496</v>
      </c>
      <c r="D85" s="91">
        <v>7.0</v>
      </c>
      <c r="E85" s="90" t="s">
        <v>894</v>
      </c>
      <c r="F85" s="90" t="s">
        <v>897</v>
      </c>
    </row>
    <row r="86">
      <c r="A86" s="89" t="s">
        <v>1481</v>
      </c>
      <c r="B86" s="89" t="s">
        <v>1482</v>
      </c>
      <c r="C86" s="90" t="s">
        <v>1496</v>
      </c>
      <c r="D86" s="91">
        <v>7.0</v>
      </c>
      <c r="E86" s="90" t="s">
        <v>894</v>
      </c>
      <c r="F86" s="90" t="s">
        <v>1505</v>
      </c>
      <c r="G86" s="92">
        <v>0.0032291666666666666</v>
      </c>
    </row>
    <row r="87">
      <c r="A87" s="89" t="s">
        <v>1481</v>
      </c>
      <c r="B87" s="89" t="s">
        <v>1482</v>
      </c>
      <c r="C87" s="90" t="s">
        <v>1496</v>
      </c>
      <c r="D87" s="91">
        <v>7.0</v>
      </c>
      <c r="E87" s="90" t="s">
        <v>894</v>
      </c>
      <c r="F87" s="90" t="s">
        <v>898</v>
      </c>
      <c r="G87" s="92">
        <v>0.0018171296296296297</v>
      </c>
    </row>
    <row r="88">
      <c r="A88" s="89" t="s">
        <v>1481</v>
      </c>
      <c r="B88" s="89" t="s">
        <v>1482</v>
      </c>
      <c r="C88" s="90" t="s">
        <v>1496</v>
      </c>
      <c r="D88" s="91">
        <v>7.0</v>
      </c>
      <c r="E88" s="90" t="s">
        <v>894</v>
      </c>
      <c r="F88" s="90" t="s">
        <v>900</v>
      </c>
      <c r="G88" s="92">
        <v>0.0032291666666666666</v>
      </c>
    </row>
    <row r="89">
      <c r="A89" s="89" t="s">
        <v>1481</v>
      </c>
      <c r="B89" s="89" t="s">
        <v>1482</v>
      </c>
      <c r="C89" s="90" t="s">
        <v>1496</v>
      </c>
      <c r="D89" s="91">
        <v>7.0</v>
      </c>
      <c r="E89" s="90" t="s">
        <v>894</v>
      </c>
      <c r="F89" s="90" t="s">
        <v>902</v>
      </c>
      <c r="G89" s="92">
        <v>0.0023148148148148147</v>
      </c>
    </row>
    <row r="90">
      <c r="A90" s="89" t="s">
        <v>1481</v>
      </c>
      <c r="B90" s="89" t="s">
        <v>1482</v>
      </c>
      <c r="C90" s="90" t="s">
        <v>1496</v>
      </c>
      <c r="D90" s="91">
        <v>7.0</v>
      </c>
      <c r="E90" s="90" t="s">
        <v>894</v>
      </c>
      <c r="F90" s="90" t="s">
        <v>904</v>
      </c>
    </row>
    <row r="91">
      <c r="A91" s="89" t="s">
        <v>1481</v>
      </c>
      <c r="B91" s="89" t="s">
        <v>1482</v>
      </c>
      <c r="C91" s="90" t="s">
        <v>1496</v>
      </c>
      <c r="D91" s="91">
        <v>7.0</v>
      </c>
      <c r="E91" s="90" t="s">
        <v>894</v>
      </c>
      <c r="F91" s="90" t="s">
        <v>905</v>
      </c>
    </row>
    <row r="92">
      <c r="A92" s="89" t="s">
        <v>1481</v>
      </c>
      <c r="B92" s="89" t="s">
        <v>1482</v>
      </c>
      <c r="C92" s="90" t="s">
        <v>1496</v>
      </c>
      <c r="D92" s="91">
        <v>7.0</v>
      </c>
      <c r="E92" s="90" t="s">
        <v>894</v>
      </c>
      <c r="F92" s="90" t="s">
        <v>906</v>
      </c>
    </row>
    <row r="93">
      <c r="A93" s="89" t="s">
        <v>1481</v>
      </c>
      <c r="B93" s="89" t="s">
        <v>1482</v>
      </c>
      <c r="C93" s="90" t="s">
        <v>1496</v>
      </c>
      <c r="D93" s="91">
        <v>7.0</v>
      </c>
      <c r="E93" s="90" t="s">
        <v>894</v>
      </c>
      <c r="F93" s="90" t="s">
        <v>907</v>
      </c>
      <c r="G93" s="92">
        <v>0.0014930555555555556</v>
      </c>
    </row>
    <row r="94">
      <c r="A94" s="89" t="s">
        <v>1481</v>
      </c>
      <c r="B94" s="89" t="s">
        <v>1482</v>
      </c>
      <c r="C94" s="90" t="s">
        <v>1496</v>
      </c>
      <c r="D94" s="91">
        <v>7.0</v>
      </c>
      <c r="E94" s="90" t="s">
        <v>894</v>
      </c>
      <c r="F94" s="90" t="s">
        <v>909</v>
      </c>
      <c r="G94" s="92">
        <v>0.002766203703703704</v>
      </c>
    </row>
    <row r="95">
      <c r="A95" s="89" t="s">
        <v>1481</v>
      </c>
      <c r="B95" s="89" t="s">
        <v>1482</v>
      </c>
      <c r="C95" s="90" t="s">
        <v>1496</v>
      </c>
      <c r="D95" s="91">
        <v>7.0</v>
      </c>
      <c r="E95" s="90" t="s">
        <v>894</v>
      </c>
      <c r="F95" s="90" t="s">
        <v>1506</v>
      </c>
      <c r="G95" s="92">
        <v>0.0059375</v>
      </c>
    </row>
    <row r="96">
      <c r="A96" s="89" t="s">
        <v>1481</v>
      </c>
      <c r="B96" s="89" t="s">
        <v>1482</v>
      </c>
      <c r="C96" s="90" t="s">
        <v>1496</v>
      </c>
      <c r="D96" s="91">
        <v>7.0</v>
      </c>
      <c r="E96" s="90" t="s">
        <v>894</v>
      </c>
      <c r="F96" s="90" t="s">
        <v>911</v>
      </c>
    </row>
    <row r="97">
      <c r="A97" s="89" t="s">
        <v>1481</v>
      </c>
      <c r="B97" s="89" t="s">
        <v>1482</v>
      </c>
      <c r="C97" s="90" t="s">
        <v>1496</v>
      </c>
      <c r="D97" s="91">
        <v>7.0</v>
      </c>
      <c r="E97" s="90" t="s">
        <v>894</v>
      </c>
      <c r="F97" s="90" t="s">
        <v>912</v>
      </c>
      <c r="G97" s="92">
        <v>0.002476851851851852</v>
      </c>
    </row>
    <row r="98">
      <c r="A98" s="89" t="s">
        <v>1481</v>
      </c>
      <c r="B98" s="89" t="s">
        <v>1482</v>
      </c>
      <c r="C98" s="90" t="s">
        <v>1496</v>
      </c>
      <c r="D98" s="91">
        <v>7.0</v>
      </c>
      <c r="E98" s="90" t="s">
        <v>894</v>
      </c>
      <c r="F98" s="90" t="s">
        <v>914</v>
      </c>
    </row>
    <row r="99">
      <c r="A99" s="89" t="s">
        <v>1481</v>
      </c>
      <c r="B99" s="89" t="s">
        <v>1482</v>
      </c>
      <c r="C99" s="90" t="s">
        <v>1496</v>
      </c>
      <c r="D99" s="91">
        <v>7.0</v>
      </c>
      <c r="E99" s="90" t="s">
        <v>894</v>
      </c>
      <c r="F99" s="90" t="s">
        <v>915</v>
      </c>
    </row>
    <row r="100">
      <c r="A100" s="89" t="s">
        <v>1481</v>
      </c>
      <c r="B100" s="89" t="s">
        <v>1482</v>
      </c>
      <c r="C100" s="90" t="s">
        <v>1496</v>
      </c>
      <c r="D100" s="91">
        <v>7.0</v>
      </c>
      <c r="E100" s="90" t="s">
        <v>894</v>
      </c>
      <c r="F100" s="90" t="s">
        <v>916</v>
      </c>
    </row>
    <row r="101">
      <c r="A101" s="89" t="s">
        <v>1481</v>
      </c>
      <c r="B101" s="89" t="s">
        <v>1482</v>
      </c>
      <c r="C101" s="90" t="s">
        <v>1496</v>
      </c>
      <c r="D101" s="91">
        <v>7.0</v>
      </c>
      <c r="E101" s="90" t="s">
        <v>894</v>
      </c>
      <c r="F101" s="90" t="s">
        <v>1507</v>
      </c>
    </row>
    <row r="102">
      <c r="A102" s="89" t="s">
        <v>1481</v>
      </c>
      <c r="B102" s="89" t="s">
        <v>1482</v>
      </c>
      <c r="C102" s="90" t="s">
        <v>1496</v>
      </c>
      <c r="D102" s="91">
        <v>7.0</v>
      </c>
      <c r="E102" s="90" t="s">
        <v>894</v>
      </c>
      <c r="F102" s="90" t="s">
        <v>435</v>
      </c>
      <c r="G102" s="92">
        <v>0.05555555555555555</v>
      </c>
    </row>
    <row r="103">
      <c r="A103" s="89" t="s">
        <v>1481</v>
      </c>
      <c r="B103" s="89" t="s">
        <v>1482</v>
      </c>
      <c r="C103" s="90" t="s">
        <v>1496</v>
      </c>
      <c r="D103" s="91">
        <v>7.0</v>
      </c>
      <c r="E103" s="90" t="s">
        <v>894</v>
      </c>
      <c r="F103" s="90" t="s">
        <v>436</v>
      </c>
      <c r="G103" s="92">
        <v>0.013888888888888888</v>
      </c>
    </row>
    <row r="104">
      <c r="A104" s="89" t="s">
        <v>1481</v>
      </c>
      <c r="B104" s="89" t="s">
        <v>1482</v>
      </c>
      <c r="C104" s="90" t="s">
        <v>1496</v>
      </c>
      <c r="D104" s="91">
        <v>8.0</v>
      </c>
      <c r="E104" s="90" t="s">
        <v>919</v>
      </c>
      <c r="F104" s="90" t="s">
        <v>917</v>
      </c>
      <c r="G104" s="92">
        <v>0.0021759259259259258</v>
      </c>
    </row>
    <row r="105">
      <c r="A105" s="89" t="s">
        <v>1481</v>
      </c>
      <c r="B105" s="89" t="s">
        <v>1482</v>
      </c>
      <c r="C105" s="90" t="s">
        <v>1496</v>
      </c>
      <c r="D105" s="91">
        <v>8.0</v>
      </c>
      <c r="E105" s="90" t="s">
        <v>919</v>
      </c>
      <c r="F105" s="90" t="s">
        <v>920</v>
      </c>
      <c r="G105" s="92">
        <v>0.0017013888888888888</v>
      </c>
    </row>
    <row r="106">
      <c r="A106" s="89" t="s">
        <v>1481</v>
      </c>
      <c r="B106" s="89" t="s">
        <v>1482</v>
      </c>
      <c r="C106" s="90" t="s">
        <v>1496</v>
      </c>
      <c r="D106" s="91">
        <v>8.0</v>
      </c>
      <c r="E106" s="90" t="s">
        <v>919</v>
      </c>
      <c r="F106" s="90" t="s">
        <v>922</v>
      </c>
      <c r="G106" s="92">
        <v>0.0029976851851851853</v>
      </c>
    </row>
    <row r="107">
      <c r="A107" s="89" t="s">
        <v>1481</v>
      </c>
      <c r="B107" s="89" t="s">
        <v>1482</v>
      </c>
      <c r="C107" s="90" t="s">
        <v>1496</v>
      </c>
      <c r="D107" s="91">
        <v>8.0</v>
      </c>
      <c r="E107" s="90" t="s">
        <v>919</v>
      </c>
      <c r="F107" s="90" t="s">
        <v>923</v>
      </c>
      <c r="G107" s="92">
        <v>0.0037962962962962963</v>
      </c>
    </row>
    <row r="108">
      <c r="A108" s="89" t="s">
        <v>1481</v>
      </c>
      <c r="B108" s="89" t="s">
        <v>1482</v>
      </c>
      <c r="C108" s="90" t="s">
        <v>1496</v>
      </c>
      <c r="D108" s="91">
        <v>8.0</v>
      </c>
      <c r="E108" s="90" t="s">
        <v>919</v>
      </c>
      <c r="F108" s="90" t="s">
        <v>727</v>
      </c>
      <c r="G108" s="92">
        <v>0.05555555555555555</v>
      </c>
    </row>
    <row r="109">
      <c r="A109" s="89" t="s">
        <v>1481</v>
      </c>
      <c r="B109" s="89" t="s">
        <v>1482</v>
      </c>
      <c r="C109" s="90" t="s">
        <v>1496</v>
      </c>
      <c r="D109" s="91">
        <v>9.0</v>
      </c>
      <c r="E109" s="90" t="s">
        <v>927</v>
      </c>
      <c r="F109" s="90" t="s">
        <v>925</v>
      </c>
      <c r="G109" s="92">
        <v>0.0013425925925925925</v>
      </c>
    </row>
    <row r="110">
      <c r="A110" s="89" t="s">
        <v>1481</v>
      </c>
      <c r="B110" s="89" t="s">
        <v>1482</v>
      </c>
      <c r="C110" s="90" t="s">
        <v>1496</v>
      </c>
      <c r="D110" s="91">
        <v>9.0</v>
      </c>
      <c r="E110" s="90" t="s">
        <v>927</v>
      </c>
      <c r="F110" s="90" t="s">
        <v>928</v>
      </c>
      <c r="G110" s="92">
        <v>0.0020601851851851853</v>
      </c>
    </row>
    <row r="111">
      <c r="A111" s="89" t="s">
        <v>1481</v>
      </c>
      <c r="B111" s="89" t="s">
        <v>1482</v>
      </c>
      <c r="C111" s="90" t="s">
        <v>1496</v>
      </c>
      <c r="D111" s="91">
        <v>10.0</v>
      </c>
      <c r="E111" s="90" t="s">
        <v>932</v>
      </c>
      <c r="F111" s="90" t="s">
        <v>1508</v>
      </c>
      <c r="G111" s="92">
        <v>0.015104166666666667</v>
      </c>
    </row>
    <row r="112">
      <c r="A112" s="89" t="s">
        <v>1481</v>
      </c>
      <c r="B112" s="89" t="s">
        <v>1482</v>
      </c>
      <c r="C112" s="90" t="s">
        <v>1496</v>
      </c>
      <c r="D112" s="91">
        <v>10.0</v>
      </c>
      <c r="E112" s="90" t="s">
        <v>932</v>
      </c>
      <c r="F112" s="90" t="s">
        <v>930</v>
      </c>
      <c r="G112" s="92">
        <v>0.007222222222222222</v>
      </c>
    </row>
    <row r="113">
      <c r="A113" s="89" t="s">
        <v>1481</v>
      </c>
      <c r="B113" s="89" t="s">
        <v>1482</v>
      </c>
      <c r="C113" s="90" t="s">
        <v>1496</v>
      </c>
      <c r="D113" s="91">
        <v>10.0</v>
      </c>
      <c r="E113" s="90" t="s">
        <v>932</v>
      </c>
      <c r="F113" s="90" t="s">
        <v>933</v>
      </c>
      <c r="G113" s="92">
        <v>0.004039351851851852</v>
      </c>
    </row>
    <row r="114">
      <c r="A114" s="89" t="s">
        <v>1481</v>
      </c>
      <c r="B114" s="89" t="s">
        <v>1482</v>
      </c>
      <c r="C114" s="90" t="s">
        <v>1496</v>
      </c>
      <c r="D114" s="91">
        <v>11.0</v>
      </c>
      <c r="E114" s="90" t="s">
        <v>936</v>
      </c>
      <c r="F114" s="90" t="s">
        <v>935</v>
      </c>
      <c r="G114" s="92">
        <v>0.005127314814814815</v>
      </c>
    </row>
    <row r="115">
      <c r="A115" s="89" t="s">
        <v>1481</v>
      </c>
      <c r="B115" s="89" t="s">
        <v>1482</v>
      </c>
      <c r="C115" s="90" t="s">
        <v>1496</v>
      </c>
      <c r="D115" s="91">
        <v>11.0</v>
      </c>
      <c r="E115" s="90" t="s">
        <v>936</v>
      </c>
      <c r="F115" s="90" t="s">
        <v>937</v>
      </c>
      <c r="G115" s="92">
        <v>0.006967592592592593</v>
      </c>
    </row>
    <row r="116">
      <c r="A116" s="89" t="s">
        <v>1481</v>
      </c>
      <c r="B116" s="89" t="s">
        <v>1482</v>
      </c>
      <c r="C116" s="90" t="s">
        <v>1496</v>
      </c>
      <c r="D116" s="91">
        <v>11.0</v>
      </c>
      <c r="E116" s="90" t="s">
        <v>936</v>
      </c>
      <c r="F116" s="90" t="s">
        <v>1509</v>
      </c>
      <c r="G116" s="92">
        <v>0.004050925925925926</v>
      </c>
    </row>
    <row r="117">
      <c r="A117" s="89" t="s">
        <v>1481</v>
      </c>
      <c r="B117" s="89" t="s">
        <v>1482</v>
      </c>
      <c r="C117" s="90" t="s">
        <v>1496</v>
      </c>
      <c r="D117" s="91">
        <v>11.0</v>
      </c>
      <c r="E117" s="90" t="s">
        <v>936</v>
      </c>
      <c r="F117" s="90" t="s">
        <v>481</v>
      </c>
      <c r="G117" s="92">
        <v>0.014212962962962964</v>
      </c>
    </row>
    <row r="118">
      <c r="A118" s="89" t="s">
        <v>1481</v>
      </c>
      <c r="B118" s="89" t="s">
        <v>1482</v>
      </c>
      <c r="C118" s="90" t="s">
        <v>1496</v>
      </c>
      <c r="D118" s="91">
        <v>11.0</v>
      </c>
      <c r="E118" s="90" t="s">
        <v>936</v>
      </c>
      <c r="F118" s="90" t="s">
        <v>938</v>
      </c>
      <c r="G118" s="92">
        <v>0.002800925925925926</v>
      </c>
    </row>
    <row r="119">
      <c r="A119" s="89" t="s">
        <v>1481</v>
      </c>
      <c r="B119" s="89" t="s">
        <v>1482</v>
      </c>
      <c r="C119" s="90" t="s">
        <v>1496</v>
      </c>
      <c r="D119" s="91">
        <v>12.0</v>
      </c>
      <c r="E119" s="90" t="s">
        <v>941</v>
      </c>
      <c r="F119" s="90" t="s">
        <v>940</v>
      </c>
      <c r="G119" s="92">
        <v>0.004594907407407408</v>
      </c>
    </row>
    <row r="120">
      <c r="A120" s="89" t="s">
        <v>1481</v>
      </c>
      <c r="B120" s="89" t="s">
        <v>1482</v>
      </c>
      <c r="C120" s="90" t="s">
        <v>1496</v>
      </c>
      <c r="D120" s="91">
        <v>12.0</v>
      </c>
      <c r="E120" s="90" t="s">
        <v>941</v>
      </c>
      <c r="F120" s="90" t="s">
        <v>942</v>
      </c>
      <c r="G120" s="92">
        <v>0.0032407407407407406</v>
      </c>
    </row>
    <row r="121">
      <c r="A121" s="89" t="s">
        <v>1481</v>
      </c>
      <c r="B121" s="89" t="s">
        <v>1482</v>
      </c>
      <c r="C121" s="90" t="s">
        <v>1496</v>
      </c>
      <c r="D121" s="91">
        <v>12.0</v>
      </c>
      <c r="E121" s="90" t="s">
        <v>941</v>
      </c>
      <c r="F121" s="90" t="s">
        <v>944</v>
      </c>
      <c r="G121" s="92">
        <v>0.0015509259259259259</v>
      </c>
    </row>
    <row r="122">
      <c r="A122" s="89" t="s">
        <v>1481</v>
      </c>
      <c r="B122" s="89" t="s">
        <v>1482</v>
      </c>
      <c r="C122" s="90" t="s">
        <v>1496</v>
      </c>
      <c r="D122" s="91">
        <v>12.0</v>
      </c>
      <c r="E122" s="90" t="s">
        <v>941</v>
      </c>
      <c r="F122" s="90" t="s">
        <v>946</v>
      </c>
      <c r="G122" s="92">
        <v>0.0030555555555555557</v>
      </c>
    </row>
    <row r="123">
      <c r="A123" s="89" t="s">
        <v>1481</v>
      </c>
      <c r="B123" s="89" t="s">
        <v>1482</v>
      </c>
      <c r="C123" s="90" t="s">
        <v>1496</v>
      </c>
      <c r="D123" s="91">
        <v>12.0</v>
      </c>
      <c r="E123" s="90" t="s">
        <v>941</v>
      </c>
      <c r="F123" s="90" t="s">
        <v>477</v>
      </c>
      <c r="G123" s="92">
        <v>0.05555555555555555</v>
      </c>
    </row>
    <row r="124">
      <c r="A124" s="89" t="s">
        <v>1481</v>
      </c>
      <c r="B124" s="89" t="s">
        <v>1482</v>
      </c>
      <c r="C124" s="90" t="s">
        <v>1496</v>
      </c>
      <c r="D124" s="91">
        <v>12.0</v>
      </c>
      <c r="E124" s="90" t="s">
        <v>941</v>
      </c>
      <c r="F124" s="90" t="s">
        <v>489</v>
      </c>
      <c r="G124" s="92">
        <v>0.05555555555555555</v>
      </c>
    </row>
    <row r="125">
      <c r="A125" s="89" t="s">
        <v>1481</v>
      </c>
      <c r="B125" s="89" t="s">
        <v>1482</v>
      </c>
      <c r="C125" s="90" t="s">
        <v>1510</v>
      </c>
      <c r="D125" s="91">
        <v>1.0</v>
      </c>
      <c r="E125" s="90" t="s">
        <v>950</v>
      </c>
      <c r="F125" s="90" t="s">
        <v>948</v>
      </c>
      <c r="G125" s="92">
        <v>0.006875</v>
      </c>
    </row>
    <row r="126">
      <c r="A126" s="89" t="s">
        <v>1481</v>
      </c>
      <c r="B126" s="89" t="s">
        <v>1482</v>
      </c>
      <c r="C126" s="90" t="s">
        <v>1510</v>
      </c>
      <c r="D126" s="91">
        <v>1.0</v>
      </c>
      <c r="E126" s="90" t="s">
        <v>950</v>
      </c>
      <c r="F126" s="90" t="s">
        <v>951</v>
      </c>
      <c r="G126" s="92">
        <v>0.002361111111111111</v>
      </c>
    </row>
    <row r="127">
      <c r="A127" s="89" t="s">
        <v>1481</v>
      </c>
      <c r="B127" s="89" t="s">
        <v>1482</v>
      </c>
      <c r="C127" s="90" t="s">
        <v>1510</v>
      </c>
      <c r="D127" s="91">
        <v>1.0</v>
      </c>
      <c r="E127" s="90" t="s">
        <v>950</v>
      </c>
      <c r="F127" s="90" t="s">
        <v>1511</v>
      </c>
      <c r="G127" s="92">
        <v>0.004641203703703704</v>
      </c>
    </row>
    <row r="128">
      <c r="A128" s="89" t="s">
        <v>1481</v>
      </c>
      <c r="B128" s="89" t="s">
        <v>1482</v>
      </c>
      <c r="C128" s="90" t="s">
        <v>1510</v>
      </c>
      <c r="D128" s="91">
        <v>1.0</v>
      </c>
      <c r="E128" s="90" t="s">
        <v>950</v>
      </c>
      <c r="F128" s="90" t="s">
        <v>953</v>
      </c>
      <c r="G128" s="92">
        <v>0.006805555555555555</v>
      </c>
    </row>
    <row r="129">
      <c r="A129" s="89" t="s">
        <v>1481</v>
      </c>
      <c r="B129" s="89" t="s">
        <v>1482</v>
      </c>
      <c r="C129" s="90" t="s">
        <v>1510</v>
      </c>
      <c r="D129" s="91">
        <v>1.0</v>
      </c>
      <c r="E129" s="90" t="s">
        <v>950</v>
      </c>
      <c r="F129" s="90" t="s">
        <v>955</v>
      </c>
      <c r="G129" s="92">
        <v>0.0036226851851851854</v>
      </c>
    </row>
    <row r="130">
      <c r="A130" s="89" t="s">
        <v>1481</v>
      </c>
      <c r="B130" s="89" t="s">
        <v>1482</v>
      </c>
      <c r="C130" s="90" t="s">
        <v>1510</v>
      </c>
      <c r="D130" s="91">
        <v>2.0</v>
      </c>
      <c r="E130" s="90" t="s">
        <v>959</v>
      </c>
      <c r="F130" s="90" t="s">
        <v>957</v>
      </c>
      <c r="G130" s="92">
        <v>0.006898148148148148</v>
      </c>
    </row>
    <row r="131">
      <c r="A131" s="89" t="s">
        <v>1481</v>
      </c>
      <c r="B131" s="89" t="s">
        <v>1482</v>
      </c>
      <c r="C131" s="90" t="s">
        <v>1510</v>
      </c>
      <c r="D131" s="91">
        <v>2.0</v>
      </c>
      <c r="E131" s="90" t="s">
        <v>959</v>
      </c>
      <c r="F131" s="90" t="s">
        <v>960</v>
      </c>
      <c r="G131" s="92">
        <v>0.005810185185185186</v>
      </c>
    </row>
    <row r="132">
      <c r="A132" s="89" t="s">
        <v>1481</v>
      </c>
      <c r="B132" s="89" t="s">
        <v>1482</v>
      </c>
      <c r="C132" s="90" t="s">
        <v>1510</v>
      </c>
      <c r="D132" s="91">
        <v>2.0</v>
      </c>
      <c r="E132" s="90" t="s">
        <v>959</v>
      </c>
      <c r="F132" s="90" t="s">
        <v>962</v>
      </c>
      <c r="G132" s="92">
        <v>0.016493055555555556</v>
      </c>
    </row>
    <row r="133">
      <c r="A133" s="89" t="s">
        <v>1481</v>
      </c>
      <c r="B133" s="89" t="s">
        <v>1482</v>
      </c>
      <c r="C133" s="90" t="s">
        <v>1510</v>
      </c>
      <c r="D133" s="91">
        <v>2.0</v>
      </c>
      <c r="E133" s="90" t="s">
        <v>959</v>
      </c>
      <c r="F133" s="90" t="s">
        <v>1512</v>
      </c>
      <c r="G133" s="92">
        <v>0.006307870370370371</v>
      </c>
    </row>
    <row r="134">
      <c r="A134" s="89" t="s">
        <v>1481</v>
      </c>
      <c r="B134" s="89" t="s">
        <v>1482</v>
      </c>
      <c r="C134" s="90" t="s">
        <v>1510</v>
      </c>
      <c r="D134" s="91">
        <v>2.0</v>
      </c>
      <c r="E134" s="90" t="s">
        <v>959</v>
      </c>
      <c r="F134" s="90" t="s">
        <v>1513</v>
      </c>
      <c r="G134" s="92">
        <v>0.002673611111111111</v>
      </c>
    </row>
    <row r="135">
      <c r="A135" s="89" t="s">
        <v>1481</v>
      </c>
      <c r="B135" s="89" t="s">
        <v>1482</v>
      </c>
      <c r="C135" s="90" t="s">
        <v>1510</v>
      </c>
      <c r="D135" s="91">
        <v>2.0</v>
      </c>
      <c r="E135" s="90" t="s">
        <v>959</v>
      </c>
      <c r="F135" s="90" t="s">
        <v>964</v>
      </c>
      <c r="G135" s="92">
        <v>0.008958333333333334</v>
      </c>
    </row>
    <row r="136">
      <c r="A136" s="89" t="s">
        <v>1481</v>
      </c>
      <c r="B136" s="89" t="s">
        <v>1482</v>
      </c>
      <c r="C136" s="90" t="s">
        <v>1510</v>
      </c>
      <c r="D136" s="91">
        <v>2.0</v>
      </c>
      <c r="E136" s="90" t="s">
        <v>959</v>
      </c>
      <c r="F136" s="90" t="s">
        <v>966</v>
      </c>
      <c r="G136" s="92">
        <v>0.05555555555555555</v>
      </c>
    </row>
    <row r="137">
      <c r="A137" s="89" t="s">
        <v>1481</v>
      </c>
      <c r="B137" s="89" t="s">
        <v>1482</v>
      </c>
      <c r="C137" s="90" t="s">
        <v>1514</v>
      </c>
      <c r="D137" s="91">
        <v>1.0</v>
      </c>
      <c r="E137" s="90" t="s">
        <v>969</v>
      </c>
      <c r="F137" s="90" t="s">
        <v>967</v>
      </c>
      <c r="G137" s="92">
        <v>0.005706018518518518</v>
      </c>
    </row>
    <row r="138">
      <c r="A138" s="89" t="s">
        <v>1481</v>
      </c>
      <c r="B138" s="89" t="s">
        <v>1482</v>
      </c>
      <c r="C138" s="90" t="s">
        <v>1514</v>
      </c>
      <c r="D138" s="91">
        <v>1.0</v>
      </c>
      <c r="E138" s="90" t="s">
        <v>969</v>
      </c>
      <c r="F138" s="90" t="s">
        <v>970</v>
      </c>
      <c r="G138" s="92">
        <v>0.005590277777777777</v>
      </c>
    </row>
    <row r="139">
      <c r="A139" s="89" t="s">
        <v>1481</v>
      </c>
      <c r="B139" s="89" t="s">
        <v>1482</v>
      </c>
      <c r="C139" s="90" t="s">
        <v>1514</v>
      </c>
      <c r="D139" s="91">
        <v>1.0</v>
      </c>
      <c r="E139" s="90" t="s">
        <v>969</v>
      </c>
      <c r="F139" s="90" t="s">
        <v>972</v>
      </c>
      <c r="G139" s="92">
        <v>0.004293981481481481</v>
      </c>
    </row>
    <row r="140">
      <c r="A140" s="89" t="s">
        <v>1481</v>
      </c>
      <c r="B140" s="89" t="s">
        <v>1482</v>
      </c>
      <c r="C140" s="90" t="s">
        <v>1514</v>
      </c>
      <c r="D140" s="91">
        <v>1.0</v>
      </c>
      <c r="E140" s="90" t="s">
        <v>969</v>
      </c>
      <c r="F140" s="90" t="s">
        <v>974</v>
      </c>
      <c r="G140" s="92">
        <v>0.0050578703703703706</v>
      </c>
    </row>
    <row r="141">
      <c r="A141" s="89" t="s">
        <v>1481</v>
      </c>
      <c r="B141" s="89" t="s">
        <v>1482</v>
      </c>
      <c r="C141" s="90" t="s">
        <v>1514</v>
      </c>
      <c r="D141" s="91">
        <v>1.0</v>
      </c>
      <c r="E141" s="90" t="s">
        <v>969</v>
      </c>
      <c r="F141" s="90" t="s">
        <v>976</v>
      </c>
      <c r="G141" s="92">
        <v>0.00125</v>
      </c>
    </row>
    <row r="142">
      <c r="A142" s="89" t="s">
        <v>1481</v>
      </c>
      <c r="B142" s="89" t="s">
        <v>1482</v>
      </c>
      <c r="C142" s="90" t="s">
        <v>1514</v>
      </c>
      <c r="D142" s="91">
        <v>2.0</v>
      </c>
      <c r="E142" s="90" t="s">
        <v>979</v>
      </c>
      <c r="F142" s="90" t="s">
        <v>1515</v>
      </c>
      <c r="G142" s="92">
        <v>0.002210648148148148</v>
      </c>
    </row>
    <row r="143">
      <c r="A143" s="89" t="s">
        <v>1481</v>
      </c>
      <c r="B143" s="89" t="s">
        <v>1482</v>
      </c>
      <c r="C143" s="90" t="s">
        <v>1514</v>
      </c>
      <c r="D143" s="91">
        <v>2.0</v>
      </c>
      <c r="E143" s="90" t="s">
        <v>979</v>
      </c>
      <c r="F143" s="90" t="s">
        <v>977</v>
      </c>
      <c r="G143" s="92">
        <v>0.005069444444444444</v>
      </c>
    </row>
    <row r="144">
      <c r="A144" s="89" t="s">
        <v>1481</v>
      </c>
      <c r="B144" s="89" t="s">
        <v>1482</v>
      </c>
      <c r="C144" s="90" t="s">
        <v>1514</v>
      </c>
      <c r="D144" s="91">
        <v>2.0</v>
      </c>
      <c r="E144" s="90" t="s">
        <v>979</v>
      </c>
      <c r="F144" s="90" t="s">
        <v>980</v>
      </c>
      <c r="G144" s="92">
        <v>0.0030555555555555557</v>
      </c>
    </row>
    <row r="145">
      <c r="A145" s="89" t="s">
        <v>1481</v>
      </c>
      <c r="B145" s="89" t="s">
        <v>1482</v>
      </c>
      <c r="C145" s="90" t="s">
        <v>1514</v>
      </c>
      <c r="D145" s="91">
        <v>2.0</v>
      </c>
      <c r="E145" s="90" t="s">
        <v>979</v>
      </c>
      <c r="F145" s="90" t="s">
        <v>982</v>
      </c>
      <c r="G145" s="92">
        <v>0.00375</v>
      </c>
    </row>
    <row r="146">
      <c r="A146" s="89" t="s">
        <v>1481</v>
      </c>
      <c r="B146" s="89" t="s">
        <v>1482</v>
      </c>
      <c r="C146" s="90" t="s">
        <v>1514</v>
      </c>
      <c r="D146" s="91">
        <v>2.0</v>
      </c>
      <c r="E146" s="90" t="s">
        <v>979</v>
      </c>
      <c r="F146" s="90" t="s">
        <v>984</v>
      </c>
      <c r="G146" s="92">
        <v>0.003958333333333334</v>
      </c>
    </row>
    <row r="147">
      <c r="A147" s="89" t="s">
        <v>1481</v>
      </c>
      <c r="B147" s="89" t="s">
        <v>1482</v>
      </c>
      <c r="C147" s="90" t="s">
        <v>1514</v>
      </c>
      <c r="D147" s="91">
        <v>2.0</v>
      </c>
      <c r="E147" s="90" t="s">
        <v>979</v>
      </c>
      <c r="F147" s="90" t="s">
        <v>986</v>
      </c>
      <c r="G147" s="92">
        <v>0.0011111111111111111</v>
      </c>
    </row>
    <row r="148">
      <c r="A148" s="89" t="s">
        <v>1481</v>
      </c>
      <c r="B148" s="89" t="s">
        <v>1482</v>
      </c>
      <c r="C148" s="90" t="s">
        <v>1514</v>
      </c>
      <c r="D148" s="91">
        <v>3.0</v>
      </c>
      <c r="E148" s="90" t="s">
        <v>990</v>
      </c>
      <c r="F148" s="90" t="s">
        <v>988</v>
      </c>
      <c r="G148" s="92">
        <v>0.0030787037037037037</v>
      </c>
    </row>
    <row r="149">
      <c r="A149" s="89" t="s">
        <v>1481</v>
      </c>
      <c r="B149" s="89" t="s">
        <v>1482</v>
      </c>
      <c r="C149" s="90" t="s">
        <v>1514</v>
      </c>
      <c r="D149" s="91">
        <v>3.0</v>
      </c>
      <c r="E149" s="90" t="s">
        <v>990</v>
      </c>
      <c r="F149" s="90" t="s">
        <v>991</v>
      </c>
      <c r="G149" s="92">
        <v>0.006261574074074074</v>
      </c>
    </row>
    <row r="150">
      <c r="A150" s="89" t="s">
        <v>1481</v>
      </c>
      <c r="B150" s="89" t="s">
        <v>1482</v>
      </c>
      <c r="C150" s="90" t="s">
        <v>1514</v>
      </c>
      <c r="D150" s="91">
        <v>3.0</v>
      </c>
      <c r="E150" s="90" t="s">
        <v>990</v>
      </c>
      <c r="F150" s="90" t="s">
        <v>993</v>
      </c>
      <c r="G150" s="92">
        <v>0.003912037037037037</v>
      </c>
    </row>
    <row r="151">
      <c r="A151" s="89" t="s">
        <v>1481</v>
      </c>
      <c r="B151" s="89" t="s">
        <v>1482</v>
      </c>
      <c r="C151" s="90" t="s">
        <v>1514</v>
      </c>
      <c r="D151" s="91">
        <v>3.0</v>
      </c>
      <c r="E151" s="90" t="s">
        <v>990</v>
      </c>
      <c r="F151" s="90" t="s">
        <v>995</v>
      </c>
      <c r="G151" s="92">
        <v>0.00494212962962963</v>
      </c>
    </row>
    <row r="152">
      <c r="A152" s="89" t="s">
        <v>1481</v>
      </c>
      <c r="B152" s="89" t="s">
        <v>1482</v>
      </c>
      <c r="C152" s="90" t="s">
        <v>1514</v>
      </c>
      <c r="D152" s="91">
        <v>3.0</v>
      </c>
      <c r="E152" s="90" t="s">
        <v>990</v>
      </c>
      <c r="F152" s="90" t="s">
        <v>997</v>
      </c>
      <c r="G152" s="92">
        <v>0.0021296296296296298</v>
      </c>
    </row>
    <row r="153">
      <c r="A153" s="89" t="s">
        <v>1481</v>
      </c>
      <c r="B153" s="89" t="s">
        <v>1482</v>
      </c>
      <c r="C153" s="90" t="s">
        <v>1514</v>
      </c>
      <c r="D153" s="91">
        <v>4.0</v>
      </c>
      <c r="E153" s="90" t="s">
        <v>1001</v>
      </c>
      <c r="F153" s="90" t="s">
        <v>999</v>
      </c>
      <c r="G153" s="92">
        <v>0.0021296296296296298</v>
      </c>
    </row>
    <row r="154">
      <c r="A154" s="89" t="s">
        <v>1481</v>
      </c>
      <c r="B154" s="89" t="s">
        <v>1482</v>
      </c>
      <c r="C154" s="90" t="s">
        <v>1514</v>
      </c>
      <c r="D154" s="91">
        <v>4.0</v>
      </c>
      <c r="E154" s="90" t="s">
        <v>1001</v>
      </c>
      <c r="F154" s="90" t="s">
        <v>1002</v>
      </c>
      <c r="G154" s="92">
        <v>0.0040625</v>
      </c>
    </row>
    <row r="155">
      <c r="A155" s="89" t="s">
        <v>1481</v>
      </c>
      <c r="B155" s="89" t="s">
        <v>1482</v>
      </c>
      <c r="C155" s="90" t="s">
        <v>1514</v>
      </c>
      <c r="D155" s="91">
        <v>4.0</v>
      </c>
      <c r="E155" s="90" t="s">
        <v>1001</v>
      </c>
      <c r="F155" s="90" t="s">
        <v>1004</v>
      </c>
      <c r="G155" s="92">
        <v>0.005671296296296297</v>
      </c>
    </row>
    <row r="156">
      <c r="A156" s="89" t="s">
        <v>1481</v>
      </c>
      <c r="B156" s="89" t="s">
        <v>1482</v>
      </c>
      <c r="C156" s="90" t="s">
        <v>1514</v>
      </c>
      <c r="D156" s="91">
        <v>4.0</v>
      </c>
      <c r="E156" s="90" t="s">
        <v>1001</v>
      </c>
      <c r="F156" s="90" t="s">
        <v>1006</v>
      </c>
      <c r="G156" s="92">
        <v>0.0039004629629629628</v>
      </c>
    </row>
    <row r="157">
      <c r="A157" s="89" t="s">
        <v>1481</v>
      </c>
      <c r="B157" s="89" t="s">
        <v>1482</v>
      </c>
      <c r="C157" s="90" t="s">
        <v>1514</v>
      </c>
      <c r="D157" s="91">
        <v>4.0</v>
      </c>
      <c r="E157" s="90" t="s">
        <v>1001</v>
      </c>
      <c r="F157" s="90" t="s">
        <v>1008</v>
      </c>
      <c r="G157" s="92">
        <v>0.005520833333333333</v>
      </c>
    </row>
    <row r="158">
      <c r="A158" s="89" t="s">
        <v>1481</v>
      </c>
      <c r="B158" s="89" t="s">
        <v>1482</v>
      </c>
      <c r="C158" s="90" t="s">
        <v>1514</v>
      </c>
      <c r="D158" s="91">
        <v>4.0</v>
      </c>
      <c r="E158" s="90" t="s">
        <v>1001</v>
      </c>
      <c r="F158" s="90" t="s">
        <v>1516</v>
      </c>
      <c r="G158" s="92">
        <v>0.0016203703703703703</v>
      </c>
    </row>
    <row r="159">
      <c r="A159" s="89" t="s">
        <v>1481</v>
      </c>
      <c r="B159" s="89" t="s">
        <v>1482</v>
      </c>
      <c r="C159" s="90" t="s">
        <v>1517</v>
      </c>
      <c r="D159" s="91">
        <v>1.0</v>
      </c>
      <c r="E159" s="90" t="s">
        <v>1012</v>
      </c>
      <c r="F159" s="90" t="s">
        <v>1518</v>
      </c>
      <c r="G159" s="92">
        <v>0.007465277777777778</v>
      </c>
    </row>
    <row r="160">
      <c r="A160" s="89" t="s">
        <v>1481</v>
      </c>
      <c r="B160" s="89" t="s">
        <v>1482</v>
      </c>
      <c r="C160" s="90" t="s">
        <v>1517</v>
      </c>
      <c r="D160" s="91">
        <v>1.0</v>
      </c>
      <c r="E160" s="90" t="s">
        <v>1012</v>
      </c>
      <c r="F160" s="90" t="s">
        <v>1010</v>
      </c>
      <c r="G160" s="92">
        <v>0.007858796296296296</v>
      </c>
    </row>
    <row r="161">
      <c r="A161" s="89" t="s">
        <v>1481</v>
      </c>
      <c r="B161" s="89" t="s">
        <v>1482</v>
      </c>
      <c r="C161" s="90" t="s">
        <v>1517</v>
      </c>
      <c r="D161" s="91">
        <v>1.0</v>
      </c>
      <c r="E161" s="90" t="s">
        <v>1012</v>
      </c>
      <c r="F161" s="90" t="s">
        <v>1013</v>
      </c>
      <c r="G161" s="92">
        <v>0.00525462962962963</v>
      </c>
    </row>
    <row r="162">
      <c r="A162" s="89" t="s">
        <v>1481</v>
      </c>
      <c r="B162" s="89" t="s">
        <v>1482</v>
      </c>
      <c r="C162" s="90" t="s">
        <v>1517</v>
      </c>
      <c r="D162" s="91">
        <v>1.0</v>
      </c>
      <c r="E162" s="90" t="s">
        <v>1012</v>
      </c>
      <c r="F162" s="90" t="s">
        <v>1015</v>
      </c>
      <c r="G162" s="92">
        <v>0.00712962962962963</v>
      </c>
    </row>
    <row r="163">
      <c r="A163" s="89" t="s">
        <v>1481</v>
      </c>
      <c r="B163" s="89" t="s">
        <v>1482</v>
      </c>
      <c r="C163" s="90" t="s">
        <v>1517</v>
      </c>
      <c r="D163" s="91">
        <v>1.0</v>
      </c>
      <c r="E163" s="90" t="s">
        <v>1012</v>
      </c>
      <c r="F163" s="90" t="s">
        <v>1519</v>
      </c>
      <c r="G163" s="92">
        <v>0.010416666666666666</v>
      </c>
    </row>
    <row r="164">
      <c r="A164" s="89" t="s">
        <v>1481</v>
      </c>
      <c r="B164" s="89" t="s">
        <v>1482</v>
      </c>
      <c r="C164" s="90" t="s">
        <v>1517</v>
      </c>
      <c r="D164" s="91">
        <v>2.0</v>
      </c>
      <c r="E164" s="90" t="s">
        <v>1019</v>
      </c>
      <c r="F164" s="90" t="s">
        <v>1017</v>
      </c>
      <c r="G164" s="92">
        <v>0.00318287037037037</v>
      </c>
    </row>
    <row r="165">
      <c r="A165" s="89" t="s">
        <v>1481</v>
      </c>
      <c r="B165" s="89" t="s">
        <v>1482</v>
      </c>
      <c r="C165" s="90" t="s">
        <v>1517</v>
      </c>
      <c r="D165" s="91">
        <v>2.0</v>
      </c>
      <c r="E165" s="90" t="s">
        <v>1019</v>
      </c>
      <c r="F165" s="90" t="s">
        <v>1020</v>
      </c>
      <c r="G165" s="92">
        <v>0.004016203703703704</v>
      </c>
    </row>
    <row r="166">
      <c r="A166" s="89" t="s">
        <v>1481</v>
      </c>
      <c r="B166" s="89" t="s">
        <v>1482</v>
      </c>
      <c r="C166" s="90" t="s">
        <v>1517</v>
      </c>
      <c r="D166" s="91">
        <v>2.0</v>
      </c>
      <c r="E166" s="90" t="s">
        <v>1019</v>
      </c>
      <c r="F166" s="90" t="s">
        <v>1520</v>
      </c>
      <c r="G166" s="92">
        <v>0.006678240740740741</v>
      </c>
    </row>
    <row r="167">
      <c r="A167" s="89" t="s">
        <v>1481</v>
      </c>
      <c r="B167" s="89" t="s">
        <v>1482</v>
      </c>
      <c r="C167" s="90" t="s">
        <v>1517</v>
      </c>
      <c r="D167" s="91">
        <v>3.0</v>
      </c>
      <c r="E167" s="90" t="s">
        <v>1024</v>
      </c>
      <c r="F167" s="90" t="s">
        <v>1022</v>
      </c>
      <c r="G167" s="92">
        <v>0.007488425925925926</v>
      </c>
    </row>
    <row r="168">
      <c r="A168" s="89" t="s">
        <v>1481</v>
      </c>
      <c r="B168" s="89" t="s">
        <v>1482</v>
      </c>
      <c r="C168" s="90" t="s">
        <v>1517</v>
      </c>
      <c r="D168" s="91">
        <v>3.0</v>
      </c>
      <c r="E168" s="90" t="s">
        <v>1024</v>
      </c>
      <c r="F168" s="90" t="s">
        <v>1025</v>
      </c>
      <c r="G168" s="92">
        <v>0.0028125</v>
      </c>
    </row>
    <row r="169">
      <c r="A169" s="89" t="s">
        <v>1481</v>
      </c>
      <c r="B169" s="89" t="s">
        <v>1482</v>
      </c>
      <c r="C169" s="90" t="s">
        <v>1517</v>
      </c>
      <c r="D169" s="91">
        <v>3.0</v>
      </c>
      <c r="E169" s="90" t="s">
        <v>1024</v>
      </c>
      <c r="F169" s="90" t="s">
        <v>1521</v>
      </c>
      <c r="G169" s="92">
        <v>0.0028819444444444444</v>
      </c>
    </row>
    <row r="170">
      <c r="A170" s="89" t="s">
        <v>1481</v>
      </c>
      <c r="B170" s="89" t="s">
        <v>1482</v>
      </c>
      <c r="C170" s="90" t="s">
        <v>1517</v>
      </c>
      <c r="D170" s="91">
        <v>3.0</v>
      </c>
      <c r="E170" s="90" t="s">
        <v>1024</v>
      </c>
      <c r="F170" s="90" t="s">
        <v>1027</v>
      </c>
      <c r="G170" s="92">
        <v>0.001388888888888889</v>
      </c>
    </row>
    <row r="171">
      <c r="A171" s="89" t="s">
        <v>1481</v>
      </c>
      <c r="B171" s="89" t="s">
        <v>1482</v>
      </c>
      <c r="C171" s="90" t="s">
        <v>1517</v>
      </c>
      <c r="D171" s="91">
        <v>3.0</v>
      </c>
      <c r="E171" s="90" t="s">
        <v>1024</v>
      </c>
      <c r="F171" s="90" t="s">
        <v>1029</v>
      </c>
      <c r="G171" s="92">
        <v>0.012372685185185184</v>
      </c>
    </row>
    <row r="172">
      <c r="A172" s="89" t="s">
        <v>1481</v>
      </c>
      <c r="B172" s="89" t="s">
        <v>1482</v>
      </c>
      <c r="C172" s="90" t="s">
        <v>1517</v>
      </c>
      <c r="D172" s="91">
        <v>3.0</v>
      </c>
      <c r="E172" s="90" t="s">
        <v>1024</v>
      </c>
      <c r="F172" s="90" t="s">
        <v>1031</v>
      </c>
      <c r="G172" s="92">
        <v>0.006655092592592593</v>
      </c>
    </row>
    <row r="173">
      <c r="A173" s="89" t="s">
        <v>1481</v>
      </c>
      <c r="B173" s="89" t="s">
        <v>1482</v>
      </c>
      <c r="C173" s="90" t="s">
        <v>1517</v>
      </c>
      <c r="D173" s="91">
        <v>4.0</v>
      </c>
      <c r="E173" s="90" t="s">
        <v>1035</v>
      </c>
      <c r="F173" s="90" t="s">
        <v>1033</v>
      </c>
      <c r="G173" s="92">
        <v>0.005613425925925926</v>
      </c>
    </row>
    <row r="174">
      <c r="A174" s="89" t="s">
        <v>1481</v>
      </c>
      <c r="B174" s="89" t="s">
        <v>1482</v>
      </c>
      <c r="C174" s="90" t="s">
        <v>1517</v>
      </c>
      <c r="D174" s="91">
        <v>4.0</v>
      </c>
      <c r="E174" s="90" t="s">
        <v>1035</v>
      </c>
      <c r="F174" s="90" t="s">
        <v>1036</v>
      </c>
      <c r="G174" s="92">
        <v>0.005150462962962963</v>
      </c>
    </row>
    <row r="175">
      <c r="A175" s="89" t="s">
        <v>1481</v>
      </c>
      <c r="B175" s="89" t="s">
        <v>1482</v>
      </c>
      <c r="C175" s="90" t="s">
        <v>1517</v>
      </c>
      <c r="D175" s="91">
        <v>4.0</v>
      </c>
      <c r="E175" s="90" t="s">
        <v>1035</v>
      </c>
      <c r="F175" s="90" t="s">
        <v>1038</v>
      </c>
      <c r="G175" s="92">
        <v>0.001099537037037037</v>
      </c>
    </row>
    <row r="176">
      <c r="A176" s="89" t="s">
        <v>1481</v>
      </c>
      <c r="B176" s="89" t="s">
        <v>1482</v>
      </c>
      <c r="C176" s="90" t="s">
        <v>1517</v>
      </c>
      <c r="D176" s="91">
        <v>4.0</v>
      </c>
      <c r="E176" s="90" t="s">
        <v>1035</v>
      </c>
      <c r="F176" s="90" t="s">
        <v>1040</v>
      </c>
      <c r="G176" s="92">
        <v>0.002002314814814815</v>
      </c>
    </row>
    <row r="177">
      <c r="A177" s="89" t="s">
        <v>1481</v>
      </c>
      <c r="B177" s="89" t="s">
        <v>1482</v>
      </c>
      <c r="C177" s="90" t="s">
        <v>1517</v>
      </c>
      <c r="D177" s="91">
        <v>4.0</v>
      </c>
      <c r="E177" s="90" t="s">
        <v>1035</v>
      </c>
      <c r="F177" s="90" t="s">
        <v>1522</v>
      </c>
      <c r="G177" s="92">
        <v>0.0042361111111111115</v>
      </c>
    </row>
    <row r="178">
      <c r="A178" s="89" t="s">
        <v>1481</v>
      </c>
      <c r="B178" s="89" t="s">
        <v>1482</v>
      </c>
      <c r="C178" s="90" t="s">
        <v>1517</v>
      </c>
      <c r="D178" s="91">
        <v>4.0</v>
      </c>
      <c r="E178" s="90" t="s">
        <v>1035</v>
      </c>
      <c r="F178" s="90" t="s">
        <v>1042</v>
      </c>
      <c r="G178" s="92">
        <v>0.0010416666666666667</v>
      </c>
    </row>
    <row r="179">
      <c r="A179" s="89" t="s">
        <v>1481</v>
      </c>
      <c r="B179" s="89" t="s">
        <v>1482</v>
      </c>
      <c r="C179" s="90" t="s">
        <v>1517</v>
      </c>
      <c r="D179" s="91">
        <v>5.0</v>
      </c>
      <c r="E179" s="90" t="s">
        <v>1046</v>
      </c>
      <c r="F179" s="90" t="s">
        <v>1044</v>
      </c>
      <c r="G179" s="92">
        <v>0.009386574074074073</v>
      </c>
    </row>
    <row r="180">
      <c r="A180" s="89" t="s">
        <v>1481</v>
      </c>
      <c r="B180" s="89" t="s">
        <v>1482</v>
      </c>
      <c r="C180" s="90" t="s">
        <v>1517</v>
      </c>
      <c r="D180" s="91">
        <v>5.0</v>
      </c>
      <c r="E180" s="90" t="s">
        <v>1046</v>
      </c>
      <c r="F180" s="90" t="s">
        <v>1047</v>
      </c>
      <c r="G180" s="92">
        <v>0.00712962962962963</v>
      </c>
    </row>
    <row r="181">
      <c r="A181" s="89" t="s">
        <v>1481</v>
      </c>
      <c r="B181" s="89" t="s">
        <v>1482</v>
      </c>
      <c r="C181" s="90" t="s">
        <v>1517</v>
      </c>
      <c r="D181" s="91">
        <v>5.0</v>
      </c>
      <c r="E181" s="90" t="s">
        <v>1046</v>
      </c>
      <c r="F181" s="90" t="s">
        <v>1049</v>
      </c>
      <c r="G181" s="92">
        <v>0.006527777777777778</v>
      </c>
    </row>
    <row r="182">
      <c r="A182" s="89" t="s">
        <v>1481</v>
      </c>
      <c r="B182" s="89" t="s">
        <v>1482</v>
      </c>
      <c r="C182" s="90" t="s">
        <v>1517</v>
      </c>
      <c r="D182" s="91">
        <v>5.0</v>
      </c>
      <c r="E182" s="90" t="s">
        <v>1046</v>
      </c>
      <c r="F182" s="90" t="s">
        <v>1523</v>
      </c>
      <c r="G182" s="92">
        <v>0.0022916666666666667</v>
      </c>
    </row>
    <row r="183">
      <c r="A183" s="89" t="s">
        <v>1481</v>
      </c>
      <c r="B183" s="89" t="s">
        <v>1482</v>
      </c>
      <c r="C183" s="90" t="s">
        <v>1517</v>
      </c>
      <c r="D183" s="91">
        <v>5.0</v>
      </c>
      <c r="E183" s="90" t="s">
        <v>1046</v>
      </c>
      <c r="F183" s="90" t="s">
        <v>1051</v>
      </c>
      <c r="G183" s="92">
        <v>0.0011805555555555556</v>
      </c>
    </row>
    <row r="184">
      <c r="A184" s="89" t="s">
        <v>1481</v>
      </c>
      <c r="B184" s="89" t="s">
        <v>1482</v>
      </c>
      <c r="C184" s="90" t="s">
        <v>1517</v>
      </c>
      <c r="D184" s="91">
        <v>5.0</v>
      </c>
      <c r="E184" s="90" t="s">
        <v>1046</v>
      </c>
      <c r="F184" s="90" t="s">
        <v>1053</v>
      </c>
      <c r="G184" s="92">
        <v>0.0022569444444444442</v>
      </c>
    </row>
    <row r="185">
      <c r="A185" s="89" t="s">
        <v>1481</v>
      </c>
      <c r="B185" s="89" t="s">
        <v>1482</v>
      </c>
      <c r="C185" s="90" t="s">
        <v>1517</v>
      </c>
      <c r="D185" s="91">
        <v>5.0</v>
      </c>
      <c r="E185" s="90" t="s">
        <v>1046</v>
      </c>
      <c r="F185" s="90" t="s">
        <v>1055</v>
      </c>
      <c r="G185" s="92">
        <v>0.0034027777777777776</v>
      </c>
    </row>
    <row r="186">
      <c r="A186" s="89" t="s">
        <v>1481</v>
      </c>
      <c r="B186" s="89" t="s">
        <v>1482</v>
      </c>
      <c r="C186" s="90" t="s">
        <v>1517</v>
      </c>
      <c r="D186" s="91">
        <v>6.0</v>
      </c>
      <c r="E186" s="90" t="s">
        <v>1058</v>
      </c>
      <c r="F186" s="90" t="s">
        <v>1056</v>
      </c>
      <c r="G186" s="92">
        <v>0.003136574074074074</v>
      </c>
    </row>
    <row r="187">
      <c r="A187" s="89" t="s">
        <v>1481</v>
      </c>
      <c r="B187" s="89" t="s">
        <v>1482</v>
      </c>
      <c r="C187" s="90" t="s">
        <v>1517</v>
      </c>
      <c r="D187" s="91">
        <v>6.0</v>
      </c>
      <c r="E187" s="90" t="s">
        <v>1058</v>
      </c>
      <c r="F187" s="90" t="s">
        <v>1059</v>
      </c>
      <c r="G187" s="92">
        <v>0.004837962962962963</v>
      </c>
    </row>
    <row r="188">
      <c r="A188" s="89" t="s">
        <v>1481</v>
      </c>
      <c r="B188" s="89" t="s">
        <v>1482</v>
      </c>
      <c r="C188" s="90" t="s">
        <v>1517</v>
      </c>
      <c r="D188" s="91">
        <v>7.0</v>
      </c>
      <c r="E188" s="90" t="s">
        <v>1063</v>
      </c>
      <c r="F188" s="90" t="s">
        <v>1061</v>
      </c>
      <c r="G188" s="92">
        <v>0.008912037037037038</v>
      </c>
    </row>
    <row r="189">
      <c r="D189" s="93"/>
    </row>
    <row r="190">
      <c r="D190" s="93"/>
    </row>
    <row r="191">
      <c r="D191" s="93"/>
    </row>
    <row r="192">
      <c r="D192" s="93"/>
    </row>
    <row r="193">
      <c r="D193" s="93"/>
    </row>
    <row r="194">
      <c r="D194" s="93"/>
    </row>
    <row r="195">
      <c r="D195" s="93"/>
    </row>
    <row r="196">
      <c r="D196" s="93"/>
    </row>
    <row r="197">
      <c r="D197" s="93"/>
    </row>
    <row r="198">
      <c r="D198" s="93"/>
    </row>
    <row r="199">
      <c r="D199" s="93"/>
    </row>
    <row r="200">
      <c r="D200" s="93"/>
    </row>
    <row r="201">
      <c r="D201" s="93"/>
    </row>
    <row r="202">
      <c r="D202" s="93"/>
    </row>
    <row r="203">
      <c r="D203" s="93"/>
    </row>
    <row r="204">
      <c r="D204" s="93"/>
    </row>
    <row r="205">
      <c r="D205" s="93"/>
    </row>
    <row r="206">
      <c r="D206" s="93"/>
    </row>
    <row r="207">
      <c r="D207" s="93"/>
    </row>
    <row r="208">
      <c r="D208" s="93"/>
    </row>
    <row r="209">
      <c r="D209" s="93"/>
    </row>
    <row r="210">
      <c r="D210" s="93"/>
    </row>
    <row r="211">
      <c r="D211" s="93"/>
    </row>
    <row r="212">
      <c r="D212" s="93"/>
    </row>
    <row r="213">
      <c r="D213" s="93"/>
    </row>
    <row r="214">
      <c r="D214" s="93"/>
    </row>
    <row r="215">
      <c r="D215" s="93"/>
    </row>
    <row r="216">
      <c r="D216" s="93"/>
    </row>
    <row r="217">
      <c r="D217" s="93"/>
    </row>
    <row r="218">
      <c r="D218" s="93"/>
    </row>
    <row r="219">
      <c r="D219" s="93"/>
    </row>
    <row r="220">
      <c r="D220" s="93"/>
    </row>
    <row r="221">
      <c r="D221" s="93"/>
    </row>
    <row r="222">
      <c r="D222" s="93"/>
    </row>
    <row r="223">
      <c r="D223" s="93"/>
    </row>
    <row r="224">
      <c r="D224" s="93"/>
    </row>
    <row r="225">
      <c r="D225" s="93"/>
    </row>
    <row r="226">
      <c r="D226" s="93"/>
    </row>
    <row r="227">
      <c r="D227" s="93"/>
    </row>
    <row r="228">
      <c r="D228" s="93"/>
    </row>
    <row r="229">
      <c r="D229" s="93"/>
    </row>
    <row r="230">
      <c r="D230" s="93"/>
    </row>
    <row r="231">
      <c r="D231" s="93"/>
    </row>
    <row r="232">
      <c r="D232" s="93"/>
    </row>
    <row r="233">
      <c r="D233" s="93"/>
    </row>
    <row r="234">
      <c r="D234" s="93"/>
    </row>
    <row r="235">
      <c r="D235" s="93"/>
    </row>
  </sheetData>
  <printOptions gridLines="1" horizontalCentered="1"/>
  <pageMargins bottom="0.75" footer="0.0" header="0.0" left="0.7" right="0.7" top="0.75"/>
  <pageSetup fitToHeight="0" cellComments="atEnd" orientation="landscape" pageOrder="overThenDown"/>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20.56"/>
    <col customWidth="1" min="2" max="2" width="17.44"/>
    <col customWidth="1" min="3" max="3" width="58.0"/>
    <col customWidth="1" min="4" max="4" width="19.0"/>
    <col customWidth="1" min="8" max="8" width="216.78"/>
    <col customWidth="1" min="9" max="9" width="30.78"/>
  </cols>
  <sheetData>
    <row r="1">
      <c r="A1" s="106" t="s">
        <v>1678</v>
      </c>
      <c r="B1" s="106" t="s">
        <v>1638</v>
      </c>
      <c r="C1" s="107" t="s">
        <v>1639</v>
      </c>
      <c r="D1" s="108" t="s">
        <v>1640</v>
      </c>
      <c r="E1" s="109" t="s">
        <v>1641</v>
      </c>
      <c r="F1" s="109" t="s">
        <v>1642</v>
      </c>
      <c r="G1" s="110"/>
      <c r="H1" s="109" t="s">
        <v>1643</v>
      </c>
      <c r="I1" s="109" t="s">
        <v>1670</v>
      </c>
      <c r="J1" s="110"/>
      <c r="K1" s="110"/>
      <c r="L1" s="110"/>
      <c r="M1" s="110"/>
      <c r="N1" s="110"/>
    </row>
    <row r="2">
      <c r="A2" s="111" t="s">
        <v>1644</v>
      </c>
      <c r="B2" s="112"/>
      <c r="C2" s="112"/>
      <c r="D2" s="113"/>
      <c r="E2" s="112"/>
      <c r="F2" s="114">
        <f>SUM(F3+F6)</f>
        <v>0.05702546296</v>
      </c>
      <c r="G2" s="112"/>
      <c r="H2" s="112"/>
      <c r="I2" s="112"/>
      <c r="J2" s="112"/>
      <c r="K2" s="112"/>
      <c r="L2" s="112"/>
      <c r="M2" s="112"/>
      <c r="N2" s="112"/>
    </row>
    <row r="3">
      <c r="A3" s="115" t="s">
        <v>1645</v>
      </c>
      <c r="B3" s="116"/>
      <c r="C3" s="116"/>
      <c r="D3" s="117"/>
      <c r="E3" s="116"/>
      <c r="F3" s="118">
        <f>SUM(F4)</f>
        <v>0</v>
      </c>
      <c r="G3" s="116"/>
      <c r="H3" s="116"/>
      <c r="I3" s="116"/>
      <c r="J3" s="116"/>
      <c r="K3" s="116"/>
      <c r="L3" s="116"/>
      <c r="M3" s="116"/>
      <c r="N3" s="116"/>
    </row>
    <row r="4">
      <c r="A4" s="110"/>
      <c r="B4" s="110" t="s">
        <v>1646</v>
      </c>
      <c r="C4" s="110"/>
      <c r="D4" s="119"/>
      <c r="E4" s="110"/>
      <c r="F4" s="120">
        <f>SUM(D5)</f>
        <v>0</v>
      </c>
      <c r="G4" s="110"/>
      <c r="H4" s="110"/>
      <c r="I4" s="110"/>
      <c r="J4" s="110"/>
      <c r="K4" s="110"/>
      <c r="L4" s="110"/>
      <c r="M4" s="110"/>
      <c r="N4" s="110"/>
    </row>
    <row r="5">
      <c r="A5" s="110"/>
      <c r="B5" s="110"/>
      <c r="C5" s="121" t="s">
        <v>1647</v>
      </c>
      <c r="D5" s="119"/>
      <c r="E5" s="110"/>
      <c r="F5" s="119"/>
      <c r="G5" s="110"/>
      <c r="H5" s="110"/>
      <c r="I5" s="110"/>
      <c r="J5" s="110"/>
      <c r="K5" s="110"/>
      <c r="L5" s="110"/>
      <c r="M5" s="110"/>
      <c r="N5" s="110"/>
    </row>
    <row r="6">
      <c r="A6" s="115"/>
      <c r="B6" s="116"/>
      <c r="C6" s="116"/>
      <c r="D6" s="117"/>
      <c r="E6" s="116"/>
      <c r="F6" s="118">
        <f>SUM(F7:F11)</f>
        <v>0.05702546296</v>
      </c>
      <c r="G6" s="116"/>
      <c r="H6" s="116"/>
      <c r="I6" s="116"/>
      <c r="J6" s="116"/>
      <c r="K6" s="116"/>
      <c r="L6" s="116"/>
      <c r="M6" s="116"/>
      <c r="N6" s="116"/>
    </row>
    <row r="7">
      <c r="A7" s="110"/>
      <c r="B7" s="121" t="s">
        <v>1679</v>
      </c>
      <c r="C7" s="110"/>
      <c r="D7" s="119"/>
      <c r="E7" s="110"/>
      <c r="F7" s="120">
        <f>SUM(D8:D11)</f>
        <v>0.05702546296</v>
      </c>
      <c r="G7" s="110"/>
      <c r="H7" s="110"/>
      <c r="I7" s="110"/>
      <c r="J7" s="110"/>
      <c r="K7" s="110"/>
      <c r="L7" s="110"/>
      <c r="M7" s="110"/>
      <c r="N7" s="110"/>
    </row>
    <row r="8">
      <c r="A8" s="110"/>
      <c r="B8" s="110"/>
      <c r="C8" s="121" t="s">
        <v>1680</v>
      </c>
      <c r="D8" s="122">
        <v>0.01699074074074074</v>
      </c>
      <c r="E8" s="110"/>
      <c r="F8" s="110"/>
      <c r="G8" s="110"/>
      <c r="H8" s="121" t="s">
        <v>1681</v>
      </c>
      <c r="I8" s="110"/>
      <c r="J8" s="110"/>
      <c r="K8" s="110"/>
      <c r="L8" s="110"/>
      <c r="M8" s="110"/>
      <c r="N8" s="110"/>
    </row>
    <row r="9">
      <c r="A9" s="110"/>
      <c r="B9" s="110"/>
      <c r="C9" s="121" t="s">
        <v>1682</v>
      </c>
      <c r="D9" s="122">
        <v>0.011331018518518518</v>
      </c>
      <c r="E9" s="110"/>
      <c r="F9" s="110"/>
      <c r="G9" s="110"/>
      <c r="H9" s="121" t="s">
        <v>1683</v>
      </c>
      <c r="I9" s="110"/>
      <c r="J9" s="110"/>
      <c r="K9" s="110"/>
      <c r="L9" s="110"/>
      <c r="M9" s="110"/>
      <c r="N9" s="110"/>
    </row>
    <row r="10">
      <c r="A10" s="110"/>
      <c r="B10" s="110"/>
      <c r="C10" s="121" t="s">
        <v>1684</v>
      </c>
      <c r="D10" s="122">
        <v>0.011018518518518518</v>
      </c>
      <c r="E10" s="110"/>
      <c r="F10" s="110"/>
      <c r="G10" s="110"/>
      <c r="H10" s="121" t="s">
        <v>1685</v>
      </c>
      <c r="I10" s="110"/>
      <c r="J10" s="110"/>
      <c r="K10" s="110"/>
      <c r="L10" s="110"/>
      <c r="M10" s="110"/>
      <c r="N10" s="110"/>
    </row>
    <row r="11">
      <c r="A11" s="110"/>
      <c r="B11" s="110"/>
      <c r="C11" s="121" t="s">
        <v>1686</v>
      </c>
      <c r="D11" s="122">
        <v>0.017685185185185186</v>
      </c>
      <c r="E11" s="110"/>
      <c r="F11" s="110"/>
      <c r="G11" s="110"/>
      <c r="H11" s="121" t="s">
        <v>1687</v>
      </c>
      <c r="I11" s="110"/>
      <c r="J11" s="110"/>
      <c r="K11" s="110"/>
      <c r="L11" s="110"/>
      <c r="M11" s="110"/>
      <c r="N11" s="110"/>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0.0"/>
    <col customWidth="1" min="2" max="2" width="11.11"/>
    <col customWidth="1" min="3" max="3" width="32.0"/>
    <col customWidth="1" min="4" max="4" width="7.56"/>
    <col customWidth="1" min="5" max="5" width="31.67"/>
    <col customWidth="1" min="6" max="6" width="52.56"/>
    <col customWidth="1" min="7" max="7" width="6.33"/>
  </cols>
  <sheetData>
    <row r="1" ht="14.25" customHeight="1">
      <c r="A1" s="51" t="s">
        <v>1355</v>
      </c>
      <c r="B1" s="51" t="s">
        <v>1376</v>
      </c>
      <c r="C1" s="52" t="s">
        <v>1356</v>
      </c>
      <c r="D1" s="53" t="s">
        <v>1357</v>
      </c>
      <c r="E1" s="52" t="s">
        <v>1358</v>
      </c>
      <c r="F1" s="52" t="s">
        <v>1359</v>
      </c>
      <c r="G1" s="52" t="s">
        <v>1360</v>
      </c>
    </row>
    <row r="2" ht="14.25" customHeight="1">
      <c r="A2" s="54" t="s">
        <v>1377</v>
      </c>
      <c r="B2" s="54" t="s">
        <v>1378</v>
      </c>
      <c r="C2" s="55" t="s">
        <v>1379</v>
      </c>
      <c r="D2" s="56">
        <v>1.0</v>
      </c>
      <c r="E2" s="57" t="s">
        <v>200</v>
      </c>
      <c r="F2" s="57" t="s">
        <v>197</v>
      </c>
      <c r="G2" s="58">
        <v>0.010243055555555556</v>
      </c>
    </row>
    <row r="3" ht="14.25" customHeight="1">
      <c r="A3" s="54" t="s">
        <v>1377</v>
      </c>
      <c r="B3" s="54" t="s">
        <v>1378</v>
      </c>
      <c r="C3" s="55" t="s">
        <v>1379</v>
      </c>
      <c r="D3" s="56">
        <v>1.0</v>
      </c>
      <c r="E3" s="57" t="s">
        <v>200</v>
      </c>
      <c r="F3" s="57" t="s">
        <v>201</v>
      </c>
      <c r="G3" s="58">
        <v>0.012800925925925926</v>
      </c>
    </row>
    <row r="4" ht="14.25" customHeight="1">
      <c r="A4" s="54" t="s">
        <v>1377</v>
      </c>
      <c r="B4" s="54" t="s">
        <v>1378</v>
      </c>
      <c r="C4" s="55" t="s">
        <v>1379</v>
      </c>
      <c r="D4" s="56">
        <v>1.0</v>
      </c>
      <c r="E4" s="57" t="s">
        <v>200</v>
      </c>
      <c r="F4" s="57" t="s">
        <v>203</v>
      </c>
      <c r="G4" s="58">
        <v>0.01619212962962963</v>
      </c>
    </row>
    <row r="5" ht="14.25" customHeight="1">
      <c r="A5" s="54" t="s">
        <v>1377</v>
      </c>
      <c r="B5" s="54" t="s">
        <v>1378</v>
      </c>
      <c r="C5" s="55" t="s">
        <v>1380</v>
      </c>
      <c r="D5" s="56">
        <v>1.0</v>
      </c>
      <c r="E5" s="57" t="s">
        <v>207</v>
      </c>
      <c r="F5" s="57" t="s">
        <v>205</v>
      </c>
      <c r="G5" s="58">
        <v>0.012094907407407407</v>
      </c>
    </row>
    <row r="6" ht="14.25" customHeight="1">
      <c r="A6" s="54" t="s">
        <v>1377</v>
      </c>
      <c r="B6" s="54" t="s">
        <v>1378</v>
      </c>
      <c r="C6" s="55" t="s">
        <v>1380</v>
      </c>
      <c r="D6" s="56">
        <v>1.0</v>
      </c>
      <c r="E6" s="57" t="s">
        <v>207</v>
      </c>
      <c r="F6" s="57" t="s">
        <v>208</v>
      </c>
      <c r="G6" s="58">
        <v>0.015497685185185186</v>
      </c>
    </row>
    <row r="7" ht="14.25" customHeight="1">
      <c r="A7" s="54" t="s">
        <v>1377</v>
      </c>
      <c r="B7" s="54" t="s">
        <v>1378</v>
      </c>
      <c r="C7" s="55" t="s">
        <v>1380</v>
      </c>
      <c r="D7" s="56">
        <v>1.0</v>
      </c>
      <c r="E7" s="57" t="s">
        <v>207</v>
      </c>
      <c r="F7" s="57" t="s">
        <v>210</v>
      </c>
      <c r="G7" s="58">
        <v>0.003553240740740741</v>
      </c>
    </row>
    <row r="8" ht="14.25" customHeight="1">
      <c r="A8" s="54" t="s">
        <v>1377</v>
      </c>
      <c r="B8" s="54" t="s">
        <v>1378</v>
      </c>
      <c r="C8" s="55" t="s">
        <v>1380</v>
      </c>
      <c r="D8" s="56">
        <v>1.0</v>
      </c>
      <c r="E8" s="57" t="s">
        <v>207</v>
      </c>
      <c r="F8" s="57" t="s">
        <v>656</v>
      </c>
      <c r="G8" s="58">
        <v>0.004733796296296297</v>
      </c>
    </row>
    <row r="9" ht="14.25" customHeight="1">
      <c r="A9" s="54" t="s">
        <v>1377</v>
      </c>
      <c r="B9" s="54" t="s">
        <v>1378</v>
      </c>
      <c r="C9" s="55" t="s">
        <v>1380</v>
      </c>
      <c r="D9" s="56">
        <v>1.0</v>
      </c>
      <c r="E9" s="57" t="s">
        <v>207</v>
      </c>
      <c r="F9" s="57" t="s">
        <v>658</v>
      </c>
      <c r="G9" s="58">
        <v>0.004016203703703704</v>
      </c>
    </row>
    <row r="10" ht="14.25" customHeight="1">
      <c r="A10" s="54" t="s">
        <v>1377</v>
      </c>
      <c r="B10" s="54" t="s">
        <v>1378</v>
      </c>
      <c r="C10" s="55" t="s">
        <v>1380</v>
      </c>
      <c r="D10" s="56">
        <v>1.0</v>
      </c>
      <c r="E10" s="57" t="s">
        <v>207</v>
      </c>
      <c r="F10" s="57" t="s">
        <v>212</v>
      </c>
      <c r="G10" s="58">
        <v>0.010590277777777778</v>
      </c>
    </row>
    <row r="11" ht="14.25" customHeight="1">
      <c r="A11" s="54" t="s">
        <v>1377</v>
      </c>
      <c r="B11" s="54" t="s">
        <v>1378</v>
      </c>
      <c r="C11" s="55" t="s">
        <v>1380</v>
      </c>
      <c r="D11" s="56">
        <v>2.0</v>
      </c>
      <c r="E11" s="57" t="s">
        <v>216</v>
      </c>
      <c r="F11" s="57" t="s">
        <v>214</v>
      </c>
      <c r="G11" s="58">
        <v>0.01607638888888889</v>
      </c>
    </row>
    <row r="12" ht="14.25" customHeight="1">
      <c r="A12" s="54" t="s">
        <v>1377</v>
      </c>
      <c r="B12" s="54" t="s">
        <v>1378</v>
      </c>
      <c r="C12" s="55" t="s">
        <v>1380</v>
      </c>
      <c r="D12" s="56">
        <v>2.0</v>
      </c>
      <c r="E12" s="57" t="s">
        <v>216</v>
      </c>
      <c r="F12" s="57" t="s">
        <v>217</v>
      </c>
      <c r="G12" s="58">
        <v>0.013668981481481482</v>
      </c>
    </row>
    <row r="13" ht="14.25" customHeight="1">
      <c r="A13" s="54" t="s">
        <v>1377</v>
      </c>
      <c r="B13" s="54" t="s">
        <v>1378</v>
      </c>
      <c r="C13" s="55" t="s">
        <v>1380</v>
      </c>
      <c r="D13" s="56">
        <v>2.0</v>
      </c>
      <c r="E13" s="57" t="s">
        <v>216</v>
      </c>
      <c r="F13" s="57" t="s">
        <v>219</v>
      </c>
      <c r="G13" s="58">
        <v>0.010868055555555556</v>
      </c>
    </row>
    <row r="14" ht="14.25" customHeight="1">
      <c r="A14" s="54" t="s">
        <v>1377</v>
      </c>
      <c r="B14" s="54" t="s">
        <v>1378</v>
      </c>
      <c r="C14" s="55" t="s">
        <v>1380</v>
      </c>
      <c r="D14" s="56">
        <v>2.0</v>
      </c>
      <c r="E14" s="57" t="s">
        <v>216</v>
      </c>
      <c r="F14" s="57" t="s">
        <v>221</v>
      </c>
      <c r="G14" s="58">
        <v>0.005300925925925926</v>
      </c>
    </row>
    <row r="15" ht="14.25" customHeight="1">
      <c r="A15" s="54" t="s">
        <v>1377</v>
      </c>
      <c r="B15" s="54" t="s">
        <v>1378</v>
      </c>
      <c r="C15" s="55" t="s">
        <v>1380</v>
      </c>
      <c r="D15" s="56">
        <v>2.0</v>
      </c>
      <c r="E15" s="57" t="s">
        <v>216</v>
      </c>
      <c r="F15" s="54" t="s">
        <v>223</v>
      </c>
      <c r="G15" s="58">
        <v>0.05555555555555555</v>
      </c>
    </row>
    <row r="16" ht="14.25" customHeight="1">
      <c r="A16" s="54" t="s">
        <v>1377</v>
      </c>
      <c r="B16" s="54" t="s">
        <v>1378</v>
      </c>
      <c r="C16" s="55" t="s">
        <v>1380</v>
      </c>
      <c r="D16" s="56">
        <v>2.0</v>
      </c>
      <c r="E16" s="57" t="s">
        <v>216</v>
      </c>
      <c r="F16" s="54" t="s">
        <v>1381</v>
      </c>
      <c r="G16" s="58">
        <v>0.05555555555555555</v>
      </c>
    </row>
    <row r="17" ht="14.25" customHeight="1">
      <c r="A17" s="54" t="s">
        <v>1377</v>
      </c>
      <c r="B17" s="54" t="s">
        <v>1378</v>
      </c>
      <c r="C17" s="55" t="s">
        <v>1380</v>
      </c>
      <c r="D17" s="56">
        <v>3.0</v>
      </c>
      <c r="E17" s="57" t="s">
        <v>226</v>
      </c>
      <c r="F17" s="57" t="s">
        <v>224</v>
      </c>
      <c r="G17" s="58">
        <v>0.022337962962962962</v>
      </c>
    </row>
    <row r="18" ht="14.25" customHeight="1">
      <c r="A18" s="54" t="s">
        <v>1377</v>
      </c>
      <c r="B18" s="54" t="s">
        <v>1378</v>
      </c>
      <c r="C18" s="55" t="s">
        <v>1380</v>
      </c>
      <c r="D18" s="56">
        <v>3.0</v>
      </c>
      <c r="E18" s="57" t="s">
        <v>226</v>
      </c>
      <c r="F18" s="57" t="s">
        <v>227</v>
      </c>
      <c r="G18" s="58">
        <v>0.01758101851851852</v>
      </c>
    </row>
    <row r="19" ht="14.25" customHeight="1">
      <c r="A19" s="54" t="s">
        <v>1377</v>
      </c>
      <c r="B19" s="54" t="s">
        <v>1378</v>
      </c>
      <c r="C19" s="55" t="s">
        <v>1380</v>
      </c>
      <c r="D19" s="56">
        <v>3.0</v>
      </c>
      <c r="E19" s="57" t="s">
        <v>226</v>
      </c>
      <c r="F19" s="57" t="s">
        <v>229</v>
      </c>
      <c r="G19" s="58">
        <v>0.014618055555555556</v>
      </c>
    </row>
    <row r="20" ht="14.25" customHeight="1">
      <c r="A20" s="54" t="s">
        <v>1377</v>
      </c>
      <c r="B20" s="54" t="s">
        <v>1378</v>
      </c>
      <c r="C20" s="55" t="s">
        <v>1380</v>
      </c>
      <c r="D20" s="56">
        <v>4.0</v>
      </c>
      <c r="E20" s="57" t="s">
        <v>233</v>
      </c>
      <c r="F20" s="57" t="s">
        <v>231</v>
      </c>
      <c r="G20" s="58">
        <v>0.025208333333333333</v>
      </c>
    </row>
    <row r="21" ht="14.25" customHeight="1">
      <c r="A21" s="54" t="s">
        <v>1377</v>
      </c>
      <c r="B21" s="54" t="s">
        <v>1378</v>
      </c>
      <c r="C21" s="55" t="s">
        <v>1380</v>
      </c>
      <c r="D21" s="56">
        <v>4.0</v>
      </c>
      <c r="E21" s="57" t="s">
        <v>233</v>
      </c>
      <c r="F21" s="57" t="s">
        <v>234</v>
      </c>
      <c r="G21" s="58">
        <v>0.015</v>
      </c>
    </row>
    <row r="22" ht="14.25" customHeight="1">
      <c r="A22" s="54" t="s">
        <v>1377</v>
      </c>
      <c r="B22" s="54" t="s">
        <v>1378</v>
      </c>
      <c r="C22" s="55" t="s">
        <v>1380</v>
      </c>
      <c r="D22" s="56">
        <v>4.0</v>
      </c>
      <c r="E22" s="57" t="s">
        <v>233</v>
      </c>
      <c r="F22" s="57" t="s">
        <v>663</v>
      </c>
      <c r="G22" s="58">
        <v>0.01255787037037037</v>
      </c>
    </row>
    <row r="23" ht="14.25" customHeight="1">
      <c r="A23" s="54" t="s">
        <v>1377</v>
      </c>
      <c r="B23" s="54" t="s">
        <v>1378</v>
      </c>
      <c r="C23" s="55" t="s">
        <v>1380</v>
      </c>
      <c r="D23" s="56">
        <v>4.0</v>
      </c>
      <c r="E23" s="57" t="s">
        <v>233</v>
      </c>
      <c r="F23" s="57" t="s">
        <v>236</v>
      </c>
      <c r="G23" s="58">
        <v>0.05555555555555555</v>
      </c>
    </row>
    <row r="24" ht="14.25" customHeight="1">
      <c r="A24" s="54" t="s">
        <v>1377</v>
      </c>
      <c r="B24" s="54" t="s">
        <v>1378</v>
      </c>
      <c r="C24" s="55" t="s">
        <v>1380</v>
      </c>
      <c r="D24" s="56">
        <v>4.0</v>
      </c>
      <c r="E24" s="57" t="s">
        <v>233</v>
      </c>
      <c r="F24" s="57" t="s">
        <v>237</v>
      </c>
      <c r="G24" s="58">
        <v>0.05555555555555555</v>
      </c>
    </row>
    <row r="25" ht="14.25" customHeight="1">
      <c r="A25" s="54" t="s">
        <v>1377</v>
      </c>
      <c r="B25" s="54" t="s">
        <v>1378</v>
      </c>
      <c r="C25" s="55" t="s">
        <v>1380</v>
      </c>
      <c r="D25" s="56">
        <v>5.0</v>
      </c>
      <c r="E25" s="57" t="s">
        <v>240</v>
      </c>
      <c r="F25" s="57" t="s">
        <v>238</v>
      </c>
      <c r="G25" s="58">
        <v>0.007743055555555556</v>
      </c>
    </row>
    <row r="26" ht="14.25" customHeight="1">
      <c r="A26" s="54" t="s">
        <v>1377</v>
      </c>
      <c r="B26" s="54" t="s">
        <v>1378</v>
      </c>
      <c r="C26" s="55" t="s">
        <v>1380</v>
      </c>
      <c r="D26" s="56">
        <v>5.0</v>
      </c>
      <c r="E26" s="57" t="s">
        <v>240</v>
      </c>
      <c r="F26" s="57" t="s">
        <v>241</v>
      </c>
      <c r="G26" s="58">
        <v>0.00974537037037037</v>
      </c>
    </row>
    <row r="27" ht="14.25" customHeight="1">
      <c r="A27" s="54" t="s">
        <v>1377</v>
      </c>
      <c r="B27" s="54" t="s">
        <v>1378</v>
      </c>
      <c r="C27" s="55" t="s">
        <v>1380</v>
      </c>
      <c r="D27" s="56">
        <v>5.0</v>
      </c>
      <c r="E27" s="57" t="s">
        <v>240</v>
      </c>
      <c r="F27" s="57" t="s">
        <v>243</v>
      </c>
      <c r="G27" s="58">
        <v>0.008067129629629629</v>
      </c>
    </row>
    <row r="28" ht="14.25" customHeight="1">
      <c r="A28" s="54" t="s">
        <v>1377</v>
      </c>
      <c r="B28" s="54" t="s">
        <v>1378</v>
      </c>
      <c r="C28" s="55" t="s">
        <v>1382</v>
      </c>
      <c r="D28" s="56">
        <v>1.0</v>
      </c>
      <c r="E28" s="57" t="s">
        <v>247</v>
      </c>
      <c r="F28" s="57" t="s">
        <v>245</v>
      </c>
      <c r="G28" s="58">
        <v>0.027511574074074074</v>
      </c>
    </row>
    <row r="29" ht="14.25" customHeight="1">
      <c r="A29" s="54" t="s">
        <v>1377</v>
      </c>
      <c r="B29" s="54" t="s">
        <v>1378</v>
      </c>
      <c r="C29" s="55" t="s">
        <v>1382</v>
      </c>
      <c r="D29" s="56">
        <v>1.0</v>
      </c>
      <c r="E29" s="57" t="s">
        <v>247</v>
      </c>
      <c r="F29" s="57" t="s">
        <v>248</v>
      </c>
      <c r="G29" s="58">
        <v>0.0625</v>
      </c>
    </row>
    <row r="30" ht="14.25" customHeight="1">
      <c r="A30" s="54" t="s">
        <v>1377</v>
      </c>
      <c r="B30" s="54" t="s">
        <v>1378</v>
      </c>
      <c r="C30" s="55" t="s">
        <v>1382</v>
      </c>
      <c r="D30" s="56">
        <v>2.0</v>
      </c>
      <c r="E30" s="57" t="s">
        <v>251</v>
      </c>
      <c r="F30" s="57" t="s">
        <v>249</v>
      </c>
      <c r="G30" s="58">
        <v>0.020023148148148148</v>
      </c>
    </row>
    <row r="31" ht="14.25" customHeight="1">
      <c r="A31" s="54" t="s">
        <v>1377</v>
      </c>
      <c r="B31" s="54" t="s">
        <v>1378</v>
      </c>
      <c r="C31" s="55" t="s">
        <v>1382</v>
      </c>
      <c r="D31" s="56">
        <v>2.0</v>
      </c>
      <c r="E31" s="57" t="s">
        <v>251</v>
      </c>
      <c r="F31" s="57" t="s">
        <v>252</v>
      </c>
      <c r="G31" s="58">
        <v>0.01570601851851852</v>
      </c>
    </row>
    <row r="32" ht="14.25" customHeight="1">
      <c r="A32" s="54" t="s">
        <v>1377</v>
      </c>
      <c r="B32" s="54" t="s">
        <v>1378</v>
      </c>
      <c r="C32" s="55" t="s">
        <v>1383</v>
      </c>
      <c r="D32" s="56">
        <v>1.0</v>
      </c>
      <c r="E32" s="57" t="s">
        <v>258</v>
      </c>
      <c r="F32" s="57" t="s">
        <v>255</v>
      </c>
      <c r="G32" s="58">
        <v>0.020231481481481482</v>
      </c>
    </row>
    <row r="33" ht="14.25" customHeight="1">
      <c r="A33" s="54" t="s">
        <v>1377</v>
      </c>
      <c r="B33" s="54" t="s">
        <v>1378</v>
      </c>
      <c r="C33" s="55" t="s">
        <v>1383</v>
      </c>
      <c r="D33" s="56">
        <v>1.0</v>
      </c>
      <c r="E33" s="57" t="s">
        <v>258</v>
      </c>
      <c r="F33" s="57" t="s">
        <v>259</v>
      </c>
      <c r="G33" s="58">
        <v>0.01204861111111111</v>
      </c>
    </row>
    <row r="34" ht="14.25" customHeight="1">
      <c r="A34" s="54" t="s">
        <v>1377</v>
      </c>
      <c r="B34" s="54" t="s">
        <v>1378</v>
      </c>
      <c r="C34" s="55" t="s">
        <v>1383</v>
      </c>
      <c r="D34" s="56">
        <v>2.0</v>
      </c>
      <c r="E34" s="57" t="s">
        <v>263</v>
      </c>
      <c r="F34" s="57" t="s">
        <v>681</v>
      </c>
      <c r="G34" s="58">
        <v>0.010069444444444445</v>
      </c>
    </row>
    <row r="35" ht="14.25" customHeight="1">
      <c r="A35" s="54" t="s">
        <v>1377</v>
      </c>
      <c r="B35" s="54" t="s">
        <v>1378</v>
      </c>
      <c r="C35" s="55" t="s">
        <v>1383</v>
      </c>
      <c r="D35" s="56">
        <v>2.0</v>
      </c>
      <c r="E35" s="57" t="s">
        <v>263</v>
      </c>
      <c r="F35" s="57" t="s">
        <v>683</v>
      </c>
      <c r="G35" s="58">
        <v>0.012199074074074074</v>
      </c>
    </row>
    <row r="36" ht="14.25" customHeight="1">
      <c r="A36" s="54" t="s">
        <v>1377</v>
      </c>
      <c r="B36" s="54" t="s">
        <v>1378</v>
      </c>
      <c r="C36" s="55" t="s">
        <v>1383</v>
      </c>
      <c r="D36" s="56">
        <v>2.0</v>
      </c>
      <c r="E36" s="57" t="s">
        <v>263</v>
      </c>
      <c r="F36" s="57" t="s">
        <v>261</v>
      </c>
      <c r="G36" s="58">
        <v>0.0038773148148148148</v>
      </c>
    </row>
    <row r="37" ht="14.25" customHeight="1">
      <c r="A37" s="54" t="s">
        <v>1377</v>
      </c>
      <c r="B37" s="54" t="s">
        <v>1378</v>
      </c>
      <c r="C37" s="55" t="s">
        <v>1384</v>
      </c>
      <c r="D37" s="56">
        <v>1.0</v>
      </c>
      <c r="E37" s="57" t="s">
        <v>266</v>
      </c>
      <c r="F37" s="57" t="s">
        <v>264</v>
      </c>
      <c r="G37" s="58">
        <v>0.007245370370370371</v>
      </c>
    </row>
    <row r="38" ht="14.25" customHeight="1">
      <c r="A38" s="54" t="s">
        <v>1377</v>
      </c>
      <c r="B38" s="54" t="s">
        <v>1378</v>
      </c>
      <c r="C38" s="55" t="s">
        <v>1384</v>
      </c>
      <c r="D38" s="56">
        <v>1.0</v>
      </c>
      <c r="E38" s="57" t="s">
        <v>266</v>
      </c>
      <c r="F38" s="57" t="s">
        <v>267</v>
      </c>
      <c r="G38" s="58">
        <v>0.0171875</v>
      </c>
    </row>
    <row r="39" ht="14.25" customHeight="1">
      <c r="A39" s="54" t="s">
        <v>1377</v>
      </c>
      <c r="B39" s="54" t="s">
        <v>1378</v>
      </c>
      <c r="C39" s="55" t="s">
        <v>1384</v>
      </c>
      <c r="D39" s="56">
        <v>1.0</v>
      </c>
      <c r="E39" s="57" t="s">
        <v>266</v>
      </c>
      <c r="F39" s="57" t="s">
        <v>269</v>
      </c>
      <c r="G39" s="58">
        <v>0.01474537037037037</v>
      </c>
    </row>
    <row r="40" ht="14.25" customHeight="1">
      <c r="A40" s="54" t="s">
        <v>1377</v>
      </c>
      <c r="B40" s="54" t="s">
        <v>1378</v>
      </c>
      <c r="C40" s="55" t="s">
        <v>1384</v>
      </c>
      <c r="D40" s="56">
        <v>1.0</v>
      </c>
      <c r="E40" s="57" t="s">
        <v>266</v>
      </c>
      <c r="F40" s="57" t="s">
        <v>271</v>
      </c>
      <c r="G40" s="58">
        <v>0.012060185185185186</v>
      </c>
    </row>
    <row r="41" ht="14.25" customHeight="1">
      <c r="A41" s="54" t="s">
        <v>1377</v>
      </c>
      <c r="B41" s="54" t="s">
        <v>1378</v>
      </c>
      <c r="C41" s="55" t="s">
        <v>1384</v>
      </c>
      <c r="D41" s="56">
        <v>1.0</v>
      </c>
      <c r="E41" s="57" t="s">
        <v>266</v>
      </c>
      <c r="F41" s="57" t="s">
        <v>1385</v>
      </c>
      <c r="G41" s="58">
        <v>0.05555555555555555</v>
      </c>
    </row>
    <row r="42" ht="14.25" customHeight="1">
      <c r="A42" s="54" t="s">
        <v>1377</v>
      </c>
      <c r="B42" s="54" t="s">
        <v>1378</v>
      </c>
      <c r="C42" s="55" t="s">
        <v>1384</v>
      </c>
      <c r="D42" s="56">
        <v>2.0</v>
      </c>
      <c r="E42" s="57" t="s">
        <v>275</v>
      </c>
      <c r="F42" s="57" t="s">
        <v>273</v>
      </c>
      <c r="G42" s="58">
        <v>0.017534722222222222</v>
      </c>
    </row>
    <row r="43" ht="14.25" customHeight="1">
      <c r="A43" s="54" t="s">
        <v>1377</v>
      </c>
      <c r="B43" s="54" t="s">
        <v>1378</v>
      </c>
      <c r="C43" s="55" t="s">
        <v>1384</v>
      </c>
      <c r="D43" s="56">
        <v>2.0</v>
      </c>
      <c r="E43" s="57" t="s">
        <v>275</v>
      </c>
      <c r="F43" s="57" t="s">
        <v>276</v>
      </c>
      <c r="G43" s="58">
        <v>0.01269675925925926</v>
      </c>
    </row>
    <row r="44" ht="14.25" customHeight="1">
      <c r="A44" s="54" t="s">
        <v>1377</v>
      </c>
      <c r="B44" s="54" t="s">
        <v>1378</v>
      </c>
      <c r="C44" s="55" t="s">
        <v>1384</v>
      </c>
      <c r="D44" s="56">
        <v>3.0</v>
      </c>
      <c r="E44" s="57" t="s">
        <v>280</v>
      </c>
      <c r="F44" s="57" t="s">
        <v>278</v>
      </c>
      <c r="G44" s="58">
        <v>0.0171875</v>
      </c>
    </row>
    <row r="45" ht="14.25" customHeight="1">
      <c r="A45" s="54" t="s">
        <v>1377</v>
      </c>
      <c r="B45" s="54" t="s">
        <v>1378</v>
      </c>
      <c r="C45" s="55" t="s">
        <v>1384</v>
      </c>
      <c r="D45" s="56">
        <v>3.0</v>
      </c>
      <c r="E45" s="57" t="s">
        <v>280</v>
      </c>
      <c r="F45" s="57" t="s">
        <v>281</v>
      </c>
      <c r="G45" s="58">
        <v>0.01642361111111111</v>
      </c>
    </row>
    <row r="46" ht="14.25" customHeight="1">
      <c r="A46" s="54" t="s">
        <v>1377</v>
      </c>
      <c r="B46" s="54" t="s">
        <v>1378</v>
      </c>
      <c r="C46" s="55" t="s">
        <v>1384</v>
      </c>
      <c r="D46" s="56">
        <v>3.0</v>
      </c>
      <c r="E46" s="57" t="s">
        <v>280</v>
      </c>
      <c r="F46" s="57" t="s">
        <v>283</v>
      </c>
      <c r="G46" s="58">
        <v>0.01662037037037037</v>
      </c>
    </row>
    <row r="47" ht="14.25" customHeight="1">
      <c r="A47" s="54" t="s">
        <v>1377</v>
      </c>
      <c r="B47" s="54" t="s">
        <v>1378</v>
      </c>
      <c r="C47" s="55" t="s">
        <v>1384</v>
      </c>
      <c r="D47" s="56">
        <v>3.0</v>
      </c>
      <c r="E47" s="57" t="s">
        <v>280</v>
      </c>
      <c r="F47" s="57" t="s">
        <v>686</v>
      </c>
      <c r="G47" s="58">
        <v>0.010266203703703704</v>
      </c>
    </row>
    <row r="48" ht="14.25" customHeight="1">
      <c r="A48" s="54" t="s">
        <v>1377</v>
      </c>
      <c r="B48" s="54" t="s">
        <v>1378</v>
      </c>
      <c r="C48" s="55" t="s">
        <v>1384</v>
      </c>
      <c r="D48" s="56">
        <v>4.0</v>
      </c>
      <c r="E48" s="57" t="s">
        <v>287</v>
      </c>
      <c r="F48" s="57" t="s">
        <v>285</v>
      </c>
      <c r="G48" s="58">
        <v>0.014444444444444444</v>
      </c>
    </row>
    <row r="49" ht="14.25" customHeight="1">
      <c r="A49" s="54" t="s">
        <v>1377</v>
      </c>
      <c r="B49" s="54" t="s">
        <v>1378</v>
      </c>
      <c r="C49" s="55" t="s">
        <v>1384</v>
      </c>
      <c r="D49" s="56">
        <v>4.0</v>
      </c>
      <c r="E49" s="57" t="s">
        <v>287</v>
      </c>
      <c r="F49" s="57" t="s">
        <v>288</v>
      </c>
      <c r="G49" s="58">
        <v>0.0077546296296296295</v>
      </c>
    </row>
    <row r="50" ht="14.25" customHeight="1">
      <c r="A50" s="54" t="s">
        <v>1377</v>
      </c>
      <c r="B50" s="54" t="s">
        <v>1378</v>
      </c>
      <c r="C50" s="55" t="s">
        <v>1384</v>
      </c>
      <c r="D50" s="56">
        <v>4.0</v>
      </c>
      <c r="E50" s="57" t="s">
        <v>287</v>
      </c>
      <c r="F50" s="57" t="s">
        <v>290</v>
      </c>
      <c r="G50" s="58">
        <v>0.012905092592592593</v>
      </c>
    </row>
    <row r="51" ht="14.25" customHeight="1">
      <c r="A51" s="54" t="s">
        <v>1377</v>
      </c>
      <c r="B51" s="54" t="s">
        <v>1378</v>
      </c>
      <c r="C51" s="55" t="s">
        <v>1384</v>
      </c>
      <c r="D51" s="56">
        <v>5.0</v>
      </c>
      <c r="E51" s="57" t="s">
        <v>294</v>
      </c>
      <c r="F51" s="57" t="s">
        <v>292</v>
      </c>
      <c r="G51" s="58">
        <v>0.009976851851851851</v>
      </c>
    </row>
    <row r="52" ht="14.25" customHeight="1">
      <c r="A52" s="54" t="s">
        <v>1377</v>
      </c>
      <c r="B52" s="54" t="s">
        <v>1378</v>
      </c>
      <c r="C52" s="55" t="s">
        <v>1384</v>
      </c>
      <c r="D52" s="56">
        <v>5.0</v>
      </c>
      <c r="E52" s="57" t="s">
        <v>294</v>
      </c>
      <c r="F52" s="57" t="s">
        <v>690</v>
      </c>
      <c r="G52" s="58">
        <v>0.014513888888888889</v>
      </c>
    </row>
    <row r="53" ht="14.25" customHeight="1">
      <c r="A53" s="54" t="s">
        <v>1377</v>
      </c>
      <c r="B53" s="54" t="s">
        <v>1378</v>
      </c>
      <c r="C53" s="55" t="s">
        <v>1384</v>
      </c>
      <c r="D53" s="56">
        <v>5.0</v>
      </c>
      <c r="E53" s="57" t="s">
        <v>294</v>
      </c>
      <c r="F53" s="57" t="s">
        <v>295</v>
      </c>
      <c r="G53" s="58">
        <v>0.05555555555555555</v>
      </c>
    </row>
    <row r="54" ht="14.25" customHeight="1">
      <c r="A54" s="54" t="s">
        <v>1377</v>
      </c>
      <c r="B54" s="54" t="s">
        <v>1378</v>
      </c>
      <c r="C54" s="55" t="s">
        <v>1386</v>
      </c>
      <c r="D54" s="56">
        <v>1.0</v>
      </c>
      <c r="E54" s="57" t="s">
        <v>299</v>
      </c>
      <c r="F54" s="57" t="s">
        <v>296</v>
      </c>
      <c r="G54" s="58">
        <v>0.012893518518518518</v>
      </c>
    </row>
    <row r="55" ht="14.25" customHeight="1">
      <c r="A55" s="54" t="s">
        <v>1377</v>
      </c>
      <c r="B55" s="54" t="s">
        <v>1378</v>
      </c>
      <c r="C55" s="55" t="s">
        <v>1386</v>
      </c>
      <c r="D55" s="56">
        <v>1.0</v>
      </c>
      <c r="E55" s="57" t="s">
        <v>299</v>
      </c>
      <c r="F55" s="57" t="s">
        <v>300</v>
      </c>
      <c r="G55" s="58">
        <v>0.008252314814814815</v>
      </c>
    </row>
    <row r="56" ht="14.25" customHeight="1">
      <c r="A56" s="54" t="s">
        <v>1377</v>
      </c>
      <c r="B56" s="54" t="s">
        <v>1378</v>
      </c>
      <c r="C56" s="55" t="s">
        <v>1386</v>
      </c>
      <c r="D56" s="56">
        <v>2.0</v>
      </c>
      <c r="E56" s="57" t="s">
        <v>304</v>
      </c>
      <c r="F56" s="57" t="s">
        <v>302</v>
      </c>
      <c r="G56" s="58">
        <v>0.005555555555555556</v>
      </c>
    </row>
    <row r="57" ht="14.25" customHeight="1">
      <c r="A57" s="54" t="s">
        <v>1377</v>
      </c>
      <c r="B57" s="54" t="s">
        <v>1378</v>
      </c>
      <c r="C57" s="55" t="s">
        <v>1386</v>
      </c>
      <c r="D57" s="56">
        <v>2.0</v>
      </c>
      <c r="E57" s="57" t="s">
        <v>304</v>
      </c>
      <c r="F57" s="57" t="s">
        <v>693</v>
      </c>
      <c r="G57" s="58">
        <v>0.013229166666666667</v>
      </c>
    </row>
    <row r="58" ht="14.25" customHeight="1">
      <c r="A58" s="54" t="s">
        <v>1377</v>
      </c>
      <c r="B58" s="54" t="s">
        <v>1378</v>
      </c>
      <c r="C58" s="55" t="s">
        <v>1386</v>
      </c>
      <c r="D58" s="56">
        <v>2.0</v>
      </c>
      <c r="E58" s="57" t="s">
        <v>304</v>
      </c>
      <c r="F58" s="57" t="s">
        <v>305</v>
      </c>
      <c r="G58" s="58">
        <v>0.011041666666666667</v>
      </c>
    </row>
    <row r="59" ht="14.25" customHeight="1">
      <c r="A59" s="54" t="s">
        <v>1377</v>
      </c>
      <c r="B59" s="54" t="s">
        <v>1378</v>
      </c>
      <c r="C59" s="55" t="s">
        <v>1386</v>
      </c>
      <c r="D59" s="56">
        <v>2.0</v>
      </c>
      <c r="E59" s="57" t="s">
        <v>304</v>
      </c>
      <c r="F59" s="57" t="s">
        <v>307</v>
      </c>
      <c r="G59" s="58">
        <v>0.02136574074074074</v>
      </c>
    </row>
    <row r="60" ht="14.25" customHeight="1">
      <c r="A60" s="54" t="s">
        <v>1377</v>
      </c>
      <c r="B60" s="54" t="s">
        <v>1378</v>
      </c>
      <c r="C60" s="55" t="s">
        <v>1386</v>
      </c>
      <c r="D60" s="56">
        <v>2.0</v>
      </c>
      <c r="E60" s="57" t="s">
        <v>304</v>
      </c>
      <c r="F60" s="57" t="s">
        <v>309</v>
      </c>
      <c r="G60" s="58">
        <v>0.013414351851851853</v>
      </c>
    </row>
    <row r="61" ht="14.25" customHeight="1">
      <c r="A61" s="54" t="s">
        <v>1377</v>
      </c>
      <c r="B61" s="54" t="s">
        <v>1378</v>
      </c>
      <c r="C61" s="55" t="s">
        <v>1386</v>
      </c>
      <c r="D61" s="56">
        <v>2.0</v>
      </c>
      <c r="E61" s="57" t="s">
        <v>304</v>
      </c>
      <c r="F61" s="57" t="s">
        <v>311</v>
      </c>
      <c r="G61" s="58">
        <v>0.018703703703703705</v>
      </c>
    </row>
    <row r="62" ht="14.25" customHeight="1">
      <c r="A62" s="54" t="s">
        <v>1377</v>
      </c>
      <c r="B62" s="54" t="s">
        <v>1378</v>
      </c>
      <c r="C62" s="55" t="s">
        <v>1386</v>
      </c>
      <c r="D62" s="56">
        <v>2.0</v>
      </c>
      <c r="E62" s="57" t="s">
        <v>304</v>
      </c>
      <c r="F62" s="57" t="s">
        <v>313</v>
      </c>
      <c r="G62" s="58">
        <v>0.05555555555555555</v>
      </c>
    </row>
    <row r="63" ht="14.25" customHeight="1">
      <c r="A63" s="54" t="s">
        <v>1377</v>
      </c>
      <c r="B63" s="54" t="s">
        <v>1378</v>
      </c>
      <c r="C63" s="55" t="s">
        <v>1386</v>
      </c>
      <c r="D63" s="56">
        <v>3.0</v>
      </c>
      <c r="E63" s="57" t="s">
        <v>316</v>
      </c>
      <c r="F63" s="57" t="s">
        <v>314</v>
      </c>
      <c r="G63" s="58">
        <v>0.023078703703703702</v>
      </c>
    </row>
    <row r="64" ht="14.25" customHeight="1">
      <c r="A64" s="54" t="s">
        <v>1377</v>
      </c>
      <c r="B64" s="54" t="s">
        <v>1378</v>
      </c>
      <c r="C64" s="55" t="s">
        <v>1386</v>
      </c>
      <c r="D64" s="56">
        <v>3.0</v>
      </c>
      <c r="E64" s="57" t="s">
        <v>316</v>
      </c>
      <c r="F64" s="57" t="s">
        <v>317</v>
      </c>
      <c r="G64" s="58">
        <v>0.029097222222222222</v>
      </c>
    </row>
    <row r="65" ht="14.25" customHeight="1">
      <c r="A65" s="54" t="s">
        <v>1377</v>
      </c>
      <c r="B65" s="54" t="s">
        <v>1378</v>
      </c>
      <c r="C65" s="55" t="s">
        <v>1386</v>
      </c>
      <c r="D65" s="56">
        <v>4.0</v>
      </c>
      <c r="E65" s="57" t="s">
        <v>321</v>
      </c>
      <c r="F65" s="57" t="s">
        <v>319</v>
      </c>
      <c r="G65" s="58">
        <v>0.012847222222222222</v>
      </c>
    </row>
    <row r="66" ht="14.25" customHeight="1">
      <c r="A66" s="54" t="s">
        <v>1377</v>
      </c>
      <c r="B66" s="54" t="s">
        <v>1378</v>
      </c>
      <c r="C66" s="55" t="s">
        <v>1386</v>
      </c>
      <c r="D66" s="56">
        <v>4.0</v>
      </c>
      <c r="E66" s="57" t="s">
        <v>321</v>
      </c>
      <c r="F66" s="57" t="s">
        <v>322</v>
      </c>
      <c r="G66" s="58">
        <v>0.015439814814814814</v>
      </c>
    </row>
    <row r="67" ht="14.25" customHeight="1">
      <c r="A67" s="54" t="s">
        <v>1377</v>
      </c>
      <c r="B67" s="54" t="s">
        <v>1378</v>
      </c>
      <c r="C67" s="55" t="s">
        <v>1386</v>
      </c>
      <c r="D67" s="56">
        <v>5.0</v>
      </c>
      <c r="E67" s="57" t="s">
        <v>326</v>
      </c>
      <c r="F67" s="57" t="s">
        <v>324</v>
      </c>
      <c r="G67" s="58">
        <v>0.01704861111111111</v>
      </c>
    </row>
    <row r="68" ht="14.25" customHeight="1">
      <c r="A68" s="54" t="s">
        <v>1377</v>
      </c>
      <c r="B68" s="54" t="s">
        <v>1378</v>
      </c>
      <c r="C68" s="55" t="s">
        <v>1387</v>
      </c>
      <c r="D68" s="56">
        <v>1.0</v>
      </c>
      <c r="E68" s="57" t="s">
        <v>329</v>
      </c>
      <c r="F68" s="57" t="s">
        <v>327</v>
      </c>
      <c r="G68" s="58">
        <v>0.015625</v>
      </c>
    </row>
    <row r="69" ht="14.25" customHeight="1">
      <c r="A69" s="54" t="s">
        <v>1377</v>
      </c>
      <c r="B69" s="54" t="s">
        <v>1378</v>
      </c>
      <c r="C69" s="55" t="s">
        <v>1387</v>
      </c>
      <c r="D69" s="56">
        <v>1.0</v>
      </c>
      <c r="E69" s="57" t="s">
        <v>329</v>
      </c>
      <c r="F69" s="57" t="s">
        <v>330</v>
      </c>
      <c r="G69" s="58">
        <v>0.018692129629629628</v>
      </c>
    </row>
    <row r="70" ht="14.25" customHeight="1">
      <c r="A70" s="54" t="s">
        <v>1377</v>
      </c>
      <c r="B70" s="54" t="s">
        <v>1378</v>
      </c>
      <c r="C70" s="55" t="s">
        <v>1387</v>
      </c>
      <c r="D70" s="56">
        <v>1.0</v>
      </c>
      <c r="E70" s="57" t="s">
        <v>329</v>
      </c>
      <c r="F70" s="57" t="s">
        <v>332</v>
      </c>
      <c r="G70" s="58">
        <v>0.016030092592592592</v>
      </c>
    </row>
    <row r="71" ht="14.25" customHeight="1">
      <c r="A71" s="54" t="s">
        <v>1377</v>
      </c>
      <c r="B71" s="54" t="s">
        <v>1378</v>
      </c>
      <c r="C71" s="55" t="s">
        <v>1387</v>
      </c>
      <c r="D71" s="56">
        <v>1.0</v>
      </c>
      <c r="E71" s="57" t="s">
        <v>329</v>
      </c>
      <c r="F71" s="57" t="s">
        <v>334</v>
      </c>
      <c r="G71" s="58">
        <v>0.011458333333333333</v>
      </c>
    </row>
    <row r="72" ht="14.25" customHeight="1">
      <c r="A72" s="54" t="s">
        <v>1377</v>
      </c>
      <c r="B72" s="54" t="s">
        <v>1378</v>
      </c>
      <c r="C72" s="55" t="s">
        <v>1387</v>
      </c>
      <c r="D72" s="56">
        <v>1.0</v>
      </c>
      <c r="E72" s="57" t="s">
        <v>329</v>
      </c>
      <c r="F72" s="57" t="s">
        <v>336</v>
      </c>
      <c r="G72" s="58">
        <v>0.018194444444444444</v>
      </c>
    </row>
    <row r="73" ht="14.25" customHeight="1">
      <c r="A73" s="54" t="s">
        <v>1377</v>
      </c>
      <c r="B73" s="54" t="s">
        <v>1378</v>
      </c>
      <c r="C73" s="55" t="s">
        <v>1387</v>
      </c>
      <c r="D73" s="56">
        <v>1.0</v>
      </c>
      <c r="E73" s="57" t="s">
        <v>329</v>
      </c>
      <c r="F73" s="57" t="s">
        <v>338</v>
      </c>
      <c r="G73" s="58">
        <v>0.014548611111111111</v>
      </c>
    </row>
    <row r="74" ht="14.25" customHeight="1">
      <c r="A74" s="54" t="s">
        <v>1377</v>
      </c>
      <c r="B74" s="54" t="s">
        <v>1378</v>
      </c>
      <c r="C74" s="55" t="s">
        <v>1387</v>
      </c>
      <c r="D74" s="56">
        <v>1.0</v>
      </c>
      <c r="E74" s="57" t="s">
        <v>329</v>
      </c>
      <c r="F74" s="57" t="s">
        <v>340</v>
      </c>
      <c r="G74" s="58">
        <v>0.019363425925925926</v>
      </c>
    </row>
    <row r="75" ht="14.25" customHeight="1">
      <c r="A75" s="54" t="s">
        <v>1377</v>
      </c>
      <c r="B75" s="54" t="s">
        <v>1378</v>
      </c>
      <c r="C75" s="55" t="s">
        <v>1387</v>
      </c>
      <c r="D75" s="56">
        <v>1.0</v>
      </c>
      <c r="E75" s="57" t="s">
        <v>329</v>
      </c>
      <c r="F75" s="57" t="s">
        <v>342</v>
      </c>
      <c r="G75" s="58">
        <v>0.015902777777777776</v>
      </c>
    </row>
    <row r="76" ht="14.25" customHeight="1">
      <c r="A76" s="54" t="s">
        <v>1377</v>
      </c>
      <c r="B76" s="54" t="s">
        <v>1378</v>
      </c>
      <c r="C76" s="55" t="s">
        <v>1387</v>
      </c>
      <c r="D76" s="56">
        <v>1.0</v>
      </c>
      <c r="E76" s="57" t="s">
        <v>329</v>
      </c>
      <c r="F76" s="57" t="s">
        <v>695</v>
      </c>
      <c r="G76" s="58">
        <v>0.013738425925925926</v>
      </c>
    </row>
    <row r="77" ht="14.25" customHeight="1">
      <c r="A77" s="54" t="s">
        <v>1377</v>
      </c>
      <c r="B77" s="54" t="s">
        <v>1378</v>
      </c>
      <c r="C77" s="55" t="s">
        <v>1387</v>
      </c>
      <c r="D77" s="56">
        <v>1.0</v>
      </c>
      <c r="E77" s="57" t="s">
        <v>329</v>
      </c>
      <c r="F77" s="57" t="s">
        <v>697</v>
      </c>
      <c r="G77" s="58">
        <v>0.08333333333333333</v>
      </c>
    </row>
    <row r="78" ht="14.25" customHeight="1">
      <c r="A78" s="54" t="s">
        <v>1377</v>
      </c>
      <c r="B78" s="54" t="s">
        <v>1378</v>
      </c>
      <c r="C78" s="55" t="s">
        <v>1387</v>
      </c>
      <c r="D78" s="56">
        <v>2.0</v>
      </c>
      <c r="E78" s="57" t="s">
        <v>346</v>
      </c>
      <c r="F78" s="57" t="s">
        <v>698</v>
      </c>
      <c r="G78" s="58">
        <v>0.015543981481481482</v>
      </c>
    </row>
    <row r="79" ht="14.25" customHeight="1">
      <c r="A79" s="54" t="s">
        <v>1377</v>
      </c>
      <c r="B79" s="54" t="s">
        <v>1378</v>
      </c>
      <c r="C79" s="55" t="s">
        <v>1387</v>
      </c>
      <c r="D79" s="56">
        <v>2.0</v>
      </c>
      <c r="E79" s="57" t="s">
        <v>346</v>
      </c>
      <c r="F79" s="57" t="s">
        <v>700</v>
      </c>
      <c r="G79" s="58">
        <v>0.014664351851851852</v>
      </c>
    </row>
    <row r="80" ht="14.25" customHeight="1">
      <c r="A80" s="54" t="s">
        <v>1377</v>
      </c>
      <c r="B80" s="54" t="s">
        <v>1378</v>
      </c>
      <c r="C80" s="55" t="s">
        <v>1387</v>
      </c>
      <c r="D80" s="56">
        <v>2.0</v>
      </c>
      <c r="E80" s="57" t="s">
        <v>346</v>
      </c>
      <c r="F80" s="57" t="s">
        <v>344</v>
      </c>
      <c r="G80" s="58">
        <v>0.013738425925925926</v>
      </c>
    </row>
    <row r="81" ht="14.25" customHeight="1">
      <c r="A81" s="54" t="s">
        <v>1377</v>
      </c>
      <c r="B81" s="54" t="s">
        <v>1378</v>
      </c>
      <c r="C81" s="55" t="s">
        <v>1387</v>
      </c>
      <c r="D81" s="56">
        <v>2.0</v>
      </c>
      <c r="E81" s="57" t="s">
        <v>346</v>
      </c>
      <c r="F81" s="57" t="s">
        <v>702</v>
      </c>
      <c r="G81" s="58">
        <v>0.013958333333333333</v>
      </c>
    </row>
    <row r="82" ht="14.25" customHeight="1">
      <c r="A82" s="54" t="s">
        <v>1377</v>
      </c>
      <c r="B82" s="54" t="s">
        <v>1378</v>
      </c>
      <c r="C82" s="55" t="s">
        <v>1387</v>
      </c>
      <c r="D82" s="56">
        <v>2.0</v>
      </c>
      <c r="E82" s="57" t="s">
        <v>346</v>
      </c>
      <c r="F82" s="57" t="s">
        <v>347</v>
      </c>
      <c r="G82" s="58">
        <v>0.010428240740740741</v>
      </c>
    </row>
    <row r="83" ht="14.25" customHeight="1">
      <c r="A83" s="54" t="s">
        <v>1377</v>
      </c>
      <c r="B83" s="54" t="s">
        <v>1378</v>
      </c>
      <c r="C83" s="55" t="s">
        <v>1387</v>
      </c>
      <c r="D83" s="56">
        <v>2.0</v>
      </c>
      <c r="E83" s="57" t="s">
        <v>346</v>
      </c>
      <c r="F83" s="57" t="s">
        <v>349</v>
      </c>
      <c r="G83" s="58">
        <v>0.020613425925925927</v>
      </c>
    </row>
    <row r="84" ht="14.25" customHeight="1">
      <c r="A84" s="54" t="s">
        <v>1377</v>
      </c>
      <c r="B84" s="54" t="s">
        <v>1378</v>
      </c>
      <c r="C84" s="55" t="s">
        <v>1387</v>
      </c>
      <c r="D84" s="56">
        <v>2.0</v>
      </c>
      <c r="E84" s="57" t="s">
        <v>346</v>
      </c>
      <c r="F84" s="57" t="s">
        <v>351</v>
      </c>
      <c r="G84" s="58">
        <v>0.0203125</v>
      </c>
    </row>
    <row r="85" ht="14.25" customHeight="1">
      <c r="A85" s="54" t="s">
        <v>1377</v>
      </c>
      <c r="B85" s="54" t="s">
        <v>1378</v>
      </c>
      <c r="C85" s="55" t="s">
        <v>1387</v>
      </c>
      <c r="D85" s="56">
        <v>2.0</v>
      </c>
      <c r="E85" s="57" t="s">
        <v>346</v>
      </c>
      <c r="F85" s="57" t="s">
        <v>1388</v>
      </c>
      <c r="G85" s="58">
        <v>0.0625</v>
      </c>
    </row>
    <row r="86" ht="14.25" customHeight="1">
      <c r="A86" s="54" t="s">
        <v>1377</v>
      </c>
      <c r="B86" s="54" t="s">
        <v>1378</v>
      </c>
      <c r="C86" s="55" t="s">
        <v>1387</v>
      </c>
      <c r="D86" s="56">
        <v>2.0</v>
      </c>
      <c r="E86" s="57" t="s">
        <v>346</v>
      </c>
      <c r="F86" s="57" t="s">
        <v>353</v>
      </c>
      <c r="G86" s="58">
        <v>0.0625</v>
      </c>
    </row>
    <row r="87" ht="14.25" customHeight="1">
      <c r="A87" s="54" t="s">
        <v>1377</v>
      </c>
      <c r="B87" s="54" t="s">
        <v>1378</v>
      </c>
      <c r="C87" s="55" t="s">
        <v>1387</v>
      </c>
      <c r="D87" s="56">
        <v>3.0</v>
      </c>
      <c r="E87" s="57" t="s">
        <v>356</v>
      </c>
      <c r="F87" s="57" t="s">
        <v>354</v>
      </c>
      <c r="G87" s="58">
        <v>0.015856481481481482</v>
      </c>
    </row>
    <row r="88" ht="14.25" customHeight="1">
      <c r="A88" s="54" t="s">
        <v>1377</v>
      </c>
      <c r="B88" s="54" t="s">
        <v>1378</v>
      </c>
      <c r="C88" s="55" t="s">
        <v>1387</v>
      </c>
      <c r="D88" s="56">
        <v>3.0</v>
      </c>
      <c r="E88" s="57" t="s">
        <v>356</v>
      </c>
      <c r="F88" s="57" t="s">
        <v>357</v>
      </c>
      <c r="G88" s="58">
        <v>0.009965277777777778</v>
      </c>
    </row>
    <row r="89" ht="14.25" customHeight="1">
      <c r="A89" s="54" t="s">
        <v>1377</v>
      </c>
      <c r="B89" s="54" t="s">
        <v>1378</v>
      </c>
      <c r="C89" s="55" t="s">
        <v>1387</v>
      </c>
      <c r="D89" s="56">
        <v>3.0</v>
      </c>
      <c r="E89" s="57" t="s">
        <v>356</v>
      </c>
      <c r="F89" s="57" t="s">
        <v>359</v>
      </c>
      <c r="G89" s="58">
        <v>0.01982638888888889</v>
      </c>
    </row>
    <row r="90" ht="14.25" customHeight="1">
      <c r="A90" s="54" t="s">
        <v>1377</v>
      </c>
      <c r="B90" s="54" t="s">
        <v>1378</v>
      </c>
      <c r="C90" s="55" t="s">
        <v>1387</v>
      </c>
      <c r="D90" s="56">
        <v>3.0</v>
      </c>
      <c r="E90" s="57" t="s">
        <v>356</v>
      </c>
      <c r="F90" s="57" t="s">
        <v>361</v>
      </c>
      <c r="G90" s="58">
        <v>0.017418981481481483</v>
      </c>
    </row>
    <row r="91" ht="14.25" customHeight="1">
      <c r="A91" s="54" t="s">
        <v>1377</v>
      </c>
      <c r="B91" s="54" t="s">
        <v>1378</v>
      </c>
      <c r="C91" s="55" t="s">
        <v>1387</v>
      </c>
      <c r="D91" s="56">
        <v>3.0</v>
      </c>
      <c r="E91" s="57" t="s">
        <v>356</v>
      </c>
      <c r="F91" s="57" t="s">
        <v>363</v>
      </c>
      <c r="G91" s="58">
        <v>0.05555555555555555</v>
      </c>
    </row>
    <row r="92" ht="14.25" customHeight="1">
      <c r="A92" s="54" t="s">
        <v>1377</v>
      </c>
      <c r="B92" s="54" t="s">
        <v>1378</v>
      </c>
      <c r="C92" s="55" t="s">
        <v>1387</v>
      </c>
      <c r="D92" s="56">
        <v>4.0</v>
      </c>
      <c r="E92" s="57" t="s">
        <v>366</v>
      </c>
      <c r="F92" s="57" t="s">
        <v>364</v>
      </c>
      <c r="G92" s="58">
        <v>0.015729166666666666</v>
      </c>
    </row>
    <row r="93" ht="14.25" customHeight="1">
      <c r="A93" s="54" t="s">
        <v>1377</v>
      </c>
      <c r="B93" s="54" t="s">
        <v>1378</v>
      </c>
      <c r="C93" s="55" t="s">
        <v>1387</v>
      </c>
      <c r="D93" s="56">
        <v>4.0</v>
      </c>
      <c r="E93" s="57" t="s">
        <v>366</v>
      </c>
      <c r="F93" s="57" t="s">
        <v>367</v>
      </c>
      <c r="G93" s="58">
        <v>0.016238425925925927</v>
      </c>
    </row>
    <row r="94" ht="14.25" customHeight="1">
      <c r="A94" s="54" t="s">
        <v>1377</v>
      </c>
      <c r="B94" s="54" t="s">
        <v>1378</v>
      </c>
      <c r="C94" s="55" t="s">
        <v>1387</v>
      </c>
      <c r="D94" s="56">
        <v>5.0</v>
      </c>
      <c r="E94" s="57" t="s">
        <v>371</v>
      </c>
      <c r="F94" s="57" t="s">
        <v>449</v>
      </c>
      <c r="G94" s="58">
        <v>0.0096875</v>
      </c>
    </row>
    <row r="95" ht="14.25" customHeight="1">
      <c r="A95" s="54" t="s">
        <v>1377</v>
      </c>
      <c r="B95" s="54" t="s">
        <v>1378</v>
      </c>
      <c r="C95" s="55" t="s">
        <v>1387</v>
      </c>
      <c r="D95" s="56">
        <v>5.0</v>
      </c>
      <c r="E95" s="57" t="s">
        <v>371</v>
      </c>
      <c r="F95" s="57" t="s">
        <v>369</v>
      </c>
      <c r="G95" s="58">
        <v>0.010891203703703703</v>
      </c>
    </row>
    <row r="96" ht="14.25" customHeight="1">
      <c r="A96" s="54" t="s">
        <v>1377</v>
      </c>
      <c r="B96" s="54" t="s">
        <v>1378</v>
      </c>
      <c r="C96" s="55" t="s">
        <v>1387</v>
      </c>
      <c r="D96" s="56">
        <v>5.0</v>
      </c>
      <c r="E96" s="57" t="s">
        <v>371</v>
      </c>
      <c r="F96" s="57" t="s">
        <v>372</v>
      </c>
      <c r="G96" s="58">
        <v>0.05555555555555555</v>
      </c>
    </row>
    <row r="97" ht="14.25" customHeight="1">
      <c r="A97" s="54" t="s">
        <v>1377</v>
      </c>
      <c r="B97" s="54" t="s">
        <v>1389</v>
      </c>
      <c r="C97" s="55" t="s">
        <v>1390</v>
      </c>
      <c r="D97" s="56">
        <v>1.0</v>
      </c>
      <c r="E97" s="57" t="s">
        <v>375</v>
      </c>
      <c r="F97" s="57" t="s">
        <v>373</v>
      </c>
      <c r="G97" s="58">
        <v>0.014004629629629629</v>
      </c>
    </row>
    <row r="98" ht="14.25" customHeight="1">
      <c r="A98" s="54" t="s">
        <v>1377</v>
      </c>
      <c r="B98" s="54" t="s">
        <v>1389</v>
      </c>
      <c r="C98" s="55" t="s">
        <v>1390</v>
      </c>
      <c r="D98" s="56">
        <v>1.0</v>
      </c>
      <c r="E98" s="57" t="s">
        <v>375</v>
      </c>
      <c r="F98" s="57" t="s">
        <v>710</v>
      </c>
      <c r="G98" s="58">
        <v>0.00400462962962963</v>
      </c>
    </row>
    <row r="99" ht="14.25" customHeight="1">
      <c r="A99" s="54" t="s">
        <v>1377</v>
      </c>
      <c r="B99" s="54" t="s">
        <v>1389</v>
      </c>
      <c r="C99" s="55" t="s">
        <v>1390</v>
      </c>
      <c r="D99" s="56">
        <v>1.0</v>
      </c>
      <c r="E99" s="57" t="s">
        <v>375</v>
      </c>
      <c r="F99" s="57" t="s">
        <v>194</v>
      </c>
      <c r="G99" s="58">
        <v>0.014548611111111111</v>
      </c>
    </row>
    <row r="100" ht="14.25" customHeight="1">
      <c r="A100" s="54" t="s">
        <v>1377</v>
      </c>
      <c r="B100" s="54" t="s">
        <v>1389</v>
      </c>
      <c r="C100" s="55" t="s">
        <v>1390</v>
      </c>
      <c r="D100" s="56">
        <v>1.0</v>
      </c>
      <c r="E100" s="57" t="s">
        <v>375</v>
      </c>
      <c r="F100" s="57" t="s">
        <v>376</v>
      </c>
      <c r="G100" s="58">
        <v>0.008310185185185184</v>
      </c>
    </row>
    <row r="101" ht="14.25" customHeight="1">
      <c r="A101" s="54" t="s">
        <v>1377</v>
      </c>
      <c r="B101" s="54" t="s">
        <v>1389</v>
      </c>
      <c r="C101" s="55" t="s">
        <v>1390</v>
      </c>
      <c r="D101" s="56">
        <v>2.0</v>
      </c>
      <c r="E101" s="57" t="s">
        <v>380</v>
      </c>
      <c r="F101" s="57" t="s">
        <v>378</v>
      </c>
      <c r="G101" s="58">
        <v>0.00829861111111111</v>
      </c>
    </row>
    <row r="102" ht="14.25" customHeight="1">
      <c r="A102" s="54" t="s">
        <v>1377</v>
      </c>
      <c r="B102" s="54" t="s">
        <v>1389</v>
      </c>
      <c r="C102" s="55" t="s">
        <v>1390</v>
      </c>
      <c r="D102" s="56">
        <v>2.0</v>
      </c>
      <c r="E102" s="57" t="s">
        <v>380</v>
      </c>
      <c r="F102" s="57" t="s">
        <v>381</v>
      </c>
      <c r="G102" s="58">
        <v>0.01849537037037037</v>
      </c>
    </row>
    <row r="103" ht="14.25" customHeight="1">
      <c r="A103" s="54" t="s">
        <v>1377</v>
      </c>
      <c r="B103" s="54" t="s">
        <v>1389</v>
      </c>
      <c r="C103" s="55" t="s">
        <v>1390</v>
      </c>
      <c r="D103" s="56">
        <v>2.0</v>
      </c>
      <c r="E103" s="57" t="s">
        <v>380</v>
      </c>
      <c r="F103" s="57" t="s">
        <v>713</v>
      </c>
      <c r="G103" s="58">
        <v>0.0025</v>
      </c>
    </row>
    <row r="104" ht="14.25" customHeight="1">
      <c r="A104" s="54" t="s">
        <v>1377</v>
      </c>
      <c r="B104" s="54" t="s">
        <v>1389</v>
      </c>
      <c r="C104" s="55" t="s">
        <v>1390</v>
      </c>
      <c r="D104" s="56">
        <v>2.0</v>
      </c>
      <c r="E104" s="57" t="s">
        <v>380</v>
      </c>
      <c r="F104" s="57" t="s">
        <v>715</v>
      </c>
      <c r="G104" s="58">
        <v>0.016516203703703703</v>
      </c>
    </row>
    <row r="105" ht="14.25" customHeight="1">
      <c r="A105" s="54" t="s">
        <v>1377</v>
      </c>
      <c r="B105" s="54" t="s">
        <v>1389</v>
      </c>
      <c r="C105" s="55" t="s">
        <v>1390</v>
      </c>
      <c r="D105" s="56">
        <v>2.0</v>
      </c>
      <c r="E105" s="57" t="s">
        <v>380</v>
      </c>
      <c r="F105" s="57" t="s">
        <v>383</v>
      </c>
      <c r="G105" s="58">
        <v>0.012534722222222221</v>
      </c>
    </row>
    <row r="106" ht="14.25" customHeight="1">
      <c r="A106" s="54" t="s">
        <v>1377</v>
      </c>
      <c r="B106" s="54" t="s">
        <v>1389</v>
      </c>
      <c r="C106" s="55" t="s">
        <v>1390</v>
      </c>
      <c r="D106" s="56">
        <v>2.0</v>
      </c>
      <c r="E106" s="57" t="s">
        <v>380</v>
      </c>
      <c r="F106" s="57" t="s">
        <v>385</v>
      </c>
      <c r="G106" s="58">
        <v>0.01638888888888889</v>
      </c>
    </row>
    <row r="107" ht="14.25" customHeight="1">
      <c r="A107" s="54" t="s">
        <v>1377</v>
      </c>
      <c r="B107" s="54" t="s">
        <v>1389</v>
      </c>
      <c r="C107" s="55" t="s">
        <v>1390</v>
      </c>
      <c r="D107" s="56">
        <v>2.0</v>
      </c>
      <c r="E107" s="57" t="s">
        <v>380</v>
      </c>
      <c r="F107" s="57" t="s">
        <v>387</v>
      </c>
      <c r="G107" s="58">
        <v>0.0018171296296296297</v>
      </c>
    </row>
    <row r="108" ht="14.25" customHeight="1">
      <c r="A108" s="54" t="s">
        <v>1377</v>
      </c>
      <c r="B108" s="54" t="s">
        <v>1389</v>
      </c>
      <c r="C108" s="55" t="s">
        <v>1390</v>
      </c>
      <c r="D108" s="56">
        <v>2.0</v>
      </c>
      <c r="E108" s="57" t="s">
        <v>380</v>
      </c>
      <c r="F108" s="57" t="s">
        <v>389</v>
      </c>
      <c r="G108" s="58">
        <v>0.0011689814814814816</v>
      </c>
    </row>
    <row r="109" ht="14.25" customHeight="1">
      <c r="A109" s="54" t="s">
        <v>1377</v>
      </c>
      <c r="B109" s="54" t="s">
        <v>1389</v>
      </c>
      <c r="C109" s="55" t="s">
        <v>1390</v>
      </c>
      <c r="D109" s="56">
        <v>2.0</v>
      </c>
      <c r="E109" s="57" t="s">
        <v>380</v>
      </c>
      <c r="F109" s="57" t="s">
        <v>391</v>
      </c>
      <c r="G109" s="58">
        <v>6.365740740740741E-4</v>
      </c>
    </row>
    <row r="110" ht="14.25" customHeight="1">
      <c r="A110" s="54" t="s">
        <v>1377</v>
      </c>
      <c r="B110" s="54" t="s">
        <v>1389</v>
      </c>
      <c r="C110" s="55" t="s">
        <v>1390</v>
      </c>
      <c r="D110" s="56">
        <v>2.0</v>
      </c>
      <c r="E110" s="57" t="s">
        <v>380</v>
      </c>
      <c r="F110" s="57" t="s">
        <v>393</v>
      </c>
      <c r="G110" s="58">
        <v>0.05555555555555555</v>
      </c>
    </row>
    <row r="111" ht="14.25" customHeight="1">
      <c r="A111" s="54" t="s">
        <v>1377</v>
      </c>
      <c r="B111" s="54" t="s">
        <v>1389</v>
      </c>
      <c r="C111" s="55" t="s">
        <v>1391</v>
      </c>
      <c r="D111" s="56">
        <v>1.0</v>
      </c>
      <c r="E111" s="57" t="s">
        <v>396</v>
      </c>
      <c r="F111" s="57" t="s">
        <v>394</v>
      </c>
      <c r="G111" s="58">
        <v>0.009965277777777778</v>
      </c>
    </row>
    <row r="112" ht="14.25" customHeight="1">
      <c r="A112" s="54" t="s">
        <v>1377</v>
      </c>
      <c r="B112" s="54" t="s">
        <v>1389</v>
      </c>
      <c r="C112" s="55" t="s">
        <v>1391</v>
      </c>
      <c r="D112" s="56">
        <v>1.0</v>
      </c>
      <c r="E112" s="57" t="s">
        <v>396</v>
      </c>
      <c r="F112" s="57" t="s">
        <v>1392</v>
      </c>
      <c r="G112" s="58">
        <v>0.006655092592592593</v>
      </c>
    </row>
    <row r="113" ht="14.25" customHeight="1">
      <c r="A113" s="54" t="s">
        <v>1377</v>
      </c>
      <c r="B113" s="54" t="s">
        <v>1389</v>
      </c>
      <c r="C113" s="55" t="s">
        <v>1391</v>
      </c>
      <c r="D113" s="56">
        <v>2.0</v>
      </c>
      <c r="E113" s="57" t="s">
        <v>399</v>
      </c>
      <c r="F113" s="57" t="s">
        <v>397</v>
      </c>
      <c r="G113" s="58">
        <v>0.002685185185185185</v>
      </c>
    </row>
    <row r="114" ht="14.25" customHeight="1">
      <c r="A114" s="54" t="s">
        <v>1377</v>
      </c>
      <c r="B114" s="54" t="s">
        <v>1389</v>
      </c>
      <c r="C114" s="55" t="s">
        <v>1391</v>
      </c>
      <c r="D114" s="56">
        <v>2.0</v>
      </c>
      <c r="E114" s="57" t="s">
        <v>399</v>
      </c>
      <c r="F114" s="57" t="s">
        <v>400</v>
      </c>
      <c r="G114" s="58">
        <v>0.0030671296296296297</v>
      </c>
    </row>
    <row r="115" ht="14.25" customHeight="1">
      <c r="A115" s="54" t="s">
        <v>1377</v>
      </c>
      <c r="B115" s="54" t="s">
        <v>1389</v>
      </c>
      <c r="C115" s="55" t="s">
        <v>1391</v>
      </c>
      <c r="D115" s="56">
        <v>2.0</v>
      </c>
      <c r="E115" s="57" t="s">
        <v>399</v>
      </c>
      <c r="F115" s="57" t="s">
        <v>402</v>
      </c>
      <c r="G115" s="58">
        <v>0.003969907407407407</v>
      </c>
    </row>
    <row r="116" ht="14.25" customHeight="1">
      <c r="A116" s="54" t="s">
        <v>1377</v>
      </c>
      <c r="B116" s="54" t="s">
        <v>1389</v>
      </c>
      <c r="C116" s="55" t="s">
        <v>1391</v>
      </c>
      <c r="D116" s="56">
        <v>2.0</v>
      </c>
      <c r="E116" s="57" t="s">
        <v>399</v>
      </c>
      <c r="F116" s="57" t="s">
        <v>404</v>
      </c>
      <c r="G116" s="58">
        <v>0.009375</v>
      </c>
    </row>
    <row r="117" ht="14.25" customHeight="1">
      <c r="A117" s="54" t="s">
        <v>1377</v>
      </c>
      <c r="B117" s="54" t="s">
        <v>1389</v>
      </c>
      <c r="C117" s="55" t="s">
        <v>1391</v>
      </c>
      <c r="D117" s="56">
        <v>2.0</v>
      </c>
      <c r="E117" s="57" t="s">
        <v>399</v>
      </c>
      <c r="F117" s="57" t="s">
        <v>406</v>
      </c>
      <c r="G117" s="58">
        <v>0.014027777777777778</v>
      </c>
    </row>
    <row r="118" ht="14.25" customHeight="1">
      <c r="A118" s="54" t="s">
        <v>1377</v>
      </c>
      <c r="B118" s="54" t="s">
        <v>1389</v>
      </c>
      <c r="C118" s="55" t="s">
        <v>1391</v>
      </c>
      <c r="D118" s="56">
        <v>2.0</v>
      </c>
      <c r="E118" s="57" t="s">
        <v>399</v>
      </c>
      <c r="F118" s="57" t="s">
        <v>1393</v>
      </c>
      <c r="G118" s="58">
        <v>0.005752314814814815</v>
      </c>
    </row>
    <row r="119" ht="14.25" customHeight="1">
      <c r="A119" s="54" t="s">
        <v>1377</v>
      </c>
      <c r="B119" s="54" t="s">
        <v>1389</v>
      </c>
      <c r="C119" s="55" t="s">
        <v>1391</v>
      </c>
      <c r="D119" s="56">
        <v>2.0</v>
      </c>
      <c r="E119" s="57" t="s">
        <v>399</v>
      </c>
      <c r="F119" s="57" t="s">
        <v>408</v>
      </c>
      <c r="G119" s="58">
        <v>0.0036226851851851854</v>
      </c>
    </row>
    <row r="120" ht="14.25" customHeight="1">
      <c r="A120" s="54" t="s">
        <v>1377</v>
      </c>
      <c r="B120" s="54" t="s">
        <v>1389</v>
      </c>
      <c r="C120" s="55" t="s">
        <v>1391</v>
      </c>
      <c r="D120" s="56">
        <v>2.0</v>
      </c>
      <c r="E120" s="57" t="s">
        <v>399</v>
      </c>
      <c r="F120" s="57" t="s">
        <v>410</v>
      </c>
      <c r="G120" s="58">
        <v>0.05555555555555555</v>
      </c>
    </row>
    <row r="121" ht="14.25" customHeight="1">
      <c r="A121" s="54" t="s">
        <v>1377</v>
      </c>
      <c r="B121" s="54" t="s">
        <v>1389</v>
      </c>
      <c r="C121" s="55" t="s">
        <v>1391</v>
      </c>
      <c r="D121" s="56">
        <v>2.0</v>
      </c>
      <c r="E121" s="57" t="s">
        <v>399</v>
      </c>
      <c r="F121" s="57" t="s">
        <v>411</v>
      </c>
      <c r="G121" s="58">
        <v>0.01025462962962963</v>
      </c>
    </row>
    <row r="122" ht="14.25" customHeight="1">
      <c r="A122" s="54" t="s">
        <v>1377</v>
      </c>
      <c r="B122" s="54" t="s">
        <v>1389</v>
      </c>
      <c r="C122" s="55" t="s">
        <v>1391</v>
      </c>
      <c r="D122" s="56">
        <v>2.0</v>
      </c>
      <c r="E122" s="57" t="s">
        <v>399</v>
      </c>
      <c r="F122" s="57" t="s">
        <v>718</v>
      </c>
      <c r="G122" s="58">
        <v>0.0021296296296296298</v>
      </c>
    </row>
    <row r="123" ht="14.25" customHeight="1">
      <c r="A123" s="54" t="s">
        <v>1377</v>
      </c>
      <c r="B123" s="54" t="s">
        <v>1389</v>
      </c>
      <c r="C123" s="55" t="s">
        <v>1391</v>
      </c>
      <c r="D123" s="56">
        <v>2.0</v>
      </c>
      <c r="E123" s="57" t="s">
        <v>399</v>
      </c>
      <c r="F123" s="57" t="s">
        <v>413</v>
      </c>
      <c r="G123" s="58">
        <v>0.004189814814814815</v>
      </c>
    </row>
    <row r="124" ht="14.25" customHeight="1">
      <c r="A124" s="54" t="s">
        <v>1377</v>
      </c>
      <c r="B124" s="54" t="s">
        <v>1389</v>
      </c>
      <c r="C124" s="55" t="s">
        <v>1391</v>
      </c>
      <c r="D124" s="56">
        <v>2.0</v>
      </c>
      <c r="E124" s="57" t="s">
        <v>399</v>
      </c>
      <c r="F124" s="57" t="s">
        <v>415</v>
      </c>
      <c r="G124" s="58">
        <v>0.05555555555555555</v>
      </c>
    </row>
    <row r="125" ht="14.25" customHeight="1">
      <c r="A125" s="54" t="s">
        <v>1377</v>
      </c>
      <c r="B125" s="54" t="s">
        <v>1389</v>
      </c>
      <c r="C125" s="55" t="s">
        <v>1391</v>
      </c>
      <c r="D125" s="56">
        <v>2.0</v>
      </c>
      <c r="E125" s="57" t="s">
        <v>399</v>
      </c>
      <c r="F125" s="57" t="s">
        <v>416</v>
      </c>
      <c r="G125" s="58">
        <v>0.05555555555555555</v>
      </c>
    </row>
    <row r="126" ht="14.25" customHeight="1">
      <c r="A126" s="54" t="s">
        <v>1377</v>
      </c>
      <c r="B126" s="54" t="s">
        <v>1389</v>
      </c>
      <c r="C126" s="55" t="s">
        <v>1391</v>
      </c>
      <c r="D126" s="56">
        <v>2.0</v>
      </c>
      <c r="E126" s="57" t="s">
        <v>399</v>
      </c>
      <c r="F126" s="57" t="s">
        <v>417</v>
      </c>
      <c r="G126" s="58">
        <v>0.020694444444444446</v>
      </c>
    </row>
    <row r="127" ht="14.25" customHeight="1">
      <c r="A127" s="54" t="s">
        <v>1377</v>
      </c>
      <c r="B127" s="54" t="s">
        <v>1389</v>
      </c>
      <c r="C127" s="55" t="s">
        <v>1391</v>
      </c>
      <c r="D127" s="56">
        <v>2.0</v>
      </c>
      <c r="E127" s="57" t="s">
        <v>399</v>
      </c>
      <c r="F127" s="57" t="s">
        <v>1394</v>
      </c>
      <c r="G127" s="58">
        <v>0.05555555555555555</v>
      </c>
    </row>
    <row r="128" ht="14.25" customHeight="1">
      <c r="A128" s="54" t="s">
        <v>1377</v>
      </c>
      <c r="B128" s="54" t="s">
        <v>1389</v>
      </c>
      <c r="C128" s="55" t="s">
        <v>1391</v>
      </c>
      <c r="D128" s="56">
        <v>2.0</v>
      </c>
      <c r="E128" s="57" t="s">
        <v>399</v>
      </c>
      <c r="F128" s="57" t="s">
        <v>419</v>
      </c>
      <c r="G128" s="58">
        <v>0.010289351851851852</v>
      </c>
    </row>
    <row r="129" ht="14.25" customHeight="1">
      <c r="A129" s="54" t="s">
        <v>1377</v>
      </c>
      <c r="B129" s="54" t="s">
        <v>1389</v>
      </c>
      <c r="C129" s="55" t="s">
        <v>1391</v>
      </c>
      <c r="D129" s="56">
        <v>3.0</v>
      </c>
      <c r="E129" s="57" t="s">
        <v>423</v>
      </c>
      <c r="F129" s="57" t="s">
        <v>421</v>
      </c>
      <c r="G129" s="58">
        <v>0.017418981481481483</v>
      </c>
    </row>
    <row r="130" ht="14.25" customHeight="1">
      <c r="A130" s="54" t="s">
        <v>1377</v>
      </c>
      <c r="B130" s="54" t="s">
        <v>1389</v>
      </c>
      <c r="C130" s="55" t="s">
        <v>1391</v>
      </c>
      <c r="D130" s="56">
        <v>3.0</v>
      </c>
      <c r="E130" s="57" t="s">
        <v>423</v>
      </c>
      <c r="F130" s="57" t="s">
        <v>424</v>
      </c>
      <c r="G130" s="58">
        <v>0.01659722222222222</v>
      </c>
    </row>
    <row r="131" ht="14.25" customHeight="1">
      <c r="A131" s="54" t="s">
        <v>1377</v>
      </c>
      <c r="B131" s="54" t="s">
        <v>1389</v>
      </c>
      <c r="C131" s="55" t="s">
        <v>1391</v>
      </c>
      <c r="D131" s="56">
        <v>3.0</v>
      </c>
      <c r="E131" s="57" t="s">
        <v>423</v>
      </c>
      <c r="F131" s="57" t="s">
        <v>426</v>
      </c>
      <c r="G131" s="58">
        <v>0.006307870370370371</v>
      </c>
    </row>
    <row r="132" ht="14.25" customHeight="1">
      <c r="A132" s="54" t="s">
        <v>1377</v>
      </c>
      <c r="B132" s="54" t="s">
        <v>1389</v>
      </c>
      <c r="C132" s="55" t="s">
        <v>1391</v>
      </c>
      <c r="D132" s="56">
        <v>3.0</v>
      </c>
      <c r="E132" s="57" t="s">
        <v>423</v>
      </c>
      <c r="F132" s="57" t="s">
        <v>719</v>
      </c>
      <c r="G132" s="58">
        <v>0.008715277777777778</v>
      </c>
    </row>
    <row r="133" ht="14.25" customHeight="1">
      <c r="A133" s="54" t="s">
        <v>1377</v>
      </c>
      <c r="B133" s="54" t="s">
        <v>1389</v>
      </c>
      <c r="C133" s="55" t="s">
        <v>1395</v>
      </c>
      <c r="D133" s="56">
        <v>1.0</v>
      </c>
      <c r="E133" s="57" t="s">
        <v>430</v>
      </c>
      <c r="F133" s="57" t="s">
        <v>428</v>
      </c>
      <c r="G133" s="58">
        <v>0.014826388888888889</v>
      </c>
    </row>
    <row r="134" ht="14.25" customHeight="1">
      <c r="A134" s="54" t="s">
        <v>1377</v>
      </c>
      <c r="B134" s="54" t="s">
        <v>1389</v>
      </c>
      <c r="C134" s="55" t="s">
        <v>1395</v>
      </c>
      <c r="D134" s="56">
        <v>1.0</v>
      </c>
      <c r="E134" s="57" t="s">
        <v>430</v>
      </c>
      <c r="F134" s="57" t="s">
        <v>431</v>
      </c>
      <c r="G134" s="58">
        <v>0.00738425925925926</v>
      </c>
    </row>
    <row r="135" ht="14.25" customHeight="1">
      <c r="A135" s="54" t="s">
        <v>1377</v>
      </c>
      <c r="B135" s="54" t="s">
        <v>1389</v>
      </c>
      <c r="C135" s="55" t="s">
        <v>1395</v>
      </c>
      <c r="D135" s="56">
        <v>1.0</v>
      </c>
      <c r="E135" s="57" t="s">
        <v>430</v>
      </c>
      <c r="F135" s="57" t="s">
        <v>433</v>
      </c>
      <c r="G135" s="58">
        <v>0.01678240740740741</v>
      </c>
    </row>
    <row r="136" ht="14.25" customHeight="1">
      <c r="A136" s="54" t="s">
        <v>1377</v>
      </c>
      <c r="B136" s="54" t="s">
        <v>1389</v>
      </c>
      <c r="C136" s="55" t="s">
        <v>1395</v>
      </c>
      <c r="D136" s="56">
        <v>1.0</v>
      </c>
      <c r="E136" s="57" t="s">
        <v>430</v>
      </c>
      <c r="F136" s="57" t="s">
        <v>435</v>
      </c>
      <c r="G136" s="58">
        <v>0.05555555555555555</v>
      </c>
    </row>
    <row r="137" ht="14.25" customHeight="1">
      <c r="A137" s="54" t="s">
        <v>1377</v>
      </c>
      <c r="B137" s="54" t="s">
        <v>1389</v>
      </c>
      <c r="C137" s="55" t="s">
        <v>1395</v>
      </c>
      <c r="D137" s="56">
        <v>1.0</v>
      </c>
      <c r="E137" s="57" t="s">
        <v>430</v>
      </c>
      <c r="F137" s="57" t="s">
        <v>436</v>
      </c>
      <c r="G137" s="58">
        <v>0.020833333333333332</v>
      </c>
    </row>
    <row r="138" ht="14.25" customHeight="1">
      <c r="A138" s="54" t="s">
        <v>1377</v>
      </c>
      <c r="B138" s="54" t="s">
        <v>1389</v>
      </c>
      <c r="C138" s="55" t="s">
        <v>1395</v>
      </c>
      <c r="D138" s="56">
        <v>2.0</v>
      </c>
      <c r="E138" s="57" t="s">
        <v>439</v>
      </c>
      <c r="F138" s="57" t="s">
        <v>437</v>
      </c>
      <c r="G138" s="58">
        <v>0.0025</v>
      </c>
    </row>
    <row r="139" ht="14.25" customHeight="1">
      <c r="A139" s="54" t="s">
        <v>1377</v>
      </c>
      <c r="B139" s="54" t="s">
        <v>1389</v>
      </c>
      <c r="C139" s="55" t="s">
        <v>1395</v>
      </c>
      <c r="D139" s="56">
        <v>2.0</v>
      </c>
      <c r="E139" s="57" t="s">
        <v>439</v>
      </c>
      <c r="F139" s="57" t="s">
        <v>440</v>
      </c>
      <c r="G139" s="58">
        <v>0.0019328703703703704</v>
      </c>
    </row>
    <row r="140" ht="14.25" customHeight="1">
      <c r="A140" s="54" t="s">
        <v>1377</v>
      </c>
      <c r="B140" s="54" t="s">
        <v>1389</v>
      </c>
      <c r="C140" s="55" t="s">
        <v>1395</v>
      </c>
      <c r="D140" s="56">
        <v>2.0</v>
      </c>
      <c r="E140" s="57" t="s">
        <v>439</v>
      </c>
      <c r="F140" s="57" t="s">
        <v>442</v>
      </c>
      <c r="G140" s="58">
        <v>0.0020486111111111113</v>
      </c>
    </row>
    <row r="141" ht="14.25" customHeight="1">
      <c r="A141" s="54" t="s">
        <v>1377</v>
      </c>
      <c r="B141" s="54" t="s">
        <v>1389</v>
      </c>
      <c r="C141" s="55" t="s">
        <v>1395</v>
      </c>
      <c r="D141" s="56">
        <v>2.0</v>
      </c>
      <c r="E141" s="57" t="s">
        <v>439</v>
      </c>
      <c r="F141" s="57" t="s">
        <v>444</v>
      </c>
      <c r="G141" s="58">
        <v>0.0030555555555555557</v>
      </c>
    </row>
    <row r="142" ht="14.25" customHeight="1">
      <c r="A142" s="54" t="s">
        <v>1377</v>
      </c>
      <c r="B142" s="54" t="s">
        <v>1389</v>
      </c>
      <c r="C142" s="55" t="s">
        <v>1395</v>
      </c>
      <c r="D142" s="56">
        <v>2.0</v>
      </c>
      <c r="E142" s="57" t="s">
        <v>439</v>
      </c>
      <c r="F142" s="57" t="s">
        <v>723</v>
      </c>
      <c r="G142" s="58">
        <v>0.0018287037037037037</v>
      </c>
    </row>
    <row r="143" ht="14.25" customHeight="1">
      <c r="A143" s="54" t="s">
        <v>1377</v>
      </c>
      <c r="B143" s="54" t="s">
        <v>1389</v>
      </c>
      <c r="C143" s="55" t="s">
        <v>1395</v>
      </c>
      <c r="D143" s="56">
        <v>2.0</v>
      </c>
      <c r="E143" s="57" t="s">
        <v>439</v>
      </c>
      <c r="F143" s="57" t="s">
        <v>725</v>
      </c>
      <c r="G143" s="58">
        <v>0.003576388888888889</v>
      </c>
    </row>
    <row r="144" ht="14.25" customHeight="1">
      <c r="A144" s="54" t="s">
        <v>1377</v>
      </c>
      <c r="B144" s="54" t="s">
        <v>1389</v>
      </c>
      <c r="C144" s="55" t="s">
        <v>1395</v>
      </c>
      <c r="D144" s="56">
        <v>2.0</v>
      </c>
      <c r="E144" s="57" t="s">
        <v>439</v>
      </c>
      <c r="F144" s="57" t="s">
        <v>446</v>
      </c>
      <c r="G144" s="58">
        <v>0.0031018518518518517</v>
      </c>
    </row>
    <row r="145" ht="14.25" customHeight="1">
      <c r="A145" s="54" t="s">
        <v>1377</v>
      </c>
      <c r="B145" s="54" t="s">
        <v>1389</v>
      </c>
      <c r="C145" s="55" t="s">
        <v>1395</v>
      </c>
      <c r="D145" s="56">
        <v>2.0</v>
      </c>
      <c r="E145" s="57" t="s">
        <v>439</v>
      </c>
      <c r="F145" s="57" t="s">
        <v>448</v>
      </c>
      <c r="G145" s="58">
        <v>0.012303240740740741</v>
      </c>
    </row>
    <row r="146" ht="14.25" customHeight="1">
      <c r="A146" s="54" t="s">
        <v>1377</v>
      </c>
      <c r="B146" s="54" t="s">
        <v>1389</v>
      </c>
      <c r="C146" s="55" t="s">
        <v>1395</v>
      </c>
      <c r="D146" s="56">
        <v>2.0</v>
      </c>
      <c r="E146" s="57" t="s">
        <v>439</v>
      </c>
      <c r="F146" s="57" t="s">
        <v>727</v>
      </c>
      <c r="G146" s="58">
        <v>0.05555555555555555</v>
      </c>
    </row>
    <row r="147" ht="14.25" customHeight="1">
      <c r="A147" s="54" t="s">
        <v>1377</v>
      </c>
      <c r="B147" s="54" t="s">
        <v>1389</v>
      </c>
      <c r="C147" s="55" t="s">
        <v>1395</v>
      </c>
      <c r="D147" s="56">
        <v>3.0</v>
      </c>
      <c r="E147" s="57" t="s">
        <v>371</v>
      </c>
      <c r="F147" s="57" t="s">
        <v>449</v>
      </c>
      <c r="G147" s="58">
        <v>0.0096875</v>
      </c>
    </row>
    <row r="148" ht="14.25" customHeight="1">
      <c r="A148" s="54" t="s">
        <v>1377</v>
      </c>
      <c r="B148" s="54" t="s">
        <v>1389</v>
      </c>
      <c r="C148" s="55" t="s">
        <v>1395</v>
      </c>
      <c r="D148" s="56">
        <v>3.0</v>
      </c>
      <c r="E148" s="57" t="s">
        <v>371</v>
      </c>
      <c r="F148" s="57" t="s">
        <v>369</v>
      </c>
      <c r="G148" s="58">
        <v>0.010891203703703703</v>
      </c>
    </row>
    <row r="149" ht="14.25" customHeight="1">
      <c r="A149" s="54" t="s">
        <v>1377</v>
      </c>
      <c r="B149" s="54" t="s">
        <v>1389</v>
      </c>
      <c r="C149" s="55" t="s">
        <v>1395</v>
      </c>
      <c r="D149" s="56">
        <v>3.0</v>
      </c>
      <c r="E149" s="57" t="s">
        <v>371</v>
      </c>
      <c r="F149" s="57" t="s">
        <v>372</v>
      </c>
      <c r="G149" s="58">
        <v>0.05555555555555555</v>
      </c>
    </row>
    <row r="150" ht="14.25" customHeight="1">
      <c r="A150" s="54" t="s">
        <v>1377</v>
      </c>
      <c r="B150" s="54" t="s">
        <v>1389</v>
      </c>
      <c r="C150" s="55" t="s">
        <v>1395</v>
      </c>
      <c r="D150" s="56">
        <v>3.0</v>
      </c>
      <c r="E150" s="57" t="s">
        <v>371</v>
      </c>
      <c r="F150" s="57" t="s">
        <v>1396</v>
      </c>
      <c r="G150" s="58">
        <v>0.05555555555555555</v>
      </c>
    </row>
    <row r="151" ht="14.25" customHeight="1">
      <c r="A151" s="54" t="s">
        <v>1377</v>
      </c>
      <c r="B151" s="54" t="s">
        <v>1389</v>
      </c>
      <c r="C151" s="55" t="s">
        <v>1397</v>
      </c>
      <c r="D151" s="56">
        <v>1.0</v>
      </c>
      <c r="E151" s="57" t="s">
        <v>453</v>
      </c>
      <c r="F151" s="57" t="s">
        <v>451</v>
      </c>
      <c r="G151" s="58">
        <v>0.002662037037037037</v>
      </c>
    </row>
    <row r="152" ht="14.25" customHeight="1">
      <c r="A152" s="54" t="s">
        <v>1377</v>
      </c>
      <c r="B152" s="54" t="s">
        <v>1389</v>
      </c>
      <c r="C152" s="55" t="s">
        <v>1397</v>
      </c>
      <c r="D152" s="56">
        <v>1.0</v>
      </c>
      <c r="E152" s="57" t="s">
        <v>453</v>
      </c>
      <c r="F152" s="57" t="s">
        <v>454</v>
      </c>
      <c r="G152" s="58">
        <v>7.986111111111112E-4</v>
      </c>
    </row>
    <row r="153" ht="14.25" customHeight="1">
      <c r="A153" s="54" t="s">
        <v>1377</v>
      </c>
      <c r="B153" s="54" t="s">
        <v>1389</v>
      </c>
      <c r="C153" s="55" t="s">
        <v>1397</v>
      </c>
      <c r="D153" s="56">
        <v>1.0</v>
      </c>
      <c r="E153" s="57" t="s">
        <v>453</v>
      </c>
      <c r="F153" s="57" t="s">
        <v>456</v>
      </c>
      <c r="G153" s="58">
        <v>0.008611111111111111</v>
      </c>
    </row>
    <row r="154" ht="14.25" customHeight="1">
      <c r="A154" s="54" t="s">
        <v>1377</v>
      </c>
      <c r="B154" s="54" t="s">
        <v>1389</v>
      </c>
      <c r="C154" s="55" t="s">
        <v>1397</v>
      </c>
      <c r="D154" s="56">
        <v>1.0</v>
      </c>
      <c r="E154" s="57" t="s">
        <v>453</v>
      </c>
      <c r="F154" s="57" t="s">
        <v>458</v>
      </c>
      <c r="G154" s="58">
        <v>7.986111111111112E-4</v>
      </c>
    </row>
    <row r="155" ht="14.25" customHeight="1">
      <c r="A155" s="54" t="s">
        <v>1377</v>
      </c>
      <c r="B155" s="54" t="s">
        <v>1389</v>
      </c>
      <c r="C155" s="55" t="s">
        <v>1397</v>
      </c>
      <c r="D155" s="56">
        <v>2.0</v>
      </c>
      <c r="E155" s="57" t="s">
        <v>462</v>
      </c>
      <c r="F155" s="57" t="s">
        <v>462</v>
      </c>
      <c r="G155" s="58">
        <v>0.005127314814814815</v>
      </c>
    </row>
    <row r="156" ht="14.25" customHeight="1">
      <c r="A156" s="54" t="s">
        <v>1377</v>
      </c>
      <c r="B156" s="54" t="s">
        <v>1389</v>
      </c>
      <c r="C156" s="55" t="s">
        <v>1397</v>
      </c>
      <c r="D156" s="56">
        <v>2.0</v>
      </c>
      <c r="E156" s="57" t="s">
        <v>462</v>
      </c>
      <c r="F156" s="57" t="s">
        <v>460</v>
      </c>
      <c r="G156" s="58">
        <v>9.375E-4</v>
      </c>
    </row>
    <row r="157" ht="14.25" customHeight="1">
      <c r="A157" s="54" t="s">
        <v>1377</v>
      </c>
      <c r="B157" s="54" t="s">
        <v>1389</v>
      </c>
      <c r="C157" s="55" t="s">
        <v>1397</v>
      </c>
      <c r="D157" s="56">
        <v>2.0</v>
      </c>
      <c r="E157" s="57" t="s">
        <v>462</v>
      </c>
      <c r="F157" s="57" t="s">
        <v>463</v>
      </c>
      <c r="G157" s="58">
        <v>0.001863425925925926</v>
      </c>
    </row>
    <row r="158" ht="14.25" customHeight="1">
      <c r="A158" s="54" t="s">
        <v>1377</v>
      </c>
      <c r="B158" s="54" t="s">
        <v>1389</v>
      </c>
      <c r="C158" s="55" t="s">
        <v>1397</v>
      </c>
      <c r="D158" s="56">
        <v>2.0</v>
      </c>
      <c r="E158" s="57" t="s">
        <v>462</v>
      </c>
      <c r="F158" s="57" t="s">
        <v>465</v>
      </c>
      <c r="G158" s="58">
        <v>6.828703703703704E-4</v>
      </c>
    </row>
    <row r="159" ht="14.25" customHeight="1">
      <c r="A159" s="54" t="s">
        <v>1377</v>
      </c>
      <c r="B159" s="54" t="s">
        <v>1389</v>
      </c>
      <c r="C159" s="55" t="s">
        <v>1397</v>
      </c>
      <c r="D159" s="56">
        <v>2.0</v>
      </c>
      <c r="E159" s="57" t="s">
        <v>462</v>
      </c>
      <c r="F159" s="57" t="s">
        <v>762</v>
      </c>
      <c r="G159" s="58">
        <v>7.407407407407407E-4</v>
      </c>
    </row>
    <row r="160" ht="14.25" customHeight="1">
      <c r="A160" s="54" t="s">
        <v>1377</v>
      </c>
      <c r="B160" s="54" t="s">
        <v>1389</v>
      </c>
      <c r="C160" s="55" t="s">
        <v>1397</v>
      </c>
      <c r="D160" s="56">
        <v>2.0</v>
      </c>
      <c r="E160" s="57" t="s">
        <v>462</v>
      </c>
      <c r="F160" s="57" t="s">
        <v>467</v>
      </c>
      <c r="G160" s="58">
        <v>6.134259259259259E-4</v>
      </c>
    </row>
    <row r="161" ht="14.25" customHeight="1">
      <c r="A161" s="54" t="s">
        <v>1377</v>
      </c>
      <c r="B161" s="54" t="s">
        <v>1389</v>
      </c>
      <c r="C161" s="55" t="s">
        <v>1397</v>
      </c>
      <c r="D161" s="56">
        <v>2.0</v>
      </c>
      <c r="E161" s="57" t="s">
        <v>462</v>
      </c>
      <c r="F161" s="57" t="s">
        <v>469</v>
      </c>
      <c r="G161" s="58">
        <v>9.953703703703704E-4</v>
      </c>
    </row>
    <row r="162" ht="14.25" customHeight="1">
      <c r="A162" s="54" t="s">
        <v>1377</v>
      </c>
      <c r="B162" s="54" t="s">
        <v>1389</v>
      </c>
      <c r="C162" s="55" t="s">
        <v>1397</v>
      </c>
      <c r="D162" s="56">
        <v>3.0</v>
      </c>
      <c r="E162" s="57" t="s">
        <v>471</v>
      </c>
      <c r="F162" s="57" t="s">
        <v>471</v>
      </c>
      <c r="G162" s="58">
        <v>0.0069560185185185185</v>
      </c>
    </row>
    <row r="163" ht="14.25" customHeight="1">
      <c r="A163" s="54" t="s">
        <v>1377</v>
      </c>
      <c r="B163" s="54" t="s">
        <v>1389</v>
      </c>
      <c r="C163" s="55" t="s">
        <v>1397</v>
      </c>
      <c r="D163" s="56">
        <v>3.0</v>
      </c>
      <c r="E163" s="57" t="s">
        <v>471</v>
      </c>
      <c r="F163" s="57" t="s">
        <v>764</v>
      </c>
      <c r="G163" s="58">
        <v>5.555555555555556E-4</v>
      </c>
    </row>
    <row r="164" ht="14.25" customHeight="1">
      <c r="A164" s="54" t="s">
        <v>1377</v>
      </c>
      <c r="B164" s="54" t="s">
        <v>1389</v>
      </c>
      <c r="C164" s="55" t="s">
        <v>1397</v>
      </c>
      <c r="D164" s="56">
        <v>3.0</v>
      </c>
      <c r="E164" s="57" t="s">
        <v>471</v>
      </c>
      <c r="F164" s="57" t="s">
        <v>473</v>
      </c>
      <c r="G164" s="58">
        <v>0.0015393518518518519</v>
      </c>
    </row>
    <row r="165" ht="14.25" customHeight="1">
      <c r="A165" s="54" t="s">
        <v>1377</v>
      </c>
      <c r="B165" s="54" t="s">
        <v>1389</v>
      </c>
      <c r="C165" s="55" t="s">
        <v>1397</v>
      </c>
      <c r="D165" s="56">
        <v>3.0</v>
      </c>
      <c r="E165" s="57" t="s">
        <v>471</v>
      </c>
      <c r="F165" s="57" t="s">
        <v>475</v>
      </c>
      <c r="G165" s="58">
        <v>5.671296296296297E-4</v>
      </c>
    </row>
    <row r="166" ht="14.25" customHeight="1">
      <c r="A166" s="54" t="s">
        <v>1377</v>
      </c>
      <c r="B166" s="54" t="s">
        <v>1389</v>
      </c>
      <c r="C166" s="55" t="s">
        <v>1397</v>
      </c>
      <c r="D166" s="56">
        <v>3.0</v>
      </c>
      <c r="E166" s="57" t="s">
        <v>471</v>
      </c>
      <c r="F166" s="57" t="s">
        <v>1398</v>
      </c>
      <c r="G166" s="58">
        <v>0.0016319444444444445</v>
      </c>
    </row>
    <row r="167" ht="14.25" customHeight="1">
      <c r="A167" s="54" t="s">
        <v>1377</v>
      </c>
      <c r="B167" s="54" t="s">
        <v>1389</v>
      </c>
      <c r="C167" s="55" t="s">
        <v>1397</v>
      </c>
      <c r="D167" s="56">
        <v>3.0</v>
      </c>
      <c r="E167" s="57" t="s">
        <v>471</v>
      </c>
      <c r="F167" s="57" t="s">
        <v>477</v>
      </c>
      <c r="G167" s="58">
        <v>0.05555555555555555</v>
      </c>
    </row>
    <row r="168" ht="14.25" customHeight="1">
      <c r="A168" s="54" t="s">
        <v>1377</v>
      </c>
      <c r="B168" s="54" t="s">
        <v>1389</v>
      </c>
      <c r="C168" s="55" t="s">
        <v>1397</v>
      </c>
      <c r="D168" s="56">
        <v>4.0</v>
      </c>
      <c r="E168" s="57" t="s">
        <v>480</v>
      </c>
      <c r="F168" s="57" t="s">
        <v>478</v>
      </c>
      <c r="G168" s="58">
        <v>0.004074074074074074</v>
      </c>
    </row>
    <row r="169" ht="14.25" customHeight="1">
      <c r="A169" s="54" t="s">
        <v>1377</v>
      </c>
      <c r="B169" s="54" t="s">
        <v>1389</v>
      </c>
      <c r="C169" s="55" t="s">
        <v>1397</v>
      </c>
      <c r="D169" s="56">
        <v>4.0</v>
      </c>
      <c r="E169" s="57" t="s">
        <v>480</v>
      </c>
      <c r="F169" s="57" t="s">
        <v>481</v>
      </c>
      <c r="G169" s="58">
        <v>0.014212962962962964</v>
      </c>
    </row>
    <row r="170" ht="14.25" customHeight="1">
      <c r="A170" s="54" t="s">
        <v>1377</v>
      </c>
      <c r="B170" s="54" t="s">
        <v>1389</v>
      </c>
      <c r="C170" s="55" t="s">
        <v>1397</v>
      </c>
      <c r="D170" s="56">
        <v>4.0</v>
      </c>
      <c r="E170" s="57" t="s">
        <v>480</v>
      </c>
      <c r="F170" s="57" t="s">
        <v>483</v>
      </c>
      <c r="G170" s="58">
        <v>0.0015277777777777779</v>
      </c>
    </row>
    <row r="171" ht="14.25" customHeight="1">
      <c r="A171" s="54" t="s">
        <v>1377</v>
      </c>
      <c r="B171" s="54" t="s">
        <v>1389</v>
      </c>
      <c r="C171" s="55" t="s">
        <v>1397</v>
      </c>
      <c r="D171" s="56">
        <v>4.0</v>
      </c>
      <c r="E171" s="57" t="s">
        <v>480</v>
      </c>
      <c r="F171" s="57" t="s">
        <v>485</v>
      </c>
      <c r="G171" s="58">
        <v>0.0010648148148148149</v>
      </c>
    </row>
    <row r="172" ht="14.25" customHeight="1">
      <c r="A172" s="54" t="s">
        <v>1377</v>
      </c>
      <c r="B172" s="54" t="s">
        <v>1389</v>
      </c>
      <c r="C172" s="55" t="s">
        <v>1397</v>
      </c>
      <c r="D172" s="56">
        <v>4.0</v>
      </c>
      <c r="E172" s="57" t="s">
        <v>480</v>
      </c>
      <c r="F172" s="57" t="s">
        <v>487</v>
      </c>
      <c r="G172" s="58">
        <v>0.0013541666666666667</v>
      </c>
    </row>
    <row r="173" ht="14.25" customHeight="1">
      <c r="A173" s="54" t="s">
        <v>1377</v>
      </c>
      <c r="B173" s="54" t="s">
        <v>1389</v>
      </c>
      <c r="C173" s="55" t="s">
        <v>1397</v>
      </c>
      <c r="D173" s="56">
        <v>4.0</v>
      </c>
      <c r="E173" s="57" t="s">
        <v>480</v>
      </c>
      <c r="F173" s="57" t="s">
        <v>489</v>
      </c>
      <c r="G173" s="58">
        <v>0.05555555555555555</v>
      </c>
    </row>
    <row r="174" ht="14.25" customHeight="1">
      <c r="A174" s="54" t="s">
        <v>1377</v>
      </c>
      <c r="B174" s="54" t="s">
        <v>1389</v>
      </c>
      <c r="C174" s="55" t="s">
        <v>1399</v>
      </c>
      <c r="D174" s="56">
        <v>1.0</v>
      </c>
      <c r="E174" s="57" t="s">
        <v>493</v>
      </c>
      <c r="F174" s="57" t="s">
        <v>766</v>
      </c>
      <c r="G174" s="58">
        <v>0.005462962962962963</v>
      </c>
    </row>
    <row r="175" ht="14.25" customHeight="1">
      <c r="A175" s="54" t="s">
        <v>1377</v>
      </c>
      <c r="B175" s="54" t="s">
        <v>1389</v>
      </c>
      <c r="C175" s="55" t="s">
        <v>1399</v>
      </c>
      <c r="D175" s="56">
        <v>1.0</v>
      </c>
      <c r="E175" s="57" t="s">
        <v>493</v>
      </c>
      <c r="F175" s="57" t="s">
        <v>490</v>
      </c>
      <c r="G175" s="58">
        <v>0.0026967592592592594</v>
      </c>
    </row>
    <row r="176" ht="14.25" customHeight="1">
      <c r="A176" s="54" t="s">
        <v>1377</v>
      </c>
      <c r="B176" s="54" t="s">
        <v>1389</v>
      </c>
      <c r="C176" s="55" t="s">
        <v>1399</v>
      </c>
      <c r="D176" s="56">
        <v>1.0</v>
      </c>
      <c r="E176" s="57" t="s">
        <v>493</v>
      </c>
      <c r="F176" s="57" t="s">
        <v>494</v>
      </c>
      <c r="G176" s="58">
        <v>0.015439814814814814</v>
      </c>
    </row>
    <row r="177" ht="14.25" customHeight="1">
      <c r="A177" s="54" t="s">
        <v>1377</v>
      </c>
      <c r="B177" s="54" t="s">
        <v>1389</v>
      </c>
      <c r="C177" s="55" t="s">
        <v>1399</v>
      </c>
      <c r="D177" s="56">
        <v>1.0</v>
      </c>
      <c r="E177" s="57" t="s">
        <v>493</v>
      </c>
      <c r="F177" s="57" t="s">
        <v>1400</v>
      </c>
      <c r="G177" s="58">
        <v>0.028819444444444446</v>
      </c>
    </row>
    <row r="178" ht="14.25" customHeight="1">
      <c r="A178" s="54" t="s">
        <v>1377</v>
      </c>
      <c r="B178" s="54" t="s">
        <v>1389</v>
      </c>
      <c r="C178" s="55" t="s">
        <v>1399</v>
      </c>
      <c r="D178" s="56">
        <v>1.0</v>
      </c>
      <c r="E178" s="57" t="s">
        <v>493</v>
      </c>
      <c r="F178" s="57" t="s">
        <v>496</v>
      </c>
      <c r="G178" s="58">
        <v>0.010324074074074074</v>
      </c>
    </row>
    <row r="179" ht="14.25" customHeight="1">
      <c r="A179" s="54" t="s">
        <v>1377</v>
      </c>
      <c r="B179" s="54" t="s">
        <v>1389</v>
      </c>
      <c r="C179" s="55" t="s">
        <v>1399</v>
      </c>
      <c r="D179" s="56">
        <v>1.0</v>
      </c>
      <c r="E179" s="57" t="s">
        <v>493</v>
      </c>
      <c r="F179" s="57" t="s">
        <v>498</v>
      </c>
      <c r="G179" s="58">
        <v>0.013761574074074074</v>
      </c>
    </row>
    <row r="180" ht="14.25" customHeight="1">
      <c r="A180" s="54" t="s">
        <v>1377</v>
      </c>
      <c r="B180" s="54" t="s">
        <v>1389</v>
      </c>
      <c r="C180" s="55" t="s">
        <v>1399</v>
      </c>
      <c r="D180" s="56">
        <v>1.0</v>
      </c>
      <c r="E180" s="57" t="s">
        <v>493</v>
      </c>
      <c r="F180" s="57" t="s">
        <v>768</v>
      </c>
      <c r="G180" s="58">
        <v>0.00883101851851852</v>
      </c>
    </row>
    <row r="181" ht="14.25" customHeight="1">
      <c r="A181" s="54" t="s">
        <v>1377</v>
      </c>
      <c r="B181" s="54" t="s">
        <v>1389</v>
      </c>
      <c r="C181" s="55" t="s">
        <v>1399</v>
      </c>
      <c r="D181" s="56">
        <v>2.0</v>
      </c>
      <c r="E181" s="57" t="s">
        <v>503</v>
      </c>
      <c r="F181" s="57" t="s">
        <v>500</v>
      </c>
      <c r="G181" s="58">
        <v>0.007893518518518518</v>
      </c>
    </row>
    <row r="182" ht="14.25" customHeight="1">
      <c r="A182" s="54" t="s">
        <v>1377</v>
      </c>
      <c r="B182" s="54" t="s">
        <v>1389</v>
      </c>
      <c r="C182" s="55" t="s">
        <v>1399</v>
      </c>
      <c r="D182" s="56">
        <v>2.0</v>
      </c>
      <c r="E182" s="57" t="s">
        <v>503</v>
      </c>
      <c r="F182" s="57" t="s">
        <v>504</v>
      </c>
      <c r="G182" s="58">
        <v>0.007789351851851852</v>
      </c>
    </row>
    <row r="183" ht="14.25" customHeight="1">
      <c r="A183" s="54" t="s">
        <v>1377</v>
      </c>
      <c r="B183" s="54" t="s">
        <v>1389</v>
      </c>
      <c r="C183" s="55" t="s">
        <v>1399</v>
      </c>
      <c r="D183" s="56">
        <v>2.0</v>
      </c>
      <c r="E183" s="57" t="s">
        <v>503</v>
      </c>
      <c r="F183" s="57" t="s">
        <v>506</v>
      </c>
      <c r="G183" s="58">
        <v>0.003275462962962963</v>
      </c>
    </row>
    <row r="184" ht="14.25" customHeight="1">
      <c r="A184" s="54" t="s">
        <v>1377</v>
      </c>
      <c r="B184" s="54" t="s">
        <v>1389</v>
      </c>
      <c r="C184" s="55" t="s">
        <v>1399</v>
      </c>
      <c r="D184" s="56">
        <v>2.0</v>
      </c>
      <c r="E184" s="57" t="s">
        <v>503</v>
      </c>
      <c r="F184" s="57" t="s">
        <v>508</v>
      </c>
      <c r="G184" s="58">
        <v>0.014953703703703703</v>
      </c>
    </row>
    <row r="185" ht="14.25" customHeight="1">
      <c r="A185" s="54" t="s">
        <v>1377</v>
      </c>
      <c r="B185" s="54" t="s">
        <v>1389</v>
      </c>
      <c r="C185" s="55" t="s">
        <v>1399</v>
      </c>
      <c r="D185" s="56">
        <v>2.0</v>
      </c>
      <c r="E185" s="57" t="s">
        <v>503</v>
      </c>
      <c r="F185" s="57" t="s">
        <v>510</v>
      </c>
      <c r="G185" s="58">
        <v>0.01744212962962963</v>
      </c>
    </row>
    <row r="186" ht="14.25" customHeight="1">
      <c r="A186" s="54" t="s">
        <v>1377</v>
      </c>
      <c r="B186" s="54" t="s">
        <v>1389</v>
      </c>
      <c r="C186" s="55" t="s">
        <v>1399</v>
      </c>
      <c r="D186" s="56">
        <v>2.0</v>
      </c>
      <c r="E186" s="57" t="s">
        <v>503</v>
      </c>
      <c r="F186" s="57" t="s">
        <v>512</v>
      </c>
      <c r="G186" s="58">
        <v>0.00542824074074074</v>
      </c>
    </row>
    <row r="187" ht="14.25" customHeight="1">
      <c r="A187" s="54" t="s">
        <v>1377</v>
      </c>
      <c r="B187" s="54" t="s">
        <v>1389</v>
      </c>
      <c r="C187" s="55" t="s">
        <v>1399</v>
      </c>
      <c r="D187" s="56">
        <v>3.0</v>
      </c>
      <c r="E187" s="57" t="s">
        <v>516</v>
      </c>
      <c r="F187" s="57" t="s">
        <v>514</v>
      </c>
      <c r="G187" s="58">
        <v>0.011620370370370371</v>
      </c>
    </row>
    <row r="188" ht="14.25" customHeight="1">
      <c r="A188" s="54" t="s">
        <v>1377</v>
      </c>
      <c r="B188" s="54" t="s">
        <v>1389</v>
      </c>
      <c r="C188" s="55" t="s">
        <v>1399</v>
      </c>
      <c r="D188" s="56">
        <v>3.0</v>
      </c>
      <c r="E188" s="57" t="s">
        <v>516</v>
      </c>
      <c r="F188" s="57" t="s">
        <v>517</v>
      </c>
      <c r="G188" s="58">
        <v>0.015277777777777777</v>
      </c>
    </row>
    <row r="189" ht="14.25" customHeight="1">
      <c r="A189" s="54" t="s">
        <v>1377</v>
      </c>
      <c r="B189" s="54" t="s">
        <v>1389</v>
      </c>
      <c r="C189" s="55" t="s">
        <v>1399</v>
      </c>
      <c r="D189" s="56">
        <v>3.0</v>
      </c>
      <c r="E189" s="57" t="s">
        <v>516</v>
      </c>
      <c r="F189" s="57" t="s">
        <v>519</v>
      </c>
      <c r="G189" s="58">
        <v>0.01105324074074074</v>
      </c>
    </row>
    <row r="190" ht="14.25" customHeight="1">
      <c r="A190" s="54" t="s">
        <v>1377</v>
      </c>
      <c r="B190" s="54" t="s">
        <v>1389</v>
      </c>
      <c r="C190" s="55" t="s">
        <v>1399</v>
      </c>
      <c r="D190" s="56">
        <v>3.0</v>
      </c>
      <c r="E190" s="57" t="s">
        <v>516</v>
      </c>
      <c r="F190" s="57" t="s">
        <v>521</v>
      </c>
      <c r="G190" s="58">
        <v>0.05555555555555555</v>
      </c>
    </row>
    <row r="191" ht="14.25" customHeight="1">
      <c r="A191" s="54" t="s">
        <v>1377</v>
      </c>
      <c r="B191" s="54" t="s">
        <v>1389</v>
      </c>
      <c r="C191" s="55" t="s">
        <v>1399</v>
      </c>
      <c r="D191" s="56">
        <v>4.0</v>
      </c>
      <c r="E191" s="57" t="s">
        <v>524</v>
      </c>
      <c r="F191" s="57" t="s">
        <v>522</v>
      </c>
      <c r="G191" s="58">
        <v>0.010868055555555556</v>
      </c>
    </row>
    <row r="192" ht="14.25" customHeight="1">
      <c r="A192" s="54" t="s">
        <v>1377</v>
      </c>
      <c r="B192" s="54" t="s">
        <v>1389</v>
      </c>
      <c r="C192" s="55" t="s">
        <v>1399</v>
      </c>
      <c r="D192" s="56">
        <v>4.0</v>
      </c>
      <c r="E192" s="57" t="s">
        <v>524</v>
      </c>
      <c r="F192" s="57" t="s">
        <v>525</v>
      </c>
      <c r="G192" s="58">
        <v>0.01457175925925926</v>
      </c>
    </row>
    <row r="193" ht="14.25" customHeight="1">
      <c r="A193" s="54" t="s">
        <v>1377</v>
      </c>
      <c r="B193" s="54" t="s">
        <v>1389</v>
      </c>
      <c r="C193" s="55" t="s">
        <v>1399</v>
      </c>
      <c r="D193" s="56">
        <v>4.0</v>
      </c>
      <c r="E193" s="57" t="s">
        <v>524</v>
      </c>
      <c r="F193" s="57" t="s">
        <v>527</v>
      </c>
      <c r="G193" s="58">
        <v>0.00755787037037037</v>
      </c>
    </row>
    <row r="194" ht="14.25" customHeight="1">
      <c r="A194" s="54" t="s">
        <v>1377</v>
      </c>
      <c r="B194" s="54" t="s">
        <v>1389</v>
      </c>
      <c r="C194" s="55" t="s">
        <v>1399</v>
      </c>
      <c r="D194" s="56">
        <v>4.0</v>
      </c>
      <c r="E194" s="57" t="s">
        <v>524</v>
      </c>
      <c r="F194" s="57" t="s">
        <v>529</v>
      </c>
      <c r="G194" s="58">
        <v>0.005</v>
      </c>
    </row>
    <row r="195" ht="14.25" customHeight="1">
      <c r="A195" s="54" t="s">
        <v>1377</v>
      </c>
      <c r="B195" s="54" t="s">
        <v>1389</v>
      </c>
      <c r="C195" s="55" t="s">
        <v>1399</v>
      </c>
      <c r="D195" s="56">
        <v>4.0</v>
      </c>
      <c r="E195" s="57" t="s">
        <v>524</v>
      </c>
      <c r="F195" s="57" t="s">
        <v>531</v>
      </c>
      <c r="G195" s="58">
        <v>0.011493055555555555</v>
      </c>
    </row>
    <row r="196" ht="14.25" customHeight="1">
      <c r="A196" s="54" t="s">
        <v>1377</v>
      </c>
      <c r="B196" s="54" t="s">
        <v>1389</v>
      </c>
      <c r="C196" s="55" t="s">
        <v>1399</v>
      </c>
      <c r="D196" s="56">
        <v>4.0</v>
      </c>
      <c r="E196" s="57" t="s">
        <v>524</v>
      </c>
      <c r="F196" s="57" t="s">
        <v>533</v>
      </c>
      <c r="G196" s="58">
        <v>0.0038773148148148148</v>
      </c>
    </row>
    <row r="197" ht="14.25" customHeight="1">
      <c r="A197" s="54" t="s">
        <v>1377</v>
      </c>
      <c r="B197" s="54" t="s">
        <v>1389</v>
      </c>
      <c r="C197" s="55" t="s">
        <v>1399</v>
      </c>
      <c r="D197" s="56">
        <v>4.0</v>
      </c>
      <c r="E197" s="57" t="s">
        <v>524</v>
      </c>
      <c r="F197" s="57" t="s">
        <v>535</v>
      </c>
      <c r="G197" s="58">
        <v>0.002951388888888889</v>
      </c>
    </row>
    <row r="198" ht="14.25" customHeight="1">
      <c r="A198" s="54" t="s">
        <v>1377</v>
      </c>
      <c r="B198" s="54" t="s">
        <v>1389</v>
      </c>
      <c r="C198" s="55" t="s">
        <v>1399</v>
      </c>
      <c r="D198" s="56">
        <v>4.0</v>
      </c>
      <c r="E198" s="57" t="s">
        <v>524</v>
      </c>
      <c r="F198" s="57" t="s">
        <v>537</v>
      </c>
      <c r="G198" s="58">
        <v>0.012997685185185185</v>
      </c>
    </row>
    <row r="199" ht="14.25" customHeight="1">
      <c r="A199" s="54" t="s">
        <v>1377</v>
      </c>
      <c r="B199" s="54" t="s">
        <v>1389</v>
      </c>
      <c r="C199" s="55" t="s">
        <v>1401</v>
      </c>
      <c r="D199" s="56">
        <v>1.0</v>
      </c>
      <c r="E199" s="57" t="s">
        <v>541</v>
      </c>
      <c r="F199" s="57" t="s">
        <v>539</v>
      </c>
      <c r="G199" s="58">
        <v>0.02556712962962963</v>
      </c>
    </row>
    <row r="200" ht="14.25" customHeight="1">
      <c r="A200" s="54" t="s">
        <v>1377</v>
      </c>
      <c r="B200" s="54" t="s">
        <v>1389</v>
      </c>
      <c r="C200" s="55" t="s">
        <v>1401</v>
      </c>
      <c r="D200" s="56">
        <v>1.0</v>
      </c>
      <c r="E200" s="57" t="s">
        <v>541</v>
      </c>
      <c r="F200" s="57" t="s">
        <v>542</v>
      </c>
      <c r="G200" s="58">
        <v>0.013298611111111112</v>
      </c>
    </row>
    <row r="201" ht="14.25" customHeight="1">
      <c r="A201" s="54" t="s">
        <v>1377</v>
      </c>
      <c r="B201" s="54" t="s">
        <v>1389</v>
      </c>
      <c r="C201" s="55" t="s">
        <v>1401</v>
      </c>
      <c r="D201" s="56">
        <v>2.0</v>
      </c>
      <c r="E201" s="57" t="s">
        <v>546</v>
      </c>
      <c r="F201" s="57" t="s">
        <v>1402</v>
      </c>
      <c r="G201" s="58">
        <v>0.02230324074074074</v>
      </c>
    </row>
    <row r="202" ht="14.25" customHeight="1">
      <c r="A202" s="54" t="s">
        <v>1377</v>
      </c>
      <c r="B202" s="54" t="s">
        <v>1389</v>
      </c>
      <c r="C202" s="55" t="s">
        <v>1401</v>
      </c>
      <c r="D202" s="56">
        <v>2.0</v>
      </c>
      <c r="E202" s="57" t="s">
        <v>546</v>
      </c>
      <c r="F202" s="57" t="s">
        <v>544</v>
      </c>
      <c r="G202" s="58">
        <v>0.01375</v>
      </c>
    </row>
    <row r="203" ht="14.25" customHeight="1">
      <c r="A203" s="54" t="s">
        <v>1377</v>
      </c>
      <c r="B203" s="54" t="s">
        <v>1389</v>
      </c>
      <c r="C203" s="55" t="s">
        <v>1403</v>
      </c>
      <c r="D203" s="56">
        <v>1.0</v>
      </c>
      <c r="E203" s="57" t="s">
        <v>549</v>
      </c>
      <c r="F203" s="57" t="s">
        <v>547</v>
      </c>
      <c r="G203" s="58">
        <v>0.021608796296296296</v>
      </c>
    </row>
    <row r="204" ht="14.25" customHeight="1">
      <c r="A204" s="54" t="s">
        <v>1377</v>
      </c>
      <c r="B204" s="54" t="s">
        <v>1389</v>
      </c>
      <c r="C204" s="55" t="s">
        <v>1403</v>
      </c>
      <c r="D204" s="56">
        <v>1.0</v>
      </c>
      <c r="E204" s="57" t="s">
        <v>549</v>
      </c>
      <c r="F204" s="57" t="s">
        <v>550</v>
      </c>
      <c r="G204" s="58">
        <v>0.014166666666666666</v>
      </c>
    </row>
    <row r="205" ht="14.25" customHeight="1">
      <c r="A205" s="54" t="s">
        <v>1377</v>
      </c>
      <c r="B205" s="54" t="s">
        <v>1389</v>
      </c>
      <c r="C205" s="55" t="s">
        <v>1403</v>
      </c>
      <c r="D205" s="56">
        <v>1.0</v>
      </c>
      <c r="E205" s="57" t="s">
        <v>549</v>
      </c>
      <c r="F205" s="57" t="s">
        <v>1404</v>
      </c>
      <c r="G205" s="58">
        <v>0.018333333333333333</v>
      </c>
    </row>
    <row r="206" ht="14.25" customHeight="1">
      <c r="A206" s="54" t="s">
        <v>1377</v>
      </c>
      <c r="B206" s="54" t="s">
        <v>1389</v>
      </c>
      <c r="C206" s="55" t="s">
        <v>1403</v>
      </c>
      <c r="D206" s="56">
        <v>1.0</v>
      </c>
      <c r="E206" s="57" t="s">
        <v>549</v>
      </c>
      <c r="F206" s="57" t="s">
        <v>552</v>
      </c>
      <c r="G206" s="58">
        <v>0.026712962962962963</v>
      </c>
    </row>
    <row r="207" ht="14.25" customHeight="1">
      <c r="A207" s="54" t="s">
        <v>1377</v>
      </c>
      <c r="B207" s="54" t="s">
        <v>1389</v>
      </c>
      <c r="C207" s="55" t="s">
        <v>1403</v>
      </c>
      <c r="D207" s="56">
        <v>1.0</v>
      </c>
      <c r="E207" s="57" t="s">
        <v>549</v>
      </c>
      <c r="F207" s="57" t="s">
        <v>554</v>
      </c>
      <c r="G207" s="58">
        <v>0.010289351851851852</v>
      </c>
    </row>
    <row r="208" ht="14.25" customHeight="1">
      <c r="A208" s="54" t="s">
        <v>1377</v>
      </c>
      <c r="B208" s="54" t="s">
        <v>1389</v>
      </c>
      <c r="C208" s="55" t="s">
        <v>1403</v>
      </c>
      <c r="D208" s="56">
        <v>1.0</v>
      </c>
      <c r="E208" s="57" t="s">
        <v>549</v>
      </c>
      <c r="F208" s="57" t="s">
        <v>1405</v>
      </c>
      <c r="G208" s="58">
        <v>0.0134375</v>
      </c>
    </row>
    <row r="209" ht="14.25" customHeight="1">
      <c r="A209" s="54" t="s">
        <v>1377</v>
      </c>
      <c r="B209" s="54" t="s">
        <v>1389</v>
      </c>
      <c r="C209" s="55" t="s">
        <v>1403</v>
      </c>
      <c r="D209" s="56">
        <v>1.0</v>
      </c>
      <c r="E209" s="57" t="s">
        <v>549</v>
      </c>
      <c r="F209" s="57" t="s">
        <v>556</v>
      </c>
      <c r="G209" s="58">
        <v>0.017766203703703704</v>
      </c>
    </row>
    <row r="210" ht="14.25" customHeight="1">
      <c r="A210" s="54" t="s">
        <v>1377</v>
      </c>
      <c r="B210" s="54" t="s">
        <v>1389</v>
      </c>
      <c r="C210" s="55" t="s">
        <v>1403</v>
      </c>
      <c r="D210" s="56">
        <v>1.0</v>
      </c>
      <c r="E210" s="57" t="s">
        <v>549</v>
      </c>
      <c r="F210" s="57" t="s">
        <v>558</v>
      </c>
      <c r="G210" s="58">
        <v>0.017060185185185185</v>
      </c>
    </row>
    <row r="211" ht="14.25" customHeight="1">
      <c r="A211" s="54" t="s">
        <v>1377</v>
      </c>
      <c r="B211" s="54" t="s">
        <v>1389</v>
      </c>
      <c r="C211" s="55" t="s">
        <v>1403</v>
      </c>
      <c r="D211" s="56">
        <v>1.0</v>
      </c>
      <c r="E211" s="57" t="s">
        <v>549</v>
      </c>
      <c r="F211" s="57" t="s">
        <v>560</v>
      </c>
      <c r="G211" s="58">
        <v>0.018738425925925926</v>
      </c>
    </row>
    <row r="212" ht="14.25" customHeight="1">
      <c r="A212" s="54" t="s">
        <v>1377</v>
      </c>
      <c r="B212" s="54" t="s">
        <v>1389</v>
      </c>
      <c r="C212" s="55" t="s">
        <v>1403</v>
      </c>
      <c r="D212" s="56">
        <v>2.0</v>
      </c>
      <c r="E212" s="57" t="s">
        <v>564</v>
      </c>
      <c r="F212" s="57" t="s">
        <v>562</v>
      </c>
      <c r="G212" s="58">
        <v>0.013773148148148149</v>
      </c>
    </row>
    <row r="213" ht="14.25" customHeight="1">
      <c r="A213" s="54" t="s">
        <v>1377</v>
      </c>
      <c r="B213" s="54" t="s">
        <v>1389</v>
      </c>
      <c r="C213" s="55" t="s">
        <v>1403</v>
      </c>
      <c r="D213" s="56">
        <v>2.0</v>
      </c>
      <c r="E213" s="57" t="s">
        <v>564</v>
      </c>
      <c r="F213" s="57" t="s">
        <v>565</v>
      </c>
      <c r="G213" s="58">
        <v>0.010543981481481482</v>
      </c>
    </row>
    <row r="214" ht="14.25" customHeight="1">
      <c r="A214" s="54" t="s">
        <v>1377</v>
      </c>
      <c r="B214" s="54" t="s">
        <v>1389</v>
      </c>
      <c r="C214" s="55" t="s">
        <v>1403</v>
      </c>
      <c r="D214" s="56">
        <v>2.0</v>
      </c>
      <c r="E214" s="57" t="s">
        <v>564</v>
      </c>
      <c r="F214" s="57" t="s">
        <v>567</v>
      </c>
      <c r="G214" s="58">
        <v>0.007581018518518518</v>
      </c>
    </row>
    <row r="215" ht="14.25" customHeight="1">
      <c r="A215" s="54" t="s">
        <v>1377</v>
      </c>
      <c r="B215" s="54" t="s">
        <v>1389</v>
      </c>
      <c r="C215" s="55" t="s">
        <v>1403</v>
      </c>
      <c r="D215" s="56">
        <v>2.0</v>
      </c>
      <c r="E215" s="57" t="s">
        <v>564</v>
      </c>
      <c r="F215" s="57" t="s">
        <v>569</v>
      </c>
      <c r="G215" s="58">
        <v>0.025347222222222222</v>
      </c>
    </row>
    <row r="216" ht="14.25" customHeight="1">
      <c r="A216" s="54" t="s">
        <v>1377</v>
      </c>
      <c r="B216" s="54" t="s">
        <v>1389</v>
      </c>
      <c r="C216" s="55" t="s">
        <v>1403</v>
      </c>
      <c r="D216" s="56">
        <v>2.0</v>
      </c>
      <c r="E216" s="57" t="s">
        <v>564</v>
      </c>
      <c r="F216" s="57" t="s">
        <v>571</v>
      </c>
      <c r="G216" s="58">
        <v>0.015810185185185184</v>
      </c>
    </row>
    <row r="217" ht="14.25" customHeight="1">
      <c r="A217" s="54" t="s">
        <v>1377</v>
      </c>
      <c r="B217" s="54" t="s">
        <v>1389</v>
      </c>
      <c r="C217" s="55" t="s">
        <v>1403</v>
      </c>
      <c r="D217" s="56">
        <v>2.0</v>
      </c>
      <c r="E217" s="57" t="s">
        <v>564</v>
      </c>
      <c r="F217" s="57" t="s">
        <v>1406</v>
      </c>
      <c r="G217" s="58">
        <v>0.013819444444444445</v>
      </c>
    </row>
    <row r="218" ht="14.25" customHeight="1">
      <c r="A218" s="54" t="s">
        <v>1377</v>
      </c>
      <c r="B218" s="54" t="s">
        <v>1389</v>
      </c>
      <c r="C218" s="55" t="s">
        <v>1403</v>
      </c>
      <c r="D218" s="56">
        <v>2.0</v>
      </c>
      <c r="E218" s="57" t="s">
        <v>564</v>
      </c>
      <c r="F218" s="57" t="s">
        <v>573</v>
      </c>
      <c r="G218" s="58">
        <v>0.007418981481481481</v>
      </c>
    </row>
    <row r="219" ht="14.25" customHeight="1">
      <c r="A219" s="54" t="s">
        <v>1377</v>
      </c>
      <c r="B219" s="54" t="s">
        <v>1389</v>
      </c>
      <c r="C219" s="55" t="s">
        <v>1407</v>
      </c>
      <c r="D219" s="56">
        <v>1.0</v>
      </c>
      <c r="E219" s="57" t="s">
        <v>577</v>
      </c>
      <c r="F219" s="57" t="s">
        <v>575</v>
      </c>
      <c r="G219" s="58">
        <v>0.011539351851851851</v>
      </c>
    </row>
    <row r="220" ht="14.25" customHeight="1">
      <c r="A220" s="54" t="s">
        <v>1377</v>
      </c>
      <c r="B220" s="54" t="s">
        <v>1389</v>
      </c>
      <c r="C220" s="55" t="s">
        <v>1407</v>
      </c>
      <c r="D220" s="56">
        <v>1.0</v>
      </c>
      <c r="E220" s="57" t="s">
        <v>577</v>
      </c>
      <c r="F220" s="57" t="s">
        <v>578</v>
      </c>
      <c r="G220" s="58">
        <v>0.015775462962962963</v>
      </c>
    </row>
    <row r="221" ht="14.25" customHeight="1">
      <c r="A221" s="54" t="s">
        <v>1377</v>
      </c>
      <c r="B221" s="54" t="s">
        <v>1389</v>
      </c>
      <c r="C221" s="55" t="s">
        <v>1407</v>
      </c>
      <c r="D221" s="56">
        <v>1.0</v>
      </c>
      <c r="E221" s="57" t="s">
        <v>577</v>
      </c>
      <c r="F221" s="57" t="s">
        <v>580</v>
      </c>
      <c r="G221" s="58">
        <v>0.0077314814814814815</v>
      </c>
    </row>
    <row r="222" ht="14.25" customHeight="1">
      <c r="A222" s="54" t="s">
        <v>1377</v>
      </c>
      <c r="B222" s="54" t="s">
        <v>1389</v>
      </c>
      <c r="C222" s="55" t="s">
        <v>1407</v>
      </c>
      <c r="D222" s="56">
        <v>1.0</v>
      </c>
      <c r="E222" s="57" t="s">
        <v>577</v>
      </c>
      <c r="F222" s="57" t="s">
        <v>1408</v>
      </c>
      <c r="G222" s="58">
        <v>0.012210648148148148</v>
      </c>
    </row>
    <row r="223" ht="14.25" customHeight="1">
      <c r="A223" s="54" t="s">
        <v>1377</v>
      </c>
      <c r="B223" s="54" t="s">
        <v>1389</v>
      </c>
      <c r="C223" s="55" t="s">
        <v>1407</v>
      </c>
      <c r="D223" s="56">
        <v>1.0</v>
      </c>
      <c r="E223" s="57" t="s">
        <v>577</v>
      </c>
      <c r="F223" s="57" t="s">
        <v>1409</v>
      </c>
      <c r="G223" s="58">
        <v>0.00986111111111111</v>
      </c>
    </row>
    <row r="224" ht="14.25" customHeight="1">
      <c r="A224" s="54" t="s">
        <v>1377</v>
      </c>
      <c r="B224" s="54" t="s">
        <v>1389</v>
      </c>
      <c r="C224" s="55" t="s">
        <v>1407</v>
      </c>
      <c r="D224" s="56">
        <v>1.0</v>
      </c>
      <c r="E224" s="57" t="s">
        <v>577</v>
      </c>
      <c r="F224" s="57" t="s">
        <v>582</v>
      </c>
      <c r="G224" s="58">
        <v>0.015069444444444444</v>
      </c>
    </row>
    <row r="225" ht="14.25" customHeight="1">
      <c r="A225" s="54" t="s">
        <v>1377</v>
      </c>
      <c r="B225" s="54" t="s">
        <v>1389</v>
      </c>
      <c r="C225" s="55" t="s">
        <v>1407</v>
      </c>
      <c r="D225" s="56">
        <v>1.0</v>
      </c>
      <c r="E225" s="57" t="s">
        <v>577</v>
      </c>
      <c r="F225" s="57" t="s">
        <v>584</v>
      </c>
      <c r="G225" s="58">
        <v>0.018657407407407407</v>
      </c>
    </row>
    <row r="226" ht="14.25" customHeight="1">
      <c r="A226" s="54" t="s">
        <v>1377</v>
      </c>
      <c r="B226" s="54" t="s">
        <v>1389</v>
      </c>
      <c r="C226" s="55" t="s">
        <v>1407</v>
      </c>
      <c r="D226" s="56">
        <v>1.0</v>
      </c>
      <c r="E226" s="57" t="s">
        <v>577</v>
      </c>
      <c r="F226" s="57" t="s">
        <v>586</v>
      </c>
      <c r="G226" s="58">
        <v>0.02</v>
      </c>
    </row>
    <row r="227" ht="14.25" customHeight="1">
      <c r="A227" s="54" t="s">
        <v>1377</v>
      </c>
      <c r="B227" s="54" t="s">
        <v>1389</v>
      </c>
      <c r="C227" s="55" t="s">
        <v>1407</v>
      </c>
      <c r="D227" s="56">
        <v>1.0</v>
      </c>
      <c r="E227" s="57" t="s">
        <v>577</v>
      </c>
      <c r="F227" s="57" t="s">
        <v>588</v>
      </c>
      <c r="G227" s="58">
        <v>0.01628472222222222</v>
      </c>
    </row>
    <row r="228" ht="14.25" customHeight="1">
      <c r="A228" s="54" t="s">
        <v>1377</v>
      </c>
      <c r="B228" s="54" t="s">
        <v>1389</v>
      </c>
      <c r="C228" s="55" t="s">
        <v>1407</v>
      </c>
      <c r="D228" s="56">
        <v>1.0</v>
      </c>
      <c r="E228" s="57" t="s">
        <v>577</v>
      </c>
      <c r="F228" s="57" t="s">
        <v>590</v>
      </c>
      <c r="G228" s="58">
        <v>0.018159722222222223</v>
      </c>
    </row>
    <row r="229" ht="14.25" customHeight="1">
      <c r="A229" s="54" t="s">
        <v>1377</v>
      </c>
      <c r="B229" s="54" t="s">
        <v>1389</v>
      </c>
      <c r="C229" s="55" t="s">
        <v>1407</v>
      </c>
      <c r="D229" s="56">
        <v>1.0</v>
      </c>
      <c r="E229" s="57" t="s">
        <v>577</v>
      </c>
      <c r="F229" s="57" t="s">
        <v>1410</v>
      </c>
      <c r="G229" s="58">
        <v>0.004502314814814815</v>
      </c>
    </row>
    <row r="230" ht="14.25" customHeight="1">
      <c r="A230" s="54" t="s">
        <v>1377</v>
      </c>
      <c r="B230" s="54" t="s">
        <v>1389</v>
      </c>
      <c r="C230" s="55" t="s">
        <v>1407</v>
      </c>
      <c r="D230" s="56">
        <v>1.0</v>
      </c>
      <c r="E230" s="57" t="s">
        <v>577</v>
      </c>
      <c r="F230" s="57" t="s">
        <v>592</v>
      </c>
      <c r="G230" s="58">
        <v>0.011689814814814814</v>
      </c>
    </row>
    <row r="231" ht="14.25" customHeight="1">
      <c r="A231" s="54" t="s">
        <v>1377</v>
      </c>
      <c r="B231" s="54" t="s">
        <v>1389</v>
      </c>
      <c r="C231" s="55" t="s">
        <v>1407</v>
      </c>
      <c r="D231" s="56">
        <v>1.0</v>
      </c>
      <c r="E231" s="57" t="s">
        <v>577</v>
      </c>
      <c r="F231" s="57" t="s">
        <v>594</v>
      </c>
      <c r="G231" s="58">
        <v>0.01511574074074074</v>
      </c>
    </row>
    <row r="232" ht="14.25" customHeight="1">
      <c r="A232" s="54" t="s">
        <v>1377</v>
      </c>
      <c r="B232" s="54" t="s">
        <v>1389</v>
      </c>
      <c r="C232" s="55" t="s">
        <v>1411</v>
      </c>
      <c r="D232" s="56">
        <v>1.0</v>
      </c>
      <c r="E232" s="57" t="s">
        <v>599</v>
      </c>
      <c r="F232" s="57" t="s">
        <v>596</v>
      </c>
      <c r="G232" s="58">
        <v>0.0013194444444444445</v>
      </c>
    </row>
    <row r="233" ht="14.25" customHeight="1">
      <c r="A233" s="54" t="s">
        <v>1377</v>
      </c>
      <c r="B233" s="54" t="s">
        <v>1389</v>
      </c>
      <c r="C233" s="55" t="s">
        <v>1411</v>
      </c>
      <c r="D233" s="56">
        <v>1.0</v>
      </c>
      <c r="E233" s="57" t="s">
        <v>599</v>
      </c>
      <c r="F233" s="57" t="s">
        <v>600</v>
      </c>
      <c r="G233" s="58">
        <v>0.0037847222222222223</v>
      </c>
    </row>
    <row r="234" ht="14.25" customHeight="1">
      <c r="A234" s="54" t="s">
        <v>1377</v>
      </c>
      <c r="B234" s="54" t="s">
        <v>1389</v>
      </c>
      <c r="C234" s="55" t="s">
        <v>1411</v>
      </c>
      <c r="D234" s="56">
        <v>1.0</v>
      </c>
      <c r="E234" s="57" t="s">
        <v>599</v>
      </c>
      <c r="F234" s="57" t="s">
        <v>602</v>
      </c>
      <c r="G234" s="58">
        <v>0.0040625</v>
      </c>
    </row>
    <row r="235" ht="14.25" customHeight="1">
      <c r="A235" s="54" t="s">
        <v>1377</v>
      </c>
      <c r="B235" s="54" t="s">
        <v>1389</v>
      </c>
      <c r="C235" s="55" t="s">
        <v>1411</v>
      </c>
      <c r="D235" s="56">
        <v>1.0</v>
      </c>
      <c r="E235" s="57" t="s">
        <v>599</v>
      </c>
      <c r="F235" s="57" t="s">
        <v>1412</v>
      </c>
      <c r="G235" s="58">
        <v>0.006724537037037037</v>
      </c>
    </row>
    <row r="236" ht="14.25" customHeight="1">
      <c r="A236" s="54" t="s">
        <v>1377</v>
      </c>
      <c r="B236" s="54" t="s">
        <v>1389</v>
      </c>
      <c r="C236" s="55" t="s">
        <v>1411</v>
      </c>
      <c r="D236" s="56">
        <v>1.0</v>
      </c>
      <c r="E236" s="57" t="s">
        <v>599</v>
      </c>
      <c r="F236" s="57" t="s">
        <v>604</v>
      </c>
      <c r="G236" s="58">
        <v>0.004409722222222222</v>
      </c>
    </row>
    <row r="237" ht="14.25" customHeight="1">
      <c r="A237" s="54" t="s">
        <v>1377</v>
      </c>
      <c r="B237" s="54" t="s">
        <v>1389</v>
      </c>
      <c r="C237" s="55" t="s">
        <v>1411</v>
      </c>
      <c r="D237" s="56">
        <v>1.0</v>
      </c>
      <c r="E237" s="57" t="s">
        <v>599</v>
      </c>
      <c r="F237" s="57" t="s">
        <v>606</v>
      </c>
      <c r="G237" s="58">
        <v>0.006805555555555555</v>
      </c>
    </row>
    <row r="238" ht="14.25" customHeight="1">
      <c r="A238" s="54" t="s">
        <v>1377</v>
      </c>
      <c r="B238" s="54" t="s">
        <v>1389</v>
      </c>
      <c r="C238" s="55" t="s">
        <v>1411</v>
      </c>
      <c r="D238" s="56">
        <v>2.0</v>
      </c>
      <c r="E238" s="57" t="s">
        <v>610</v>
      </c>
      <c r="F238" s="57" t="s">
        <v>608</v>
      </c>
      <c r="G238" s="58">
        <v>0.004085648148148148</v>
      </c>
    </row>
    <row r="239" ht="14.25" customHeight="1">
      <c r="A239" s="54" t="s">
        <v>1377</v>
      </c>
      <c r="B239" s="54" t="s">
        <v>1389</v>
      </c>
      <c r="C239" s="55" t="s">
        <v>1411</v>
      </c>
      <c r="D239" s="56">
        <v>2.0</v>
      </c>
      <c r="E239" s="57" t="s">
        <v>610</v>
      </c>
      <c r="F239" s="57" t="s">
        <v>611</v>
      </c>
      <c r="G239" s="58">
        <v>0.0029861111111111113</v>
      </c>
    </row>
    <row r="240" ht="14.25" customHeight="1">
      <c r="A240" s="54" t="s">
        <v>1377</v>
      </c>
      <c r="B240" s="54" t="s">
        <v>1389</v>
      </c>
      <c r="C240" s="55" t="s">
        <v>1411</v>
      </c>
      <c r="D240" s="56">
        <v>2.0</v>
      </c>
      <c r="E240" s="57" t="s">
        <v>610</v>
      </c>
      <c r="F240" s="57" t="s">
        <v>1413</v>
      </c>
      <c r="G240" s="58">
        <v>0.01597222222222222</v>
      </c>
    </row>
    <row r="241" ht="14.25" customHeight="1">
      <c r="A241" s="54" t="s">
        <v>1377</v>
      </c>
      <c r="B241" s="54" t="s">
        <v>1389</v>
      </c>
      <c r="C241" s="55" t="s">
        <v>1411</v>
      </c>
      <c r="D241" s="56">
        <v>2.0</v>
      </c>
      <c r="E241" s="57" t="s">
        <v>610</v>
      </c>
      <c r="F241" s="57" t="s">
        <v>613</v>
      </c>
      <c r="G241" s="58">
        <v>0.015590277777777778</v>
      </c>
    </row>
    <row r="242" ht="14.25" customHeight="1">
      <c r="A242" s="54" t="s">
        <v>1377</v>
      </c>
      <c r="B242" s="54" t="s">
        <v>1389</v>
      </c>
      <c r="C242" s="55" t="s">
        <v>1411</v>
      </c>
      <c r="D242" s="56">
        <v>2.0</v>
      </c>
      <c r="E242" s="57" t="s">
        <v>610</v>
      </c>
      <c r="F242" s="57" t="s">
        <v>615</v>
      </c>
      <c r="G242" s="58">
        <v>0.007592592592592593</v>
      </c>
    </row>
    <row r="243" ht="14.25" customHeight="1">
      <c r="A243" s="54" t="s">
        <v>1377</v>
      </c>
      <c r="B243" s="54" t="s">
        <v>1389</v>
      </c>
      <c r="C243" s="55" t="s">
        <v>1411</v>
      </c>
      <c r="D243" s="56">
        <v>3.0</v>
      </c>
      <c r="E243" s="57" t="s">
        <v>619</v>
      </c>
      <c r="F243" s="57" t="s">
        <v>617</v>
      </c>
      <c r="G243" s="58">
        <v>0.001238425925925926</v>
      </c>
    </row>
    <row r="244" ht="14.25" customHeight="1">
      <c r="A244" s="54" t="s">
        <v>1377</v>
      </c>
      <c r="B244" s="54" t="s">
        <v>1389</v>
      </c>
      <c r="C244" s="55" t="s">
        <v>1411</v>
      </c>
      <c r="D244" s="56">
        <v>3.0</v>
      </c>
      <c r="E244" s="57" t="s">
        <v>619</v>
      </c>
      <c r="F244" s="57" t="s">
        <v>1414</v>
      </c>
      <c r="G244" s="58">
        <v>0.006712962962962963</v>
      </c>
    </row>
    <row r="245" ht="14.25" customHeight="1">
      <c r="A245" s="54" t="s">
        <v>1377</v>
      </c>
      <c r="B245" s="54" t="s">
        <v>1389</v>
      </c>
      <c r="C245" s="55" t="s">
        <v>1411</v>
      </c>
      <c r="D245" s="56">
        <v>3.0</v>
      </c>
      <c r="E245" s="57" t="s">
        <v>619</v>
      </c>
      <c r="F245" s="57" t="s">
        <v>1415</v>
      </c>
      <c r="G245" s="58">
        <v>0.003993055555555555</v>
      </c>
    </row>
    <row r="246" ht="14.25" customHeight="1">
      <c r="A246" s="54" t="s">
        <v>1377</v>
      </c>
      <c r="B246" s="54" t="s">
        <v>1389</v>
      </c>
      <c r="C246" s="55" t="s">
        <v>1411</v>
      </c>
      <c r="D246" s="56">
        <v>3.0</v>
      </c>
      <c r="E246" s="57" t="s">
        <v>619</v>
      </c>
      <c r="F246" s="57" t="s">
        <v>1416</v>
      </c>
      <c r="G246" s="58">
        <v>0.01017361111111111</v>
      </c>
    </row>
    <row r="247" ht="14.25" customHeight="1">
      <c r="A247" s="54" t="s">
        <v>1377</v>
      </c>
      <c r="B247" s="54" t="s">
        <v>1389</v>
      </c>
      <c r="C247" s="55" t="s">
        <v>1411</v>
      </c>
      <c r="D247" s="56">
        <v>3.0</v>
      </c>
      <c r="E247" s="57" t="s">
        <v>619</v>
      </c>
      <c r="F247" s="57" t="s">
        <v>1417</v>
      </c>
      <c r="G247" s="58">
        <v>0.0037962962962962963</v>
      </c>
    </row>
    <row r="248" ht="14.25" customHeight="1">
      <c r="A248" s="54" t="s">
        <v>1377</v>
      </c>
      <c r="B248" s="54" t="s">
        <v>1389</v>
      </c>
      <c r="C248" s="55" t="s">
        <v>1411</v>
      </c>
      <c r="D248" s="56">
        <v>3.0</v>
      </c>
      <c r="E248" s="57" t="s">
        <v>619</v>
      </c>
      <c r="F248" s="57" t="s">
        <v>1418</v>
      </c>
      <c r="G248" s="58">
        <v>0.006076388888888889</v>
      </c>
    </row>
    <row r="249" ht="14.25" customHeight="1">
      <c r="A249" s="54" t="s">
        <v>1377</v>
      </c>
      <c r="B249" s="54" t="s">
        <v>1389</v>
      </c>
      <c r="C249" s="55" t="s">
        <v>1411</v>
      </c>
      <c r="D249" s="56">
        <v>3.0</v>
      </c>
      <c r="E249" s="57" t="s">
        <v>619</v>
      </c>
      <c r="F249" s="57" t="s">
        <v>1419</v>
      </c>
      <c r="G249" s="58">
        <v>0.008645833333333333</v>
      </c>
    </row>
    <row r="250" ht="14.25" customHeight="1">
      <c r="A250" s="54" t="s">
        <v>1377</v>
      </c>
      <c r="B250" s="54" t="s">
        <v>1389</v>
      </c>
      <c r="C250" s="55" t="s">
        <v>1411</v>
      </c>
      <c r="D250" s="56">
        <v>3.0</v>
      </c>
      <c r="E250" s="57" t="s">
        <v>619</v>
      </c>
      <c r="F250" s="57" t="s">
        <v>1420</v>
      </c>
      <c r="G250" s="58">
        <v>0.00542824074074074</v>
      </c>
    </row>
    <row r="251" ht="14.25" customHeight="1">
      <c r="A251" s="54" t="s">
        <v>1377</v>
      </c>
      <c r="B251" s="54" t="s">
        <v>1389</v>
      </c>
      <c r="C251" s="55" t="s">
        <v>1411</v>
      </c>
      <c r="D251" s="56">
        <v>3.0</v>
      </c>
      <c r="E251" s="57" t="s">
        <v>619</v>
      </c>
      <c r="F251" s="57" t="s">
        <v>1421</v>
      </c>
      <c r="G251" s="58">
        <v>0.011782407407407408</v>
      </c>
    </row>
    <row r="252" ht="14.25" customHeight="1">
      <c r="A252" s="54" t="s">
        <v>1377</v>
      </c>
      <c r="B252" s="54" t="s">
        <v>1389</v>
      </c>
      <c r="C252" s="55" t="s">
        <v>1411</v>
      </c>
      <c r="D252" s="56">
        <v>3.0</v>
      </c>
      <c r="E252" s="57" t="s">
        <v>619</v>
      </c>
      <c r="F252" s="57" t="s">
        <v>1422</v>
      </c>
      <c r="G252" s="58">
        <v>0.0022453703703703702</v>
      </c>
    </row>
    <row r="253" ht="14.25" customHeight="1">
      <c r="A253" s="54" t="s">
        <v>1377</v>
      </c>
      <c r="B253" s="54" t="s">
        <v>1389</v>
      </c>
      <c r="C253" s="55" t="s">
        <v>1411</v>
      </c>
      <c r="D253" s="56">
        <v>3.0</v>
      </c>
      <c r="E253" s="57" t="s">
        <v>619</v>
      </c>
      <c r="F253" s="57" t="s">
        <v>1423</v>
      </c>
      <c r="G253" s="58">
        <v>0.0067708333333333336</v>
      </c>
    </row>
    <row r="254" ht="14.25" customHeight="1">
      <c r="A254" s="54" t="s">
        <v>1377</v>
      </c>
      <c r="B254" s="54" t="s">
        <v>1389</v>
      </c>
      <c r="C254" s="57" t="s">
        <v>1424</v>
      </c>
      <c r="D254" s="56">
        <v>1.0</v>
      </c>
      <c r="E254" s="57" t="s">
        <v>1425</v>
      </c>
      <c r="F254" s="57" t="s">
        <v>1426</v>
      </c>
      <c r="G254" s="58">
        <v>0.006574074074074074</v>
      </c>
    </row>
    <row r="255" ht="14.25" customHeight="1">
      <c r="A255" s="54" t="s">
        <v>1377</v>
      </c>
      <c r="B255" s="54" t="s">
        <v>1389</v>
      </c>
      <c r="C255" s="57" t="s">
        <v>1424</v>
      </c>
      <c r="D255" s="56">
        <v>1.0</v>
      </c>
      <c r="E255" s="57" t="s">
        <v>1425</v>
      </c>
      <c r="F255" s="57" t="s">
        <v>1427</v>
      </c>
      <c r="G255" s="58">
        <v>0.002951388888888889</v>
      </c>
    </row>
    <row r="256" ht="14.25" customHeight="1">
      <c r="A256" s="54" t="s">
        <v>1377</v>
      </c>
      <c r="B256" s="54" t="s">
        <v>1389</v>
      </c>
      <c r="C256" s="57" t="s">
        <v>1424</v>
      </c>
      <c r="D256" s="56">
        <v>1.0</v>
      </c>
      <c r="E256" s="57" t="s">
        <v>1425</v>
      </c>
      <c r="F256" s="57" t="s">
        <v>1428</v>
      </c>
      <c r="G256" s="58">
        <v>0.010405092592592593</v>
      </c>
    </row>
    <row r="257" ht="14.25" customHeight="1">
      <c r="A257" s="54" t="s">
        <v>1377</v>
      </c>
      <c r="B257" s="54" t="s">
        <v>1389</v>
      </c>
      <c r="C257" s="57" t="s">
        <v>1424</v>
      </c>
      <c r="D257" s="56">
        <v>1.0</v>
      </c>
      <c r="E257" s="57" t="s">
        <v>1425</v>
      </c>
      <c r="F257" s="57" t="s">
        <v>1429</v>
      </c>
      <c r="G257" s="58">
        <v>0.018993055555555555</v>
      </c>
    </row>
    <row r="258" ht="14.25" customHeight="1">
      <c r="A258" s="54" t="s">
        <v>1377</v>
      </c>
      <c r="B258" s="54" t="s">
        <v>1389</v>
      </c>
      <c r="C258" s="57" t="s">
        <v>1424</v>
      </c>
      <c r="D258" s="56">
        <v>1.0</v>
      </c>
      <c r="E258" s="57" t="s">
        <v>1425</v>
      </c>
      <c r="F258" s="57" t="s">
        <v>1430</v>
      </c>
      <c r="G258" s="58">
        <v>0.0034837962962962965</v>
      </c>
    </row>
    <row r="259" ht="14.25" customHeight="1">
      <c r="A259" s="54" t="s">
        <v>1377</v>
      </c>
      <c r="B259" s="54" t="s">
        <v>1389</v>
      </c>
      <c r="C259" s="55" t="s">
        <v>1431</v>
      </c>
      <c r="D259" s="56">
        <v>1.0</v>
      </c>
      <c r="E259" s="57" t="s">
        <v>1432</v>
      </c>
      <c r="F259" s="57" t="s">
        <v>1433</v>
      </c>
      <c r="G259" s="58">
        <v>0.008472222222222223</v>
      </c>
    </row>
    <row r="260" ht="14.25" customHeight="1">
      <c r="A260" s="54" t="s">
        <v>1377</v>
      </c>
      <c r="B260" s="54" t="s">
        <v>1389</v>
      </c>
      <c r="C260" s="55" t="s">
        <v>1431</v>
      </c>
      <c r="D260" s="56">
        <v>1.0</v>
      </c>
      <c r="E260" s="57" t="s">
        <v>1432</v>
      </c>
      <c r="F260" s="57" t="s">
        <v>1434</v>
      </c>
      <c r="G260" s="58">
        <v>0.001875</v>
      </c>
    </row>
    <row r="261" ht="14.25" customHeight="1">
      <c r="A261" s="54" t="s">
        <v>1377</v>
      </c>
      <c r="B261" s="54" t="s">
        <v>1389</v>
      </c>
      <c r="C261" s="55" t="s">
        <v>1431</v>
      </c>
      <c r="D261" s="56">
        <v>1.0</v>
      </c>
      <c r="E261" s="57" t="s">
        <v>1432</v>
      </c>
      <c r="F261" s="57" t="s">
        <v>1435</v>
      </c>
      <c r="G261" s="58">
        <v>0.0010763888888888889</v>
      </c>
    </row>
    <row r="262" ht="14.25" customHeight="1">
      <c r="A262" s="54" t="s">
        <v>1377</v>
      </c>
      <c r="B262" s="54" t="s">
        <v>1389</v>
      </c>
      <c r="C262" s="55" t="s">
        <v>1431</v>
      </c>
      <c r="D262" s="56">
        <v>1.0</v>
      </c>
      <c r="E262" s="57" t="s">
        <v>1432</v>
      </c>
      <c r="F262" s="57" t="s">
        <v>1436</v>
      </c>
      <c r="G262" s="58">
        <v>0.0014351851851851852</v>
      </c>
    </row>
    <row r="263" ht="14.25" customHeight="1">
      <c r="A263" s="54" t="s">
        <v>1377</v>
      </c>
      <c r="B263" s="54" t="s">
        <v>1389</v>
      </c>
      <c r="C263" s="55" t="s">
        <v>1431</v>
      </c>
      <c r="D263" s="56">
        <v>2.0</v>
      </c>
      <c r="E263" s="57" t="s">
        <v>1437</v>
      </c>
      <c r="F263" s="57" t="s">
        <v>1438</v>
      </c>
      <c r="G263" s="58">
        <v>0.0018287037037037037</v>
      </c>
    </row>
    <row r="264" ht="14.25" customHeight="1">
      <c r="A264" s="54" t="s">
        <v>1377</v>
      </c>
      <c r="B264" s="54" t="s">
        <v>1389</v>
      </c>
      <c r="C264" s="55" t="s">
        <v>1431</v>
      </c>
      <c r="D264" s="56">
        <v>2.0</v>
      </c>
      <c r="E264" s="57" t="s">
        <v>1437</v>
      </c>
      <c r="F264" s="57" t="s">
        <v>1439</v>
      </c>
      <c r="G264" s="58">
        <v>0.0033333333333333335</v>
      </c>
    </row>
    <row r="265" ht="14.25" customHeight="1">
      <c r="A265" s="54" t="s">
        <v>1377</v>
      </c>
      <c r="B265" s="54" t="s">
        <v>1389</v>
      </c>
      <c r="C265" s="55" t="s">
        <v>1431</v>
      </c>
      <c r="D265" s="56">
        <v>2.0</v>
      </c>
      <c r="E265" s="57" t="s">
        <v>1437</v>
      </c>
      <c r="F265" s="57" t="s">
        <v>1440</v>
      </c>
      <c r="G265" s="58">
        <v>0.00568287037037037</v>
      </c>
    </row>
    <row r="266" ht="14.25" customHeight="1">
      <c r="A266" s="54" t="s">
        <v>1377</v>
      </c>
      <c r="B266" s="54" t="s">
        <v>1389</v>
      </c>
      <c r="C266" s="55" t="s">
        <v>1431</v>
      </c>
      <c r="D266" s="56">
        <v>2.0</v>
      </c>
      <c r="E266" s="57" t="s">
        <v>1437</v>
      </c>
      <c r="F266" s="57" t="s">
        <v>1441</v>
      </c>
      <c r="G266" s="58">
        <v>0.0016666666666666668</v>
      </c>
    </row>
    <row r="267" ht="14.25" customHeight="1">
      <c r="A267" s="54" t="s">
        <v>1377</v>
      </c>
      <c r="B267" s="54" t="s">
        <v>1389</v>
      </c>
      <c r="C267" s="55" t="s">
        <v>1431</v>
      </c>
      <c r="D267" s="56">
        <v>2.0</v>
      </c>
      <c r="E267" s="57" t="s">
        <v>1437</v>
      </c>
      <c r="F267" s="57" t="s">
        <v>1442</v>
      </c>
      <c r="G267" s="58">
        <v>0.005983796296296296</v>
      </c>
    </row>
    <row r="268" ht="14.25" customHeight="1">
      <c r="A268" s="54" t="s">
        <v>1377</v>
      </c>
      <c r="B268" s="54" t="s">
        <v>1389</v>
      </c>
      <c r="C268" s="55" t="s">
        <v>1431</v>
      </c>
      <c r="D268" s="56">
        <v>3.0</v>
      </c>
      <c r="E268" s="57" t="s">
        <v>1443</v>
      </c>
      <c r="F268" s="57" t="s">
        <v>1444</v>
      </c>
      <c r="G268" s="58">
        <v>0.003923611111111111</v>
      </c>
    </row>
    <row r="269" ht="14.25" customHeight="1">
      <c r="A269" s="54" t="s">
        <v>1377</v>
      </c>
      <c r="B269" s="54" t="s">
        <v>1389</v>
      </c>
      <c r="C269" s="55" t="s">
        <v>1431</v>
      </c>
      <c r="D269" s="56">
        <v>3.0</v>
      </c>
      <c r="E269" s="57" t="s">
        <v>1443</v>
      </c>
      <c r="F269" s="57" t="s">
        <v>1445</v>
      </c>
      <c r="G269" s="58">
        <v>0.0013425925925925925</v>
      </c>
    </row>
    <row r="270" ht="14.25" customHeight="1">
      <c r="A270" s="54" t="s">
        <v>1377</v>
      </c>
      <c r="B270" s="54" t="s">
        <v>1389</v>
      </c>
      <c r="C270" s="55" t="s">
        <v>1431</v>
      </c>
      <c r="D270" s="56">
        <v>3.0</v>
      </c>
      <c r="E270" s="57" t="s">
        <v>1443</v>
      </c>
      <c r="F270" s="57" t="s">
        <v>1446</v>
      </c>
      <c r="G270" s="58">
        <v>0.003425925925925926</v>
      </c>
    </row>
    <row r="271" ht="14.25" customHeight="1">
      <c r="A271" s="54" t="s">
        <v>1377</v>
      </c>
      <c r="B271" s="54" t="s">
        <v>1389</v>
      </c>
      <c r="C271" s="55" t="s">
        <v>1431</v>
      </c>
      <c r="D271" s="56">
        <v>4.0</v>
      </c>
      <c r="E271" s="57" t="s">
        <v>1447</v>
      </c>
      <c r="F271" s="57" t="s">
        <v>1448</v>
      </c>
      <c r="G271" s="58">
        <v>0.006840277777777778</v>
      </c>
    </row>
    <row r="272" ht="14.25" customHeight="1">
      <c r="A272" s="54" t="s">
        <v>1377</v>
      </c>
      <c r="B272" s="54" t="s">
        <v>1389</v>
      </c>
      <c r="C272" s="55" t="s">
        <v>1431</v>
      </c>
      <c r="D272" s="56">
        <v>4.0</v>
      </c>
      <c r="E272" s="57" t="s">
        <v>1447</v>
      </c>
      <c r="F272" s="57" t="s">
        <v>1449</v>
      </c>
      <c r="G272" s="58">
        <v>0.004583333333333333</v>
      </c>
    </row>
    <row r="273" ht="14.25" customHeight="1">
      <c r="A273" s="54" t="s">
        <v>1377</v>
      </c>
      <c r="B273" s="54" t="s">
        <v>1389</v>
      </c>
      <c r="C273" s="55" t="s">
        <v>1431</v>
      </c>
      <c r="D273" s="56">
        <v>4.0</v>
      </c>
      <c r="E273" s="57" t="s">
        <v>1447</v>
      </c>
      <c r="F273" s="57" t="s">
        <v>1450</v>
      </c>
      <c r="G273" s="58">
        <v>0.0020949074074074073</v>
      </c>
    </row>
    <row r="274" ht="14.25" customHeight="1">
      <c r="A274" s="54" t="s">
        <v>1377</v>
      </c>
      <c r="B274" s="54" t="s">
        <v>1389</v>
      </c>
      <c r="C274" s="55" t="s">
        <v>1431</v>
      </c>
      <c r="D274" s="56">
        <v>5.0</v>
      </c>
      <c r="E274" s="57" t="s">
        <v>1451</v>
      </c>
      <c r="F274" s="57" t="s">
        <v>1452</v>
      </c>
      <c r="G274" s="58"/>
    </row>
    <row r="275" ht="14.25" customHeight="1">
      <c r="A275" s="54" t="s">
        <v>1377</v>
      </c>
      <c r="B275" s="54" t="s">
        <v>1389</v>
      </c>
      <c r="C275" s="55" t="s">
        <v>1431</v>
      </c>
      <c r="D275" s="56">
        <v>5.0</v>
      </c>
      <c r="E275" s="57" t="s">
        <v>1451</v>
      </c>
      <c r="F275" s="57" t="s">
        <v>1453</v>
      </c>
      <c r="G275" s="58"/>
    </row>
    <row r="276" ht="14.25" customHeight="1">
      <c r="A276" s="54" t="s">
        <v>1377</v>
      </c>
      <c r="B276" s="54" t="s">
        <v>1389</v>
      </c>
      <c r="C276" s="55" t="s">
        <v>1431</v>
      </c>
      <c r="D276" s="56">
        <v>5.0</v>
      </c>
      <c r="E276" s="57" t="s">
        <v>1451</v>
      </c>
      <c r="F276" s="57" t="s">
        <v>1454</v>
      </c>
      <c r="G276" s="58"/>
    </row>
    <row r="277" ht="14.25" customHeight="1">
      <c r="A277" s="54" t="s">
        <v>1377</v>
      </c>
      <c r="B277" s="54" t="s">
        <v>1389</v>
      </c>
      <c r="C277" s="55" t="s">
        <v>1431</v>
      </c>
      <c r="D277" s="56">
        <v>5.0</v>
      </c>
      <c r="E277" s="57" t="s">
        <v>1451</v>
      </c>
      <c r="F277" s="57" t="s">
        <v>1455</v>
      </c>
      <c r="G277" s="58"/>
    </row>
    <row r="278" ht="14.25" customHeight="1">
      <c r="A278" s="54" t="s">
        <v>1377</v>
      </c>
      <c r="B278" s="54" t="s">
        <v>1389</v>
      </c>
      <c r="C278" s="55" t="s">
        <v>1431</v>
      </c>
      <c r="D278" s="56">
        <v>5.0</v>
      </c>
      <c r="E278" s="57" t="s">
        <v>1451</v>
      </c>
      <c r="F278" s="57" t="s">
        <v>1456</v>
      </c>
      <c r="G278" s="58"/>
    </row>
    <row r="279" ht="14.25" customHeight="1">
      <c r="A279" s="54" t="s">
        <v>1377</v>
      </c>
      <c r="B279" s="54" t="s">
        <v>1389</v>
      </c>
      <c r="C279" s="55" t="s">
        <v>1431</v>
      </c>
      <c r="D279" s="56">
        <v>5.0</v>
      </c>
      <c r="E279" s="57" t="s">
        <v>1451</v>
      </c>
      <c r="F279" s="57" t="s">
        <v>1457</v>
      </c>
      <c r="G279" s="58"/>
    </row>
    <row r="280" ht="14.25" customHeight="1">
      <c r="A280" s="54" t="s">
        <v>1377</v>
      </c>
      <c r="B280" s="54" t="s">
        <v>1389</v>
      </c>
      <c r="C280" s="55" t="s">
        <v>1431</v>
      </c>
      <c r="D280" s="56">
        <v>5.0</v>
      </c>
      <c r="E280" s="57" t="s">
        <v>1451</v>
      </c>
      <c r="F280" s="57" t="s">
        <v>1458</v>
      </c>
      <c r="G280" s="58"/>
    </row>
    <row r="281" ht="14.25" customHeight="1">
      <c r="A281" s="54" t="s">
        <v>1377</v>
      </c>
      <c r="B281" s="54" t="s">
        <v>1389</v>
      </c>
      <c r="C281" s="55" t="s">
        <v>1431</v>
      </c>
      <c r="D281" s="56">
        <v>5.0</v>
      </c>
      <c r="E281" s="57" t="s">
        <v>1451</v>
      </c>
      <c r="F281" s="57" t="s">
        <v>1459</v>
      </c>
      <c r="G281" s="58"/>
    </row>
    <row r="282" ht="14.25" customHeight="1">
      <c r="A282" s="54" t="s">
        <v>1377</v>
      </c>
      <c r="B282" s="54" t="s">
        <v>1389</v>
      </c>
      <c r="C282" s="55" t="s">
        <v>1431</v>
      </c>
      <c r="D282" s="56">
        <v>5.0</v>
      </c>
      <c r="E282" s="57" t="s">
        <v>1451</v>
      </c>
      <c r="F282" s="57" t="s">
        <v>1460</v>
      </c>
      <c r="G282" s="58"/>
    </row>
    <row r="283" ht="14.25" customHeight="1">
      <c r="A283" s="54" t="s">
        <v>1377</v>
      </c>
      <c r="B283" s="54" t="s">
        <v>1389</v>
      </c>
      <c r="C283" s="55" t="s">
        <v>1431</v>
      </c>
      <c r="D283" s="56">
        <v>5.0</v>
      </c>
      <c r="E283" s="57" t="s">
        <v>1451</v>
      </c>
      <c r="F283" s="57" t="s">
        <v>1461</v>
      </c>
      <c r="G283" s="58"/>
    </row>
    <row r="284" ht="14.25" customHeight="1">
      <c r="A284" s="54" t="s">
        <v>1377</v>
      </c>
      <c r="B284" s="54" t="s">
        <v>1389</v>
      </c>
      <c r="C284" s="55" t="s">
        <v>1431</v>
      </c>
      <c r="D284" s="56">
        <v>5.0</v>
      </c>
      <c r="E284" s="57" t="s">
        <v>1451</v>
      </c>
      <c r="F284" s="57" t="s">
        <v>1462</v>
      </c>
      <c r="G284" s="58"/>
    </row>
    <row r="285" ht="14.25" customHeight="1">
      <c r="A285" s="54" t="s">
        <v>1377</v>
      </c>
      <c r="B285" s="54" t="s">
        <v>1389</v>
      </c>
      <c r="C285" s="55" t="s">
        <v>1431</v>
      </c>
      <c r="D285" s="56">
        <v>5.0</v>
      </c>
      <c r="E285" s="57" t="s">
        <v>1451</v>
      </c>
      <c r="F285" s="57" t="s">
        <v>1463</v>
      </c>
      <c r="G285" s="58"/>
    </row>
    <row r="286" ht="14.25" customHeight="1">
      <c r="A286" s="54" t="s">
        <v>1377</v>
      </c>
      <c r="B286" s="54" t="s">
        <v>1389</v>
      </c>
      <c r="C286" s="55" t="s">
        <v>1431</v>
      </c>
      <c r="D286" s="56">
        <v>5.0</v>
      </c>
      <c r="E286" s="57" t="s">
        <v>1451</v>
      </c>
      <c r="F286" s="57" t="s">
        <v>1464</v>
      </c>
      <c r="G286" s="58"/>
    </row>
    <row r="287" ht="14.25" customHeight="1">
      <c r="A287" s="54" t="s">
        <v>1377</v>
      </c>
      <c r="B287" s="54" t="s">
        <v>1389</v>
      </c>
      <c r="C287" s="55" t="s">
        <v>1431</v>
      </c>
      <c r="D287" s="56">
        <v>5.0</v>
      </c>
      <c r="E287" s="57" t="s">
        <v>1451</v>
      </c>
      <c r="F287" s="57" t="s">
        <v>1465</v>
      </c>
      <c r="G287" s="58"/>
    </row>
  </sheetData>
  <conditionalFormatting sqref="F2:F287">
    <cfRule type="containsText" dxfId="0" priority="1" stopIfTrue="1" operator="containsText" text="Lab -">
      <formula>NOT(ISERROR(SEARCH(("Lab -"),(F2))))</formula>
    </cfRule>
  </conditionalFormatting>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1.22" defaultRowHeight="15.0"/>
  <cols>
    <col customWidth="1" min="1" max="1" width="21.78"/>
    <col customWidth="1" min="2" max="2" width="7.33"/>
    <col customWidth="1" min="3" max="3" width="47.44"/>
    <col customWidth="1" min="4" max="4" width="32.33"/>
    <col customWidth="1" min="5" max="5" width="7.44"/>
  </cols>
  <sheetData>
    <row r="1">
      <c r="A1" s="105" t="s">
        <v>1356</v>
      </c>
      <c r="B1" s="105" t="s">
        <v>1357</v>
      </c>
      <c r="C1" s="105" t="s">
        <v>13</v>
      </c>
      <c r="D1" s="105" t="s">
        <v>1359</v>
      </c>
      <c r="E1" s="105" t="s">
        <v>1360</v>
      </c>
    </row>
    <row r="2">
      <c r="A2" s="90" t="s">
        <v>1574</v>
      </c>
      <c r="B2" s="90">
        <v>1.0</v>
      </c>
      <c r="C2" s="90" t="s">
        <v>1575</v>
      </c>
      <c r="D2" s="90" t="s">
        <v>1576</v>
      </c>
      <c r="E2" s="92">
        <v>0.006793981481481482</v>
      </c>
    </row>
    <row r="3">
      <c r="A3" s="90" t="s">
        <v>1574</v>
      </c>
      <c r="B3" s="90">
        <v>1.0</v>
      </c>
      <c r="C3" s="90" t="s">
        <v>1575</v>
      </c>
      <c r="D3" s="90" t="s">
        <v>1577</v>
      </c>
      <c r="E3" s="92">
        <v>0.006550925925925926</v>
      </c>
    </row>
    <row r="4">
      <c r="A4" s="90" t="s">
        <v>1574</v>
      </c>
      <c r="B4" s="90">
        <v>1.0</v>
      </c>
      <c r="C4" s="90" t="s">
        <v>1575</v>
      </c>
      <c r="D4" s="90" t="s">
        <v>1578</v>
      </c>
      <c r="E4" s="92">
        <v>0.005694444444444445</v>
      </c>
    </row>
    <row r="5">
      <c r="A5" s="90" t="s">
        <v>1574</v>
      </c>
      <c r="B5" s="90">
        <v>1.0</v>
      </c>
      <c r="C5" s="90" t="s">
        <v>1575</v>
      </c>
      <c r="D5" s="90" t="s">
        <v>1579</v>
      </c>
      <c r="E5" s="92">
        <v>0.005983796296296296</v>
      </c>
    </row>
    <row r="6">
      <c r="A6" s="90" t="s">
        <v>1574</v>
      </c>
      <c r="B6" s="90">
        <v>1.0</v>
      </c>
      <c r="C6" s="90" t="s">
        <v>1575</v>
      </c>
      <c r="D6" s="90" t="s">
        <v>1580</v>
      </c>
      <c r="E6" s="92">
        <v>0.006006944444444444</v>
      </c>
    </row>
    <row r="7">
      <c r="A7" s="90" t="s">
        <v>1574</v>
      </c>
      <c r="B7" s="90">
        <v>1.0</v>
      </c>
      <c r="C7" s="90" t="s">
        <v>1575</v>
      </c>
      <c r="D7" s="90" t="s">
        <v>1581</v>
      </c>
      <c r="E7" s="92">
        <v>0.008148148148148147</v>
      </c>
    </row>
    <row r="8">
      <c r="A8" s="90" t="s">
        <v>1574</v>
      </c>
      <c r="B8" s="90">
        <v>1.0</v>
      </c>
      <c r="C8" s="90" t="s">
        <v>1575</v>
      </c>
      <c r="D8" s="90" t="s">
        <v>1582</v>
      </c>
      <c r="E8" s="92">
        <v>0.005648148148148148</v>
      </c>
    </row>
    <row r="9">
      <c r="A9" s="90" t="s">
        <v>1574</v>
      </c>
      <c r="B9" s="90">
        <v>1.0</v>
      </c>
      <c r="C9" s="90" t="s">
        <v>1575</v>
      </c>
      <c r="D9" s="90" t="s">
        <v>1583</v>
      </c>
      <c r="E9" s="92">
        <v>0.0052662037037037035</v>
      </c>
    </row>
    <row r="10">
      <c r="A10" s="90" t="s">
        <v>1574</v>
      </c>
      <c r="B10" s="90">
        <v>1.0</v>
      </c>
      <c r="C10" s="90" t="s">
        <v>1575</v>
      </c>
      <c r="D10" s="90" t="s">
        <v>1584</v>
      </c>
      <c r="E10" s="92">
        <v>0.005231481481481481</v>
      </c>
    </row>
    <row r="11">
      <c r="A11" s="90" t="s">
        <v>1585</v>
      </c>
      <c r="B11" s="90">
        <v>1.0</v>
      </c>
      <c r="C11" s="90" t="s">
        <v>1585</v>
      </c>
      <c r="D11" s="90" t="s">
        <v>1586</v>
      </c>
      <c r="E11" s="92">
        <v>0.005763888888888889</v>
      </c>
    </row>
    <row r="12">
      <c r="A12" s="90" t="s">
        <v>1585</v>
      </c>
      <c r="B12" s="90">
        <v>1.0</v>
      </c>
      <c r="C12" s="90" t="s">
        <v>1585</v>
      </c>
      <c r="D12" s="90" t="s">
        <v>1587</v>
      </c>
      <c r="E12" s="92">
        <v>0.006006944444444444</v>
      </c>
    </row>
    <row r="13">
      <c r="A13" s="90" t="s">
        <v>1585</v>
      </c>
      <c r="B13" s="90">
        <v>1.0</v>
      </c>
      <c r="C13" s="90" t="s">
        <v>1585</v>
      </c>
      <c r="D13" s="90" t="s">
        <v>1588</v>
      </c>
      <c r="E13" s="92">
        <v>0.005497685185185185</v>
      </c>
    </row>
    <row r="14">
      <c r="A14" s="90" t="s">
        <v>1585</v>
      </c>
      <c r="B14" s="90">
        <v>1.0</v>
      </c>
      <c r="C14" s="90" t="s">
        <v>1585</v>
      </c>
      <c r="D14" s="90" t="s">
        <v>1589</v>
      </c>
      <c r="E14" s="92">
        <v>0.005474537037037037</v>
      </c>
    </row>
    <row r="15">
      <c r="A15" s="90" t="s">
        <v>1590</v>
      </c>
      <c r="B15" s="90">
        <v>1.0</v>
      </c>
      <c r="C15" s="90" t="s">
        <v>1591</v>
      </c>
      <c r="D15" s="90" t="s">
        <v>1592</v>
      </c>
      <c r="E15" s="92">
        <v>0.007476851851851852</v>
      </c>
    </row>
    <row r="16">
      <c r="A16" s="90" t="s">
        <v>1590</v>
      </c>
      <c r="B16" s="90">
        <v>2.0</v>
      </c>
      <c r="C16" s="90" t="s">
        <v>1593</v>
      </c>
      <c r="D16" s="90" t="s">
        <v>1594</v>
      </c>
      <c r="E16" s="92">
        <v>0.005925925925925926</v>
      </c>
    </row>
    <row r="17">
      <c r="A17" s="90" t="s">
        <v>1590</v>
      </c>
      <c r="B17" s="90">
        <v>2.0</v>
      </c>
      <c r="C17" s="90" t="s">
        <v>1593</v>
      </c>
      <c r="D17" s="90" t="s">
        <v>1595</v>
      </c>
      <c r="E17" s="92">
        <v>0.006435185185185185</v>
      </c>
    </row>
    <row r="18">
      <c r="A18" s="90" t="s">
        <v>1590</v>
      </c>
      <c r="B18" s="90">
        <v>3.0</v>
      </c>
      <c r="C18" s="90" t="s">
        <v>1596</v>
      </c>
      <c r="D18" s="90" t="s">
        <v>1597</v>
      </c>
      <c r="E18" s="92">
        <v>0.0051967592592592595</v>
      </c>
    </row>
    <row r="19">
      <c r="A19" s="90" t="s">
        <v>1590</v>
      </c>
      <c r="B19" s="90">
        <v>3.0</v>
      </c>
      <c r="C19" s="90" t="s">
        <v>1596</v>
      </c>
      <c r="D19" s="90" t="s">
        <v>1598</v>
      </c>
      <c r="E19" s="92">
        <v>0.006122685185185185</v>
      </c>
    </row>
    <row r="20">
      <c r="A20" s="90" t="s">
        <v>1590</v>
      </c>
      <c r="B20" s="90">
        <v>4.0</v>
      </c>
      <c r="C20" s="90" t="s">
        <v>1599</v>
      </c>
      <c r="D20" s="90" t="s">
        <v>1600</v>
      </c>
      <c r="E20" s="92">
        <v>0.005011574074074074</v>
      </c>
    </row>
    <row r="21">
      <c r="A21" s="90" t="s">
        <v>1590</v>
      </c>
      <c r="B21" s="90">
        <v>5.0</v>
      </c>
      <c r="C21" s="90" t="s">
        <v>1601</v>
      </c>
      <c r="D21" s="90" t="s">
        <v>1602</v>
      </c>
      <c r="E21" s="92">
        <v>0.00537037037037037</v>
      </c>
    </row>
    <row r="22">
      <c r="A22" s="90" t="s">
        <v>1590</v>
      </c>
      <c r="B22" s="90">
        <v>5.0</v>
      </c>
      <c r="C22" s="90" t="s">
        <v>1601</v>
      </c>
      <c r="D22" s="90" t="s">
        <v>1603</v>
      </c>
      <c r="E22" s="92">
        <v>0.004872685185185185</v>
      </c>
    </row>
    <row r="23">
      <c r="A23" s="90" t="s">
        <v>1604</v>
      </c>
      <c r="B23" s="90">
        <v>1.0</v>
      </c>
      <c r="C23" s="90" t="s">
        <v>1575</v>
      </c>
      <c r="D23" s="90" t="s">
        <v>1605</v>
      </c>
      <c r="E23" s="92">
        <v>0.007395833333333333</v>
      </c>
    </row>
    <row r="24">
      <c r="A24" s="90" t="s">
        <v>1604</v>
      </c>
      <c r="B24" s="90">
        <v>1.0</v>
      </c>
      <c r="C24" s="90" t="s">
        <v>1575</v>
      </c>
      <c r="D24" s="90" t="s">
        <v>1606</v>
      </c>
      <c r="E24" s="92">
        <v>0.005810185185185186</v>
      </c>
    </row>
    <row r="25">
      <c r="A25" s="90" t="s">
        <v>1604</v>
      </c>
      <c r="B25" s="90">
        <v>2.0</v>
      </c>
      <c r="C25" s="90" t="s">
        <v>1607</v>
      </c>
      <c r="D25" s="90" t="s">
        <v>1608</v>
      </c>
      <c r="E25" s="92">
        <v>0.00900462962962963</v>
      </c>
    </row>
    <row r="26">
      <c r="A26" s="90" t="s">
        <v>1604</v>
      </c>
      <c r="B26" s="90">
        <v>3.0</v>
      </c>
      <c r="C26" s="90" t="s">
        <v>1609</v>
      </c>
      <c r="D26" s="90" t="s">
        <v>1610</v>
      </c>
      <c r="E26" s="92">
        <v>0.006168981481481482</v>
      </c>
    </row>
    <row r="27">
      <c r="A27" s="90" t="s">
        <v>1604</v>
      </c>
      <c r="B27" s="90">
        <v>3.0</v>
      </c>
      <c r="C27" s="90" t="s">
        <v>1609</v>
      </c>
      <c r="D27" s="90" t="s">
        <v>1611</v>
      </c>
      <c r="E27" s="92">
        <v>0.006331018518518519</v>
      </c>
    </row>
    <row r="28">
      <c r="A28" s="90" t="s">
        <v>1604</v>
      </c>
      <c r="B28" s="90">
        <v>3.0</v>
      </c>
      <c r="C28" s="90" t="s">
        <v>1609</v>
      </c>
      <c r="D28" s="90" t="s">
        <v>1612</v>
      </c>
      <c r="E28" s="92">
        <v>0.006666666666666667</v>
      </c>
    </row>
    <row r="29">
      <c r="A29" s="90" t="s">
        <v>1604</v>
      </c>
      <c r="B29" s="90">
        <v>3.0</v>
      </c>
      <c r="C29" s="90" t="s">
        <v>1609</v>
      </c>
      <c r="D29" s="90" t="s">
        <v>1613</v>
      </c>
      <c r="E29" s="92">
        <v>0.006527777777777778</v>
      </c>
    </row>
    <row r="30">
      <c r="A30" s="90" t="s">
        <v>1604</v>
      </c>
      <c r="B30" s="90">
        <v>4.0</v>
      </c>
      <c r="C30" s="90" t="s">
        <v>1614</v>
      </c>
      <c r="D30" s="90" t="s">
        <v>1615</v>
      </c>
      <c r="E30" s="92">
        <v>0.0077083333333333335</v>
      </c>
    </row>
    <row r="31">
      <c r="A31" s="90" t="s">
        <v>1604</v>
      </c>
      <c r="B31" s="90">
        <v>4.0</v>
      </c>
      <c r="C31" s="90" t="s">
        <v>1614</v>
      </c>
      <c r="D31" s="90" t="s">
        <v>1616</v>
      </c>
      <c r="E31" s="92">
        <v>0.006284722222222222</v>
      </c>
    </row>
    <row r="32">
      <c r="A32" s="90" t="s">
        <v>1604</v>
      </c>
      <c r="B32" s="90">
        <v>4.0</v>
      </c>
      <c r="C32" s="90" t="s">
        <v>1614</v>
      </c>
      <c r="D32" s="90" t="s">
        <v>1617</v>
      </c>
      <c r="E32" s="92">
        <v>0.00537037037037037</v>
      </c>
    </row>
    <row r="33">
      <c r="A33" s="90" t="s">
        <v>1604</v>
      </c>
      <c r="B33" s="90">
        <v>4.0</v>
      </c>
      <c r="C33" s="90" t="s">
        <v>1614</v>
      </c>
      <c r="D33" s="90" t="s">
        <v>1618</v>
      </c>
      <c r="E33" s="92">
        <v>0.006574074074074074</v>
      </c>
    </row>
    <row r="34">
      <c r="A34" s="90" t="s">
        <v>1604</v>
      </c>
      <c r="B34" s="90">
        <v>4.0</v>
      </c>
      <c r="C34" s="90" t="s">
        <v>1614</v>
      </c>
      <c r="D34" s="90" t="s">
        <v>1619</v>
      </c>
      <c r="E34" s="92">
        <v>0.00712962962962963</v>
      </c>
    </row>
    <row r="35">
      <c r="A35" s="90" t="s">
        <v>1604</v>
      </c>
      <c r="B35" s="90">
        <v>5.0</v>
      </c>
      <c r="C35" s="90" t="s">
        <v>1620</v>
      </c>
      <c r="D35" s="90" t="s">
        <v>1621</v>
      </c>
      <c r="E35" s="92">
        <v>0.006215277777777778</v>
      </c>
    </row>
    <row r="36">
      <c r="A36" s="90" t="s">
        <v>1604</v>
      </c>
      <c r="B36" s="90">
        <v>6.0</v>
      </c>
      <c r="C36" s="90" t="s">
        <v>1622</v>
      </c>
      <c r="D36" s="90" t="s">
        <v>1623</v>
      </c>
      <c r="E36" s="92">
        <v>0.006215277777777778</v>
      </c>
    </row>
    <row r="37">
      <c r="A37" s="90" t="s">
        <v>1624</v>
      </c>
      <c r="B37" s="90">
        <v>1.0</v>
      </c>
      <c r="C37" s="90" t="s">
        <v>1624</v>
      </c>
      <c r="D37" s="90" t="s">
        <v>1625</v>
      </c>
      <c r="E37" s="92">
        <v>0.0060416666666666665</v>
      </c>
    </row>
    <row r="38">
      <c r="A38" s="90" t="s">
        <v>1624</v>
      </c>
      <c r="B38" s="90">
        <v>1.0</v>
      </c>
      <c r="C38" s="90" t="s">
        <v>1624</v>
      </c>
      <c r="D38" s="90" t="s">
        <v>1626</v>
      </c>
      <c r="E38" s="92">
        <v>0.006296296296296296</v>
      </c>
    </row>
    <row r="39">
      <c r="A39" s="90" t="s">
        <v>1624</v>
      </c>
      <c r="B39" s="90">
        <v>1.0</v>
      </c>
      <c r="C39" s="90" t="s">
        <v>1624</v>
      </c>
      <c r="D39" s="90" t="s">
        <v>1627</v>
      </c>
      <c r="E39" s="92">
        <v>0.006574074074074074</v>
      </c>
    </row>
    <row r="40">
      <c r="A40" s="90" t="s">
        <v>1624</v>
      </c>
      <c r="B40" s="90">
        <v>1.0</v>
      </c>
      <c r="C40" s="90" t="s">
        <v>1624</v>
      </c>
      <c r="D40" s="90" t="s">
        <v>1628</v>
      </c>
      <c r="E40" s="92">
        <v>0.006793981481481482</v>
      </c>
    </row>
    <row r="41">
      <c r="A41" s="90" t="s">
        <v>1624</v>
      </c>
      <c r="B41" s="90">
        <v>1.0</v>
      </c>
      <c r="C41" s="90" t="s">
        <v>1624</v>
      </c>
      <c r="D41" s="90" t="s">
        <v>1629</v>
      </c>
      <c r="E41" s="92">
        <v>0.006608796296296297</v>
      </c>
    </row>
    <row r="42">
      <c r="A42" s="90" t="s">
        <v>1624</v>
      </c>
      <c r="B42" s="90">
        <v>1.0</v>
      </c>
      <c r="C42" s="90" t="s">
        <v>1624</v>
      </c>
      <c r="D42" s="90" t="s">
        <v>1630</v>
      </c>
      <c r="E42" s="92">
        <v>0.007442129629629629</v>
      </c>
    </row>
    <row r="43">
      <c r="A43" s="90" t="s">
        <v>1631</v>
      </c>
      <c r="B43" s="90">
        <v>1.0</v>
      </c>
      <c r="C43" s="90" t="s">
        <v>1632</v>
      </c>
      <c r="D43" s="90" t="s">
        <v>1633</v>
      </c>
      <c r="E43" s="92">
        <v>0.0042592592592592595</v>
      </c>
    </row>
    <row r="44">
      <c r="A44" s="90" t="s">
        <v>1631</v>
      </c>
      <c r="B44" s="90">
        <v>1.0</v>
      </c>
      <c r="C44" s="90" t="s">
        <v>1632</v>
      </c>
      <c r="D44" s="90" t="s">
        <v>1634</v>
      </c>
      <c r="E44" s="92">
        <v>0.0059490740740740745</v>
      </c>
    </row>
    <row r="45">
      <c r="A45" s="90" t="s">
        <v>1631</v>
      </c>
      <c r="B45" s="90">
        <v>1.0</v>
      </c>
      <c r="C45" s="90" t="s">
        <v>1632</v>
      </c>
      <c r="D45" s="90" t="s">
        <v>1635</v>
      </c>
      <c r="E45" s="92">
        <v>0.011134259259259259</v>
      </c>
    </row>
    <row r="46">
      <c r="A46" s="90" t="s">
        <v>1631</v>
      </c>
      <c r="B46" s="90">
        <v>1.0</v>
      </c>
      <c r="C46" s="90" t="s">
        <v>1632</v>
      </c>
      <c r="D46" s="90" t="s">
        <v>1636</v>
      </c>
      <c r="E46" s="92">
        <v>0.011550925925925926</v>
      </c>
    </row>
  </sheetData>
  <printOptions gridLines="1" horizontalCentered="1"/>
  <pageMargins bottom="0.75" footer="0.0" header="0.0" left="0.7" right="0.7" top="0.75"/>
  <pageSetup fitToHeight="0" cellComments="atEnd" orientation="landscape" pageOrder="overThenDown"/>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1" max="3" width="20.0"/>
    <col customWidth="1" min="4" max="4" width="7.33"/>
    <col customWidth="1" min="5" max="5" width="39.0"/>
    <col customWidth="1" min="6" max="6" width="54.44"/>
    <col customWidth="1" min="7" max="7" width="7.44"/>
  </cols>
  <sheetData>
    <row r="1">
      <c r="A1" s="102" t="s">
        <v>1355</v>
      </c>
      <c r="B1" s="102" t="s">
        <v>1376</v>
      </c>
      <c r="C1" s="103" t="s">
        <v>1356</v>
      </c>
      <c r="D1" s="103" t="s">
        <v>1357</v>
      </c>
      <c r="E1" s="103" t="s">
        <v>13</v>
      </c>
      <c r="F1" s="103" t="s">
        <v>1359</v>
      </c>
      <c r="G1" s="103" t="s">
        <v>1360</v>
      </c>
    </row>
    <row r="2">
      <c r="A2" s="96" t="s">
        <v>1549</v>
      </c>
      <c r="B2" s="96" t="s">
        <v>1550</v>
      </c>
      <c r="C2" s="97" t="s">
        <v>1551</v>
      </c>
      <c r="D2" s="98">
        <v>1.0</v>
      </c>
      <c r="E2" s="97" t="s">
        <v>1205</v>
      </c>
      <c r="F2" s="97" t="s">
        <v>1203</v>
      </c>
      <c r="G2" s="99">
        <v>0.012453703703703703</v>
      </c>
    </row>
    <row r="3">
      <c r="A3" s="96" t="s">
        <v>1549</v>
      </c>
      <c r="B3" s="96" t="s">
        <v>1550</v>
      </c>
      <c r="C3" s="97" t="s">
        <v>1551</v>
      </c>
      <c r="D3" s="98">
        <v>1.0</v>
      </c>
      <c r="E3" s="97" t="s">
        <v>1205</v>
      </c>
      <c r="F3" s="97" t="s">
        <v>1206</v>
      </c>
      <c r="G3" s="99">
        <v>0.006736111111111111</v>
      </c>
    </row>
    <row r="4">
      <c r="A4" s="96" t="s">
        <v>1549</v>
      </c>
      <c r="B4" s="96" t="s">
        <v>1550</v>
      </c>
      <c r="C4" s="97" t="s">
        <v>1551</v>
      </c>
      <c r="D4" s="98">
        <v>1.0</v>
      </c>
      <c r="E4" s="97" t="s">
        <v>1205</v>
      </c>
      <c r="F4" s="97" t="s">
        <v>1208</v>
      </c>
      <c r="G4" s="99">
        <v>0.014849537037037038</v>
      </c>
    </row>
    <row r="5">
      <c r="A5" s="96" t="s">
        <v>1549</v>
      </c>
      <c r="B5" s="96" t="s">
        <v>1550</v>
      </c>
      <c r="C5" s="97" t="s">
        <v>1551</v>
      </c>
      <c r="D5" s="98">
        <v>1.0</v>
      </c>
      <c r="E5" s="97" t="s">
        <v>1205</v>
      </c>
      <c r="F5" s="97" t="s">
        <v>1210</v>
      </c>
      <c r="G5" s="99">
        <v>0.009722222222222222</v>
      </c>
    </row>
    <row r="6">
      <c r="A6" s="96" t="s">
        <v>1549</v>
      </c>
      <c r="B6" s="96" t="s">
        <v>1550</v>
      </c>
      <c r="C6" s="97" t="s">
        <v>1551</v>
      </c>
      <c r="D6" s="98">
        <v>1.0</v>
      </c>
      <c r="E6" s="97" t="s">
        <v>1205</v>
      </c>
      <c r="F6" s="97" t="s">
        <v>1212</v>
      </c>
      <c r="G6" s="99">
        <v>0.014004629629629629</v>
      </c>
    </row>
    <row r="7">
      <c r="A7" s="96" t="s">
        <v>1549</v>
      </c>
      <c r="B7" s="96" t="s">
        <v>1550</v>
      </c>
      <c r="C7" s="97" t="s">
        <v>1551</v>
      </c>
      <c r="D7" s="98">
        <v>1.0</v>
      </c>
      <c r="E7" s="97" t="s">
        <v>1205</v>
      </c>
      <c r="F7" s="97" t="s">
        <v>1214</v>
      </c>
      <c r="G7" s="99">
        <v>0.010601851851851852</v>
      </c>
    </row>
    <row r="8">
      <c r="A8" s="96" t="s">
        <v>1549</v>
      </c>
      <c r="B8" s="96" t="s">
        <v>1550</v>
      </c>
      <c r="C8" s="97" t="s">
        <v>1551</v>
      </c>
      <c r="D8" s="98">
        <v>1.0</v>
      </c>
      <c r="E8" s="97" t="s">
        <v>1205</v>
      </c>
      <c r="F8" s="97" t="s">
        <v>1216</v>
      </c>
      <c r="G8" s="99">
        <v>0.01579861111111111</v>
      </c>
    </row>
    <row r="9">
      <c r="A9" s="96" t="s">
        <v>1549</v>
      </c>
      <c r="B9" s="96" t="s">
        <v>1550</v>
      </c>
      <c r="C9" s="97" t="s">
        <v>1551</v>
      </c>
      <c r="D9" s="98">
        <v>1.0</v>
      </c>
      <c r="E9" s="97" t="s">
        <v>1205</v>
      </c>
      <c r="F9" s="97" t="s">
        <v>1218</v>
      </c>
      <c r="G9" s="99">
        <v>0.015150462962962963</v>
      </c>
    </row>
    <row r="10">
      <c r="A10" s="96" t="s">
        <v>1549</v>
      </c>
      <c r="B10" s="96" t="s">
        <v>1550</v>
      </c>
      <c r="C10" s="97" t="s">
        <v>1551</v>
      </c>
      <c r="D10" s="98">
        <v>1.0</v>
      </c>
      <c r="E10" s="97" t="s">
        <v>1205</v>
      </c>
      <c r="F10" s="97" t="s">
        <v>1220</v>
      </c>
      <c r="G10" s="99">
        <v>0.007476851851851852</v>
      </c>
    </row>
    <row r="11">
      <c r="A11" s="96" t="s">
        <v>1549</v>
      </c>
      <c r="B11" s="96" t="s">
        <v>1550</v>
      </c>
      <c r="C11" s="97" t="s">
        <v>1551</v>
      </c>
      <c r="D11" s="98">
        <v>1.0</v>
      </c>
      <c r="E11" s="97" t="s">
        <v>1205</v>
      </c>
      <c r="F11" s="97" t="s">
        <v>1552</v>
      </c>
      <c r="G11" s="99">
        <v>0.020833333333333332</v>
      </c>
    </row>
    <row r="12">
      <c r="A12" s="96" t="s">
        <v>1549</v>
      </c>
      <c r="B12" s="96" t="s">
        <v>1550</v>
      </c>
      <c r="C12" s="97" t="s">
        <v>1551</v>
      </c>
      <c r="D12" s="98">
        <v>1.0</v>
      </c>
      <c r="E12" s="97" t="s">
        <v>1205</v>
      </c>
      <c r="F12" s="97" t="s">
        <v>1553</v>
      </c>
      <c r="G12" s="99">
        <v>0.03125</v>
      </c>
    </row>
    <row r="13">
      <c r="A13" s="96" t="s">
        <v>1549</v>
      </c>
      <c r="B13" s="96" t="s">
        <v>1550</v>
      </c>
      <c r="C13" s="97" t="s">
        <v>1551</v>
      </c>
      <c r="D13" s="98">
        <v>1.0</v>
      </c>
      <c r="E13" s="97" t="s">
        <v>1205</v>
      </c>
      <c r="F13" s="97" t="s">
        <v>1554</v>
      </c>
      <c r="G13" s="99">
        <v>0.03125</v>
      </c>
    </row>
    <row r="14">
      <c r="A14" s="96" t="s">
        <v>1549</v>
      </c>
      <c r="B14" s="96" t="s">
        <v>1550</v>
      </c>
      <c r="C14" s="97" t="s">
        <v>1551</v>
      </c>
      <c r="D14" s="98">
        <v>2.0</v>
      </c>
      <c r="E14" s="97" t="s">
        <v>1224</v>
      </c>
      <c r="F14" s="97" t="s">
        <v>1222</v>
      </c>
      <c r="G14" s="99">
        <v>0.013298611111111112</v>
      </c>
    </row>
    <row r="15">
      <c r="A15" s="96" t="s">
        <v>1549</v>
      </c>
      <c r="B15" s="96" t="s">
        <v>1550</v>
      </c>
      <c r="C15" s="97" t="s">
        <v>1551</v>
      </c>
      <c r="D15" s="98">
        <v>2.0</v>
      </c>
      <c r="E15" s="97" t="s">
        <v>1224</v>
      </c>
      <c r="F15" s="97" t="s">
        <v>1225</v>
      </c>
      <c r="G15" s="99">
        <v>0.013113425925925926</v>
      </c>
    </row>
    <row r="16">
      <c r="A16" s="96" t="s">
        <v>1549</v>
      </c>
      <c r="B16" s="96" t="s">
        <v>1550</v>
      </c>
      <c r="C16" s="97" t="s">
        <v>1551</v>
      </c>
      <c r="D16" s="98">
        <v>2.0</v>
      </c>
      <c r="E16" s="97" t="s">
        <v>1224</v>
      </c>
      <c r="F16" s="97" t="s">
        <v>1227</v>
      </c>
      <c r="G16" s="99">
        <v>0.014918981481481481</v>
      </c>
    </row>
    <row r="17">
      <c r="A17" s="96" t="s">
        <v>1549</v>
      </c>
      <c r="B17" s="96" t="s">
        <v>1550</v>
      </c>
      <c r="C17" s="97" t="s">
        <v>1551</v>
      </c>
      <c r="D17" s="98">
        <v>2.0</v>
      </c>
      <c r="E17" s="97" t="s">
        <v>1224</v>
      </c>
      <c r="F17" s="97" t="s">
        <v>1555</v>
      </c>
      <c r="G17" s="99">
        <v>0.02122685185185185</v>
      </c>
    </row>
    <row r="18">
      <c r="A18" s="96" t="s">
        <v>1549</v>
      </c>
      <c r="B18" s="96" t="s">
        <v>1550</v>
      </c>
      <c r="C18" s="97" t="s">
        <v>1556</v>
      </c>
      <c r="D18" s="98">
        <v>1.0</v>
      </c>
      <c r="E18" s="97" t="s">
        <v>1231</v>
      </c>
      <c r="F18" s="97" t="s">
        <v>1229</v>
      </c>
      <c r="G18" s="99">
        <v>0.014108796296296296</v>
      </c>
    </row>
    <row r="19">
      <c r="A19" s="96" t="s">
        <v>1549</v>
      </c>
      <c r="B19" s="96" t="s">
        <v>1550</v>
      </c>
      <c r="C19" s="97" t="s">
        <v>1556</v>
      </c>
      <c r="D19" s="98">
        <v>1.0</v>
      </c>
      <c r="E19" s="97" t="s">
        <v>1231</v>
      </c>
      <c r="F19" s="97" t="s">
        <v>1557</v>
      </c>
      <c r="G19" s="99">
        <v>0.01170138888888889</v>
      </c>
    </row>
    <row r="20">
      <c r="A20" s="96" t="s">
        <v>1549</v>
      </c>
      <c r="B20" s="96" t="s">
        <v>1550</v>
      </c>
      <c r="C20" s="97" t="s">
        <v>1556</v>
      </c>
      <c r="D20" s="98">
        <v>1.0</v>
      </c>
      <c r="E20" s="97" t="s">
        <v>1231</v>
      </c>
      <c r="F20" s="97" t="s">
        <v>1558</v>
      </c>
      <c r="G20" s="99">
        <v>0.017974537037037035</v>
      </c>
    </row>
    <row r="21">
      <c r="A21" s="96" t="s">
        <v>1549</v>
      </c>
      <c r="B21" s="96" t="s">
        <v>1550</v>
      </c>
      <c r="C21" s="97" t="s">
        <v>1556</v>
      </c>
      <c r="D21" s="98">
        <v>1.0</v>
      </c>
      <c r="E21" s="97" t="s">
        <v>1231</v>
      </c>
      <c r="F21" s="97" t="s">
        <v>1232</v>
      </c>
      <c r="G21" s="99">
        <v>0.018564814814814815</v>
      </c>
    </row>
    <row r="22">
      <c r="A22" s="96" t="s">
        <v>1549</v>
      </c>
      <c r="B22" s="96" t="s">
        <v>1550</v>
      </c>
      <c r="C22" s="97" t="s">
        <v>1556</v>
      </c>
      <c r="D22" s="98">
        <v>1.0</v>
      </c>
      <c r="E22" s="97" t="s">
        <v>1231</v>
      </c>
      <c r="F22" s="97" t="s">
        <v>1234</v>
      </c>
      <c r="G22" s="99">
        <v>0.012777777777777779</v>
      </c>
    </row>
    <row r="23">
      <c r="A23" s="96" t="s">
        <v>1549</v>
      </c>
      <c r="B23" s="96" t="s">
        <v>1550</v>
      </c>
      <c r="C23" s="97" t="s">
        <v>1556</v>
      </c>
      <c r="D23" s="98">
        <v>2.0</v>
      </c>
      <c r="E23" s="97" t="s">
        <v>1238</v>
      </c>
      <c r="F23" s="97" t="s">
        <v>1236</v>
      </c>
      <c r="G23" s="99">
        <v>0.007951388888888888</v>
      </c>
    </row>
    <row r="24">
      <c r="A24" s="96" t="s">
        <v>1549</v>
      </c>
      <c r="B24" s="96" t="s">
        <v>1550</v>
      </c>
      <c r="C24" s="97" t="s">
        <v>1556</v>
      </c>
      <c r="D24" s="98">
        <v>2.0</v>
      </c>
      <c r="E24" s="97" t="s">
        <v>1238</v>
      </c>
      <c r="F24" s="97" t="s">
        <v>1239</v>
      </c>
      <c r="G24" s="99">
        <v>0.008460648148148148</v>
      </c>
    </row>
    <row r="25">
      <c r="A25" s="96" t="s">
        <v>1549</v>
      </c>
      <c r="B25" s="96" t="s">
        <v>1550</v>
      </c>
      <c r="C25" s="97" t="s">
        <v>1556</v>
      </c>
      <c r="D25" s="98">
        <v>2.0</v>
      </c>
      <c r="E25" s="97" t="s">
        <v>1238</v>
      </c>
      <c r="F25" s="97" t="s">
        <v>1241</v>
      </c>
      <c r="G25" s="99">
        <v>0.0038888888888888888</v>
      </c>
    </row>
    <row r="26">
      <c r="A26" s="96" t="s">
        <v>1549</v>
      </c>
      <c r="B26" s="96" t="s">
        <v>1550</v>
      </c>
      <c r="C26" s="97" t="s">
        <v>1556</v>
      </c>
      <c r="D26" s="98">
        <v>2.0</v>
      </c>
      <c r="E26" s="97" t="s">
        <v>1238</v>
      </c>
      <c r="F26" s="97" t="s">
        <v>1243</v>
      </c>
      <c r="G26" s="99">
        <v>0.007905092592592592</v>
      </c>
    </row>
    <row r="27">
      <c r="A27" s="96" t="s">
        <v>1549</v>
      </c>
      <c r="B27" s="96" t="s">
        <v>1550</v>
      </c>
      <c r="C27" s="97" t="s">
        <v>1556</v>
      </c>
      <c r="D27" s="98">
        <v>2.0</v>
      </c>
      <c r="E27" s="97" t="s">
        <v>1238</v>
      </c>
      <c r="F27" s="97" t="s">
        <v>1245</v>
      </c>
      <c r="G27" s="99">
        <v>0.03125</v>
      </c>
    </row>
    <row r="28">
      <c r="A28" s="96" t="s">
        <v>1549</v>
      </c>
      <c r="B28" s="96" t="s">
        <v>1550</v>
      </c>
      <c r="C28" s="97" t="s">
        <v>1556</v>
      </c>
      <c r="D28" s="98">
        <v>3.0</v>
      </c>
      <c r="E28" s="97" t="s">
        <v>1559</v>
      </c>
      <c r="F28" s="97" t="s">
        <v>327</v>
      </c>
      <c r="G28" s="99">
        <v>0.015636574074074074</v>
      </c>
    </row>
    <row r="29">
      <c r="A29" s="96" t="s">
        <v>1549</v>
      </c>
      <c r="B29" s="96" t="s">
        <v>1550</v>
      </c>
      <c r="C29" s="97" t="s">
        <v>1556</v>
      </c>
      <c r="D29" s="98">
        <v>3.0</v>
      </c>
      <c r="E29" s="97" t="s">
        <v>1559</v>
      </c>
      <c r="F29" s="97" t="s">
        <v>330</v>
      </c>
      <c r="G29" s="99">
        <v>0.018703703703703705</v>
      </c>
    </row>
    <row r="30">
      <c r="A30" s="96" t="s">
        <v>1549</v>
      </c>
      <c r="B30" s="96" t="s">
        <v>1550</v>
      </c>
      <c r="C30" s="97" t="s">
        <v>1556</v>
      </c>
      <c r="D30" s="98">
        <v>3.0</v>
      </c>
      <c r="E30" s="97" t="s">
        <v>1559</v>
      </c>
      <c r="F30" s="97" t="s">
        <v>332</v>
      </c>
      <c r="G30" s="99">
        <v>0.016030092592592592</v>
      </c>
    </row>
    <row r="31">
      <c r="A31" s="96" t="s">
        <v>1549</v>
      </c>
      <c r="B31" s="96" t="s">
        <v>1550</v>
      </c>
      <c r="C31" s="97" t="s">
        <v>1556</v>
      </c>
      <c r="D31" s="98">
        <v>3.0</v>
      </c>
      <c r="E31" s="97" t="s">
        <v>1559</v>
      </c>
      <c r="F31" s="97" t="s">
        <v>340</v>
      </c>
      <c r="G31" s="99">
        <v>0.019363425925925926</v>
      </c>
    </row>
    <row r="32">
      <c r="A32" s="96" t="s">
        <v>1549</v>
      </c>
      <c r="B32" s="96" t="s">
        <v>1550</v>
      </c>
      <c r="C32" s="97" t="s">
        <v>1556</v>
      </c>
      <c r="D32" s="98">
        <v>4.0</v>
      </c>
      <c r="E32" s="97" t="s">
        <v>1248</v>
      </c>
      <c r="F32" s="97" t="s">
        <v>1246</v>
      </c>
      <c r="G32" s="99">
        <v>0.0030092592592592593</v>
      </c>
    </row>
    <row r="33">
      <c r="A33" s="96" t="s">
        <v>1549</v>
      </c>
      <c r="B33" s="96" t="s">
        <v>1550</v>
      </c>
      <c r="C33" s="97" t="s">
        <v>1556</v>
      </c>
      <c r="D33" s="98">
        <v>4.0</v>
      </c>
      <c r="E33" s="97" t="s">
        <v>1248</v>
      </c>
      <c r="F33" s="97" t="s">
        <v>1249</v>
      </c>
      <c r="G33" s="99">
        <v>0.01412037037037037</v>
      </c>
    </row>
    <row r="34">
      <c r="A34" s="96" t="s">
        <v>1549</v>
      </c>
      <c r="B34" s="96" t="s">
        <v>1550</v>
      </c>
      <c r="C34" s="97" t="s">
        <v>1556</v>
      </c>
      <c r="D34" s="98">
        <v>4.0</v>
      </c>
      <c r="E34" s="97" t="s">
        <v>1248</v>
      </c>
      <c r="F34" s="97" t="s">
        <v>1251</v>
      </c>
      <c r="G34" s="99">
        <v>0.01565972222222222</v>
      </c>
    </row>
    <row r="35">
      <c r="A35" s="96" t="s">
        <v>1549</v>
      </c>
      <c r="B35" s="96" t="s">
        <v>1550</v>
      </c>
      <c r="C35" s="97" t="s">
        <v>1556</v>
      </c>
      <c r="D35" s="98">
        <v>4.0</v>
      </c>
      <c r="E35" s="97" t="s">
        <v>1248</v>
      </c>
      <c r="F35" s="97" t="s">
        <v>1560</v>
      </c>
      <c r="G35" s="99">
        <v>0.041666666666666664</v>
      </c>
    </row>
    <row r="36">
      <c r="A36" s="96" t="s">
        <v>1549</v>
      </c>
      <c r="B36" s="96" t="s">
        <v>1550</v>
      </c>
      <c r="C36" s="97" t="s">
        <v>1556</v>
      </c>
      <c r="D36" s="98">
        <v>4.0</v>
      </c>
      <c r="E36" s="97" t="s">
        <v>1248</v>
      </c>
      <c r="F36" s="97" t="s">
        <v>1253</v>
      </c>
      <c r="G36" s="99">
        <v>0.0625</v>
      </c>
    </row>
    <row r="37">
      <c r="A37" s="96" t="s">
        <v>1549</v>
      </c>
      <c r="B37" s="96" t="s">
        <v>1550</v>
      </c>
      <c r="C37" s="97" t="s">
        <v>1556</v>
      </c>
      <c r="D37" s="98">
        <v>4.0</v>
      </c>
      <c r="E37" s="97" t="s">
        <v>1248</v>
      </c>
      <c r="F37" s="97" t="s">
        <v>1254</v>
      </c>
      <c r="G37" s="99">
        <v>0.041666666666666664</v>
      </c>
    </row>
    <row r="38">
      <c r="A38" s="96" t="s">
        <v>1549</v>
      </c>
      <c r="B38" s="96" t="s">
        <v>1550</v>
      </c>
      <c r="C38" s="97" t="s">
        <v>1556</v>
      </c>
      <c r="D38" s="98">
        <v>4.0</v>
      </c>
      <c r="E38" s="97" t="s">
        <v>1248</v>
      </c>
      <c r="F38" s="97" t="s">
        <v>1255</v>
      </c>
      <c r="G38" s="99">
        <v>0.03125</v>
      </c>
    </row>
    <row r="39">
      <c r="A39" s="96" t="s">
        <v>1549</v>
      </c>
      <c r="B39" s="96" t="s">
        <v>1550</v>
      </c>
      <c r="C39" s="97" t="s">
        <v>1561</v>
      </c>
      <c r="D39" s="98">
        <v>1.0</v>
      </c>
      <c r="E39" s="97" t="s">
        <v>1258</v>
      </c>
      <c r="F39" s="97" t="s">
        <v>1256</v>
      </c>
      <c r="G39" s="99">
        <v>0.01769675925925926</v>
      </c>
    </row>
    <row r="40">
      <c r="A40" s="96" t="s">
        <v>1549</v>
      </c>
      <c r="B40" s="96" t="s">
        <v>1550</v>
      </c>
      <c r="C40" s="97" t="s">
        <v>1561</v>
      </c>
      <c r="D40" s="98">
        <v>1.0</v>
      </c>
      <c r="E40" s="97" t="s">
        <v>1258</v>
      </c>
      <c r="F40" s="97" t="s">
        <v>1259</v>
      </c>
      <c r="G40" s="99">
        <v>0.009444444444444445</v>
      </c>
    </row>
    <row r="41">
      <c r="A41" s="96" t="s">
        <v>1549</v>
      </c>
      <c r="B41" s="96" t="s">
        <v>1550</v>
      </c>
      <c r="C41" s="97" t="s">
        <v>1561</v>
      </c>
      <c r="D41" s="98">
        <v>1.0</v>
      </c>
      <c r="E41" s="97" t="s">
        <v>1258</v>
      </c>
      <c r="F41" s="97" t="s">
        <v>1261</v>
      </c>
      <c r="G41" s="99">
        <v>0.015462962962962963</v>
      </c>
    </row>
    <row r="42">
      <c r="A42" s="96" t="s">
        <v>1549</v>
      </c>
      <c r="B42" s="96" t="s">
        <v>1550</v>
      </c>
      <c r="C42" s="97" t="s">
        <v>1561</v>
      </c>
      <c r="D42" s="98">
        <v>1.0</v>
      </c>
      <c r="E42" s="97" t="s">
        <v>1258</v>
      </c>
      <c r="F42" s="97" t="s">
        <v>1263</v>
      </c>
      <c r="G42" s="99">
        <v>0.0625</v>
      </c>
    </row>
    <row r="43">
      <c r="A43" s="96" t="s">
        <v>1549</v>
      </c>
      <c r="B43" s="96" t="s">
        <v>1550</v>
      </c>
      <c r="C43" s="97" t="s">
        <v>1561</v>
      </c>
      <c r="D43" s="98">
        <v>2.0</v>
      </c>
      <c r="E43" s="97" t="s">
        <v>1266</v>
      </c>
      <c r="F43" s="97" t="s">
        <v>1264</v>
      </c>
      <c r="G43" s="99">
        <v>0.018125</v>
      </c>
    </row>
    <row r="44">
      <c r="A44" s="96" t="s">
        <v>1549</v>
      </c>
      <c r="B44" s="96" t="s">
        <v>1550</v>
      </c>
      <c r="C44" s="97" t="s">
        <v>1561</v>
      </c>
      <c r="D44" s="98">
        <v>2.0</v>
      </c>
      <c r="E44" s="97" t="s">
        <v>1266</v>
      </c>
      <c r="F44" s="97" t="s">
        <v>1562</v>
      </c>
      <c r="G44" s="99">
        <v>0.009664351851851851</v>
      </c>
    </row>
    <row r="45">
      <c r="A45" s="96" t="s">
        <v>1549</v>
      </c>
      <c r="B45" s="96" t="s">
        <v>1550</v>
      </c>
      <c r="C45" s="97" t="s">
        <v>1561</v>
      </c>
      <c r="D45" s="98">
        <v>2.0</v>
      </c>
      <c r="E45" s="97" t="s">
        <v>1266</v>
      </c>
      <c r="F45" s="97" t="s">
        <v>1563</v>
      </c>
      <c r="G45" s="99">
        <v>0.017083333333333332</v>
      </c>
    </row>
    <row r="46">
      <c r="A46" s="96" t="s">
        <v>1549</v>
      </c>
      <c r="B46" s="96" t="s">
        <v>1550</v>
      </c>
      <c r="C46" s="97" t="s">
        <v>1561</v>
      </c>
      <c r="D46" s="98">
        <v>2.0</v>
      </c>
      <c r="E46" s="97" t="s">
        <v>1266</v>
      </c>
      <c r="F46" s="97" t="s">
        <v>1267</v>
      </c>
      <c r="G46" s="99">
        <v>0.014560185185185185</v>
      </c>
    </row>
    <row r="47">
      <c r="A47" s="96" t="s">
        <v>1549</v>
      </c>
      <c r="B47" s="96" t="s">
        <v>1550</v>
      </c>
      <c r="C47" s="97" t="s">
        <v>1561</v>
      </c>
      <c r="D47" s="98">
        <v>2.0</v>
      </c>
      <c r="E47" s="97" t="s">
        <v>1266</v>
      </c>
      <c r="F47" s="97" t="s">
        <v>1269</v>
      </c>
      <c r="G47" s="99">
        <v>0.013969907407407407</v>
      </c>
    </row>
    <row r="48">
      <c r="A48" s="96" t="s">
        <v>1549</v>
      </c>
      <c r="B48" s="96" t="s">
        <v>1550</v>
      </c>
      <c r="C48" s="97" t="s">
        <v>1561</v>
      </c>
      <c r="D48" s="98">
        <v>2.0</v>
      </c>
      <c r="E48" s="97" t="s">
        <v>1266</v>
      </c>
      <c r="F48" s="97" t="s">
        <v>1271</v>
      </c>
      <c r="G48" s="99">
        <v>0.017916666666666668</v>
      </c>
    </row>
    <row r="49">
      <c r="A49" s="96" t="s">
        <v>1549</v>
      </c>
      <c r="B49" s="96" t="s">
        <v>1550</v>
      </c>
      <c r="C49" s="97" t="s">
        <v>1561</v>
      </c>
      <c r="D49" s="98">
        <v>2.0</v>
      </c>
      <c r="E49" s="97" t="s">
        <v>1266</v>
      </c>
      <c r="F49" s="97" t="s">
        <v>1273</v>
      </c>
      <c r="G49" s="99">
        <v>0.08333333333333333</v>
      </c>
    </row>
    <row r="50">
      <c r="A50" s="96" t="s">
        <v>1549</v>
      </c>
      <c r="B50" s="96" t="s">
        <v>1550</v>
      </c>
      <c r="C50" s="97" t="s">
        <v>1561</v>
      </c>
      <c r="D50" s="98">
        <v>2.0</v>
      </c>
      <c r="E50" s="97" t="s">
        <v>1266</v>
      </c>
      <c r="F50" s="97" t="s">
        <v>1274</v>
      </c>
      <c r="G50" s="99">
        <v>0.08333333333333333</v>
      </c>
    </row>
    <row r="51">
      <c r="A51" s="96" t="s">
        <v>1549</v>
      </c>
      <c r="B51" s="96" t="s">
        <v>1550</v>
      </c>
      <c r="C51" s="97" t="s">
        <v>1561</v>
      </c>
      <c r="D51" s="98">
        <v>2.0</v>
      </c>
      <c r="E51" s="97" t="s">
        <v>1266</v>
      </c>
      <c r="F51" s="97" t="s">
        <v>1564</v>
      </c>
      <c r="G51" s="99">
        <v>0.08333333333333333</v>
      </c>
    </row>
    <row r="52">
      <c r="A52" s="96" t="s">
        <v>1549</v>
      </c>
      <c r="B52" s="96" t="s">
        <v>1550</v>
      </c>
      <c r="C52" s="97" t="s">
        <v>1565</v>
      </c>
      <c r="D52" s="98">
        <v>1.0</v>
      </c>
      <c r="E52" s="97" t="s">
        <v>1277</v>
      </c>
      <c r="F52" s="97" t="s">
        <v>1275</v>
      </c>
      <c r="G52" s="99">
        <v>0.012847222222222222</v>
      </c>
    </row>
    <row r="53">
      <c r="A53" s="96" t="s">
        <v>1549</v>
      </c>
      <c r="B53" s="96" t="s">
        <v>1550</v>
      </c>
      <c r="C53" s="97" t="s">
        <v>1565</v>
      </c>
      <c r="D53" s="98">
        <v>1.0</v>
      </c>
      <c r="E53" s="97" t="s">
        <v>1277</v>
      </c>
      <c r="F53" s="97" t="s">
        <v>1278</v>
      </c>
      <c r="G53" s="99">
        <v>0.012326388888888888</v>
      </c>
    </row>
    <row r="54">
      <c r="A54" s="96" t="s">
        <v>1549</v>
      </c>
      <c r="B54" s="96" t="s">
        <v>1550</v>
      </c>
      <c r="C54" s="97" t="s">
        <v>1565</v>
      </c>
      <c r="D54" s="98">
        <v>1.0</v>
      </c>
      <c r="E54" s="97" t="s">
        <v>1277</v>
      </c>
      <c r="F54" s="97" t="s">
        <v>1280</v>
      </c>
      <c r="G54" s="99">
        <v>0.016770833333333332</v>
      </c>
    </row>
    <row r="55">
      <c r="A55" s="96" t="s">
        <v>1549</v>
      </c>
      <c r="B55" s="96" t="s">
        <v>1550</v>
      </c>
      <c r="C55" s="97" t="s">
        <v>1565</v>
      </c>
      <c r="D55" s="98">
        <v>1.0</v>
      </c>
      <c r="E55" s="97" t="s">
        <v>1277</v>
      </c>
      <c r="F55" s="97" t="s">
        <v>1282</v>
      </c>
      <c r="G55" s="99">
        <v>0.013020833333333334</v>
      </c>
    </row>
    <row r="56">
      <c r="A56" s="96" t="s">
        <v>1549</v>
      </c>
      <c r="B56" s="96" t="s">
        <v>1550</v>
      </c>
      <c r="C56" s="97" t="s">
        <v>1565</v>
      </c>
      <c r="D56" s="98">
        <v>1.0</v>
      </c>
      <c r="E56" s="97" t="s">
        <v>1277</v>
      </c>
      <c r="F56" s="97" t="s">
        <v>1284</v>
      </c>
      <c r="G56" s="99">
        <v>0.022372685185185186</v>
      </c>
    </row>
    <row r="57">
      <c r="A57" s="96" t="s">
        <v>1549</v>
      </c>
      <c r="B57" s="96" t="s">
        <v>1550</v>
      </c>
      <c r="C57" s="97" t="s">
        <v>1565</v>
      </c>
      <c r="D57" s="98">
        <v>1.0</v>
      </c>
      <c r="E57" s="97" t="s">
        <v>1277</v>
      </c>
      <c r="F57" s="97" t="s">
        <v>1566</v>
      </c>
      <c r="G57" s="99">
        <v>0.013958333333333333</v>
      </c>
    </row>
    <row r="58">
      <c r="A58" s="96" t="s">
        <v>1549</v>
      </c>
      <c r="B58" s="96" t="s">
        <v>1550</v>
      </c>
      <c r="C58" s="97" t="s">
        <v>1565</v>
      </c>
      <c r="D58" s="98">
        <v>1.0</v>
      </c>
      <c r="E58" s="97" t="s">
        <v>1277</v>
      </c>
      <c r="F58" s="97" t="s">
        <v>1286</v>
      </c>
      <c r="G58" s="99">
        <v>0.08333333333333333</v>
      </c>
    </row>
    <row r="59">
      <c r="A59" s="96" t="s">
        <v>1549</v>
      </c>
      <c r="B59" s="96" t="s">
        <v>1550</v>
      </c>
      <c r="C59" s="97" t="s">
        <v>1565</v>
      </c>
      <c r="D59" s="98">
        <v>2.0</v>
      </c>
      <c r="E59" s="97" t="s">
        <v>1289</v>
      </c>
      <c r="F59" s="97" t="s">
        <v>1287</v>
      </c>
      <c r="G59" s="99">
        <v>0.010127314814814815</v>
      </c>
    </row>
    <row r="60">
      <c r="A60" s="96" t="s">
        <v>1549</v>
      </c>
      <c r="B60" s="96" t="s">
        <v>1550</v>
      </c>
      <c r="C60" s="97" t="s">
        <v>1565</v>
      </c>
      <c r="D60" s="98">
        <v>2.0</v>
      </c>
      <c r="E60" s="97" t="s">
        <v>1289</v>
      </c>
      <c r="F60" s="97" t="s">
        <v>1290</v>
      </c>
      <c r="G60" s="99">
        <v>0.017708333333333333</v>
      </c>
    </row>
    <row r="61">
      <c r="A61" s="96" t="s">
        <v>1549</v>
      </c>
      <c r="B61" s="96" t="s">
        <v>1550</v>
      </c>
      <c r="C61" s="97" t="s">
        <v>1565</v>
      </c>
      <c r="D61" s="98">
        <v>2.0</v>
      </c>
      <c r="E61" s="97" t="s">
        <v>1289</v>
      </c>
      <c r="F61" s="97" t="s">
        <v>1292</v>
      </c>
      <c r="G61" s="99">
        <v>0.015023148148148148</v>
      </c>
    </row>
    <row r="62">
      <c r="A62" s="96" t="s">
        <v>1549</v>
      </c>
      <c r="B62" s="96" t="s">
        <v>1550</v>
      </c>
      <c r="C62" s="97" t="s">
        <v>1565</v>
      </c>
      <c r="D62" s="98">
        <v>2.0</v>
      </c>
      <c r="E62" s="97" t="s">
        <v>1289</v>
      </c>
      <c r="F62" s="97" t="s">
        <v>1567</v>
      </c>
      <c r="G62" s="99">
        <v>0.017465277777777777</v>
      </c>
    </row>
    <row r="63">
      <c r="A63" s="96" t="s">
        <v>1549</v>
      </c>
      <c r="B63" s="96" t="s">
        <v>1550</v>
      </c>
      <c r="C63" s="97" t="s">
        <v>1565</v>
      </c>
      <c r="D63" s="98">
        <v>2.0</v>
      </c>
      <c r="E63" s="97" t="s">
        <v>1289</v>
      </c>
      <c r="F63" s="97" t="s">
        <v>1294</v>
      </c>
      <c r="G63" s="99">
        <v>0.08333333333333333</v>
      </c>
    </row>
    <row r="64">
      <c r="A64" s="96" t="s">
        <v>1549</v>
      </c>
      <c r="B64" s="96" t="s">
        <v>1550</v>
      </c>
      <c r="C64" s="97" t="s">
        <v>1565</v>
      </c>
      <c r="D64" s="98">
        <v>2.0</v>
      </c>
      <c r="E64" s="97" t="s">
        <v>1289</v>
      </c>
      <c r="F64" s="97" t="s">
        <v>1295</v>
      </c>
      <c r="G64" s="99">
        <v>0.08333333333333333</v>
      </c>
    </row>
    <row r="65">
      <c r="A65" s="96" t="s">
        <v>1549</v>
      </c>
      <c r="B65" s="96" t="s">
        <v>1550</v>
      </c>
      <c r="C65" s="97" t="s">
        <v>1565</v>
      </c>
      <c r="D65" s="98">
        <v>2.0</v>
      </c>
      <c r="E65" s="97" t="s">
        <v>1289</v>
      </c>
      <c r="F65" s="97" t="s">
        <v>1296</v>
      </c>
      <c r="G65" s="99">
        <v>0.11458333333333333</v>
      </c>
    </row>
    <row r="66">
      <c r="A66" s="96" t="s">
        <v>1549</v>
      </c>
      <c r="B66" s="96" t="s">
        <v>1550</v>
      </c>
      <c r="C66" s="97" t="s">
        <v>1565</v>
      </c>
      <c r="D66" s="98">
        <v>2.0</v>
      </c>
      <c r="E66" s="97" t="s">
        <v>1289</v>
      </c>
      <c r="F66" s="97" t="s">
        <v>1297</v>
      </c>
      <c r="G66" s="99">
        <v>0.03125</v>
      </c>
    </row>
    <row r="67">
      <c r="A67" s="96" t="s">
        <v>1549</v>
      </c>
      <c r="B67" s="96" t="s">
        <v>1550</v>
      </c>
      <c r="C67" s="97" t="s">
        <v>1568</v>
      </c>
      <c r="D67" s="98">
        <v>1.0</v>
      </c>
      <c r="E67" s="97" t="s">
        <v>1300</v>
      </c>
      <c r="F67" s="97" t="s">
        <v>1569</v>
      </c>
      <c r="G67" s="99">
        <v>0.0053125</v>
      </c>
    </row>
    <row r="68">
      <c r="A68" s="96" t="s">
        <v>1549</v>
      </c>
      <c r="B68" s="96" t="s">
        <v>1550</v>
      </c>
      <c r="C68" s="97" t="s">
        <v>1568</v>
      </c>
      <c r="D68" s="98">
        <v>1.0</v>
      </c>
      <c r="E68" s="97" t="s">
        <v>1300</v>
      </c>
      <c r="F68" s="97" t="s">
        <v>1570</v>
      </c>
      <c r="G68" s="99">
        <v>0.0050347222222222225</v>
      </c>
    </row>
    <row r="69">
      <c r="A69" s="96" t="s">
        <v>1549</v>
      </c>
      <c r="B69" s="96" t="s">
        <v>1550</v>
      </c>
      <c r="C69" s="97" t="s">
        <v>1568</v>
      </c>
      <c r="D69" s="98">
        <v>1.0</v>
      </c>
      <c r="E69" s="97" t="s">
        <v>1300</v>
      </c>
      <c r="F69" s="97" t="s">
        <v>1298</v>
      </c>
      <c r="G69" s="99">
        <v>0.005300925925925926</v>
      </c>
    </row>
    <row r="70">
      <c r="A70" s="96" t="s">
        <v>1549</v>
      </c>
      <c r="B70" s="96" t="s">
        <v>1550</v>
      </c>
      <c r="C70" s="97" t="s">
        <v>1568</v>
      </c>
      <c r="D70" s="98">
        <v>1.0</v>
      </c>
      <c r="E70" s="97" t="s">
        <v>1300</v>
      </c>
      <c r="F70" s="97" t="s">
        <v>1301</v>
      </c>
      <c r="G70" s="99">
        <v>0.007418981481481481</v>
      </c>
    </row>
    <row r="71">
      <c r="A71" s="96" t="s">
        <v>1549</v>
      </c>
      <c r="B71" s="96" t="s">
        <v>1550</v>
      </c>
      <c r="C71" s="97" t="s">
        <v>1568</v>
      </c>
      <c r="D71" s="98">
        <v>1.0</v>
      </c>
      <c r="E71" s="97" t="s">
        <v>1300</v>
      </c>
      <c r="F71" s="97" t="s">
        <v>1303</v>
      </c>
      <c r="G71" s="99">
        <v>0.0030324074074074073</v>
      </c>
    </row>
    <row r="72">
      <c r="A72" s="96" t="s">
        <v>1549</v>
      </c>
      <c r="B72" s="96" t="s">
        <v>1550</v>
      </c>
      <c r="C72" s="97" t="s">
        <v>1568</v>
      </c>
      <c r="D72" s="98">
        <v>1.0</v>
      </c>
      <c r="E72" s="97" t="s">
        <v>1300</v>
      </c>
      <c r="F72" s="97" t="s">
        <v>1305</v>
      </c>
      <c r="G72" s="99">
        <v>0.005208333333333333</v>
      </c>
    </row>
    <row r="73">
      <c r="A73" s="96" t="s">
        <v>1549</v>
      </c>
      <c r="B73" s="96" t="s">
        <v>1550</v>
      </c>
      <c r="C73" s="97" t="s">
        <v>1568</v>
      </c>
      <c r="D73" s="98">
        <v>1.0</v>
      </c>
      <c r="E73" s="97" t="s">
        <v>1300</v>
      </c>
      <c r="F73" s="97" t="s">
        <v>1307</v>
      </c>
      <c r="G73" s="99">
        <v>0.00537037037037037</v>
      </c>
    </row>
    <row r="74">
      <c r="A74" s="96" t="s">
        <v>1549</v>
      </c>
      <c r="B74" s="96" t="s">
        <v>1550</v>
      </c>
      <c r="C74" s="97" t="s">
        <v>1568</v>
      </c>
      <c r="D74" s="98">
        <v>1.0</v>
      </c>
      <c r="E74" s="97" t="s">
        <v>1300</v>
      </c>
      <c r="F74" s="97" t="s">
        <v>1309</v>
      </c>
      <c r="G74" s="99">
        <v>0.0036458333333333334</v>
      </c>
    </row>
    <row r="75">
      <c r="A75" s="96" t="s">
        <v>1549</v>
      </c>
      <c r="B75" s="96" t="s">
        <v>1550</v>
      </c>
      <c r="C75" s="97" t="s">
        <v>1568</v>
      </c>
      <c r="D75" s="98">
        <v>1.0</v>
      </c>
      <c r="E75" s="97" t="s">
        <v>1300</v>
      </c>
      <c r="F75" s="97" t="s">
        <v>1311</v>
      </c>
      <c r="G75" s="99">
        <v>0.007893518518518518</v>
      </c>
    </row>
    <row r="76">
      <c r="A76" s="96" t="s">
        <v>1549</v>
      </c>
      <c r="B76" s="96" t="s">
        <v>1550</v>
      </c>
      <c r="C76" s="97" t="s">
        <v>1568</v>
      </c>
      <c r="D76" s="98">
        <v>1.0</v>
      </c>
      <c r="E76" s="97" t="s">
        <v>1300</v>
      </c>
      <c r="F76" s="97" t="s">
        <v>1313</v>
      </c>
      <c r="G76" s="99">
        <v>0.006099537037037037</v>
      </c>
    </row>
    <row r="77">
      <c r="A77" s="96" t="s">
        <v>1549</v>
      </c>
      <c r="B77" s="96" t="s">
        <v>1550</v>
      </c>
      <c r="C77" s="97" t="s">
        <v>1568</v>
      </c>
      <c r="D77" s="98">
        <v>2.0</v>
      </c>
      <c r="E77" s="97" t="s">
        <v>1317</v>
      </c>
      <c r="F77" s="97" t="s">
        <v>1315</v>
      </c>
      <c r="G77" s="99">
        <v>0.010393518518518519</v>
      </c>
    </row>
    <row r="78">
      <c r="A78" s="96" t="s">
        <v>1549</v>
      </c>
      <c r="B78" s="96" t="s">
        <v>1550</v>
      </c>
      <c r="C78" s="97" t="s">
        <v>1568</v>
      </c>
      <c r="D78" s="98">
        <v>2.0</v>
      </c>
      <c r="E78" s="97" t="s">
        <v>1317</v>
      </c>
      <c r="F78" s="97" t="s">
        <v>1571</v>
      </c>
      <c r="G78" s="99">
        <v>0.002337962962962963</v>
      </c>
    </row>
    <row r="79">
      <c r="A79" s="96" t="s">
        <v>1549</v>
      </c>
      <c r="B79" s="96" t="s">
        <v>1550</v>
      </c>
      <c r="C79" s="97" t="s">
        <v>1568</v>
      </c>
      <c r="D79" s="98">
        <v>2.0</v>
      </c>
      <c r="E79" s="97" t="s">
        <v>1317</v>
      </c>
      <c r="F79" s="97" t="s">
        <v>1318</v>
      </c>
      <c r="G79" s="99">
        <v>0.007060185185185185</v>
      </c>
    </row>
    <row r="80">
      <c r="A80" s="96" t="s">
        <v>1549</v>
      </c>
      <c r="B80" s="96" t="s">
        <v>1550</v>
      </c>
      <c r="C80" s="97" t="s">
        <v>1568</v>
      </c>
      <c r="D80" s="98">
        <v>2.0</v>
      </c>
      <c r="E80" s="97" t="s">
        <v>1317</v>
      </c>
      <c r="F80" s="97" t="s">
        <v>1320</v>
      </c>
      <c r="G80" s="99">
        <v>0.007592592592592593</v>
      </c>
    </row>
    <row r="81">
      <c r="A81" s="96" t="s">
        <v>1549</v>
      </c>
      <c r="B81" s="96" t="s">
        <v>1550</v>
      </c>
      <c r="C81" s="97" t="s">
        <v>1568</v>
      </c>
      <c r="D81" s="98">
        <v>2.0</v>
      </c>
      <c r="E81" s="97" t="s">
        <v>1317</v>
      </c>
      <c r="F81" s="97" t="s">
        <v>1322</v>
      </c>
      <c r="G81" s="99">
        <v>0.002928240740740741</v>
      </c>
    </row>
    <row r="82">
      <c r="A82" s="96" t="s">
        <v>1549</v>
      </c>
      <c r="B82" s="96" t="s">
        <v>1550</v>
      </c>
      <c r="C82" s="97" t="s">
        <v>1568</v>
      </c>
      <c r="D82" s="98">
        <v>2.0</v>
      </c>
      <c r="E82" s="97" t="s">
        <v>1317</v>
      </c>
      <c r="F82" s="97" t="s">
        <v>1324</v>
      </c>
      <c r="G82" s="99">
        <v>0.03125</v>
      </c>
    </row>
    <row r="83">
      <c r="A83" s="96" t="s">
        <v>1549</v>
      </c>
      <c r="B83" s="96" t="s">
        <v>1550</v>
      </c>
      <c r="C83" s="97" t="s">
        <v>1568</v>
      </c>
      <c r="D83" s="98">
        <v>2.0</v>
      </c>
      <c r="E83" s="97" t="s">
        <v>1317</v>
      </c>
      <c r="F83" s="97" t="s">
        <v>1325</v>
      </c>
      <c r="G83" s="104">
        <v>0.041666666666666664</v>
      </c>
    </row>
    <row r="84">
      <c r="A84" s="96" t="s">
        <v>1549</v>
      </c>
      <c r="B84" s="96" t="s">
        <v>1550</v>
      </c>
      <c r="C84" s="97" t="s">
        <v>1568</v>
      </c>
      <c r="D84" s="98">
        <v>3.0</v>
      </c>
      <c r="E84" s="97" t="s">
        <v>1328</v>
      </c>
      <c r="F84" s="97" t="s">
        <v>1326</v>
      </c>
      <c r="G84" s="99">
        <v>0.021423611111111112</v>
      </c>
    </row>
    <row r="85">
      <c r="A85" s="96" t="s">
        <v>1549</v>
      </c>
      <c r="B85" s="96" t="s">
        <v>1550</v>
      </c>
      <c r="C85" s="97" t="s">
        <v>1568</v>
      </c>
      <c r="D85" s="98">
        <v>3.0</v>
      </c>
      <c r="E85" s="97" t="s">
        <v>1328</v>
      </c>
      <c r="F85" s="97" t="s">
        <v>1329</v>
      </c>
      <c r="G85" s="99">
        <v>0.007465277777777778</v>
      </c>
    </row>
    <row r="86">
      <c r="A86" s="96" t="s">
        <v>1549</v>
      </c>
      <c r="B86" s="96" t="s">
        <v>1550</v>
      </c>
      <c r="C86" s="97" t="s">
        <v>1568</v>
      </c>
      <c r="D86" s="98">
        <v>3.0</v>
      </c>
      <c r="E86" s="97" t="s">
        <v>1328</v>
      </c>
      <c r="F86" s="97" t="s">
        <v>1331</v>
      </c>
      <c r="G86" s="99">
        <v>0.006805555555555555</v>
      </c>
    </row>
    <row r="87">
      <c r="A87" s="96" t="s">
        <v>1549</v>
      </c>
      <c r="B87" s="96" t="s">
        <v>1550</v>
      </c>
      <c r="C87" s="97" t="s">
        <v>1568</v>
      </c>
      <c r="D87" s="98">
        <v>3.0</v>
      </c>
      <c r="E87" s="97" t="s">
        <v>1328</v>
      </c>
      <c r="F87" s="97" t="s">
        <v>1333</v>
      </c>
      <c r="G87" s="99">
        <v>0.006307870370370371</v>
      </c>
    </row>
    <row r="88">
      <c r="A88" s="96" t="s">
        <v>1549</v>
      </c>
      <c r="B88" s="96" t="s">
        <v>1550</v>
      </c>
      <c r="C88" s="97" t="s">
        <v>1568</v>
      </c>
      <c r="D88" s="98">
        <v>3.0</v>
      </c>
      <c r="E88" s="97" t="s">
        <v>1328</v>
      </c>
      <c r="F88" s="97" t="s">
        <v>1335</v>
      </c>
      <c r="G88" s="99">
        <v>0.003981481481481482</v>
      </c>
    </row>
    <row r="89">
      <c r="A89" s="96" t="s">
        <v>1549</v>
      </c>
      <c r="B89" s="96" t="s">
        <v>1550</v>
      </c>
      <c r="C89" s="97" t="s">
        <v>1568</v>
      </c>
      <c r="D89" s="98">
        <v>3.0</v>
      </c>
      <c r="E89" s="97" t="s">
        <v>1328</v>
      </c>
      <c r="F89" s="97" t="s">
        <v>1337</v>
      </c>
      <c r="G89" s="99">
        <v>0.018449074074074073</v>
      </c>
    </row>
    <row r="90">
      <c r="A90" s="96" t="s">
        <v>1549</v>
      </c>
      <c r="B90" s="96" t="s">
        <v>1550</v>
      </c>
      <c r="C90" s="97" t="s">
        <v>1568</v>
      </c>
      <c r="D90" s="98">
        <v>3.0</v>
      </c>
      <c r="E90" s="97" t="s">
        <v>1328</v>
      </c>
      <c r="F90" s="97" t="s">
        <v>1339</v>
      </c>
      <c r="G90" s="99">
        <v>0.004629629629629629</v>
      </c>
    </row>
    <row r="91">
      <c r="A91" s="96" t="s">
        <v>1549</v>
      </c>
      <c r="B91" s="96" t="s">
        <v>1550</v>
      </c>
      <c r="C91" s="97" t="s">
        <v>1568</v>
      </c>
      <c r="D91" s="98">
        <v>3.0</v>
      </c>
      <c r="E91" s="97" t="s">
        <v>1328</v>
      </c>
      <c r="F91" s="97" t="s">
        <v>1341</v>
      </c>
      <c r="G91" s="99">
        <v>0.0625</v>
      </c>
    </row>
    <row r="92">
      <c r="A92" s="96" t="s">
        <v>1549</v>
      </c>
      <c r="B92" s="96" t="s">
        <v>1550</v>
      </c>
      <c r="C92" s="97" t="s">
        <v>1568</v>
      </c>
      <c r="D92" s="98">
        <v>3.0</v>
      </c>
      <c r="E92" s="97" t="s">
        <v>1328</v>
      </c>
      <c r="F92" s="97" t="s">
        <v>1342</v>
      </c>
      <c r="G92" s="99">
        <v>0.03125</v>
      </c>
    </row>
    <row r="93">
      <c r="A93" s="96" t="s">
        <v>1549</v>
      </c>
      <c r="B93" s="96" t="s">
        <v>1550</v>
      </c>
      <c r="C93" s="97" t="s">
        <v>1568</v>
      </c>
      <c r="D93" s="98">
        <v>3.0</v>
      </c>
      <c r="E93" s="97" t="s">
        <v>1328</v>
      </c>
      <c r="F93" s="97" t="s">
        <v>1343</v>
      </c>
      <c r="G93" s="99">
        <v>0.0625</v>
      </c>
    </row>
    <row r="94">
      <c r="A94" s="96" t="s">
        <v>1549</v>
      </c>
      <c r="B94" s="96" t="s">
        <v>1550</v>
      </c>
      <c r="C94" s="97" t="s">
        <v>1568</v>
      </c>
      <c r="D94" s="98">
        <v>3.0</v>
      </c>
      <c r="E94" s="97" t="s">
        <v>1328</v>
      </c>
      <c r="F94" s="97" t="s">
        <v>1344</v>
      </c>
      <c r="G94" s="99">
        <v>0.0625</v>
      </c>
    </row>
    <row r="95">
      <c r="A95" s="96" t="s">
        <v>1549</v>
      </c>
      <c r="B95" s="96" t="s">
        <v>1550</v>
      </c>
      <c r="C95" s="97" t="s">
        <v>1347</v>
      </c>
      <c r="D95" s="98">
        <v>1.0</v>
      </c>
      <c r="E95" s="97" t="s">
        <v>1347</v>
      </c>
      <c r="F95" s="97" t="s">
        <v>1572</v>
      </c>
      <c r="G95" s="99">
        <v>0.003460648148148148</v>
      </c>
    </row>
    <row r="96">
      <c r="A96" s="96" t="s">
        <v>1549</v>
      </c>
      <c r="B96" s="96" t="s">
        <v>1550</v>
      </c>
      <c r="C96" s="97" t="s">
        <v>1347</v>
      </c>
      <c r="D96" s="98">
        <v>1.0</v>
      </c>
      <c r="E96" s="97" t="s">
        <v>1347</v>
      </c>
      <c r="F96" s="97" t="s">
        <v>1573</v>
      </c>
      <c r="G96" s="99">
        <v>0.003576388888888889</v>
      </c>
    </row>
    <row r="97">
      <c r="A97" s="96" t="s">
        <v>1549</v>
      </c>
      <c r="B97" s="96" t="s">
        <v>1550</v>
      </c>
      <c r="C97" s="97" t="s">
        <v>1347</v>
      </c>
      <c r="D97" s="98">
        <v>1.0</v>
      </c>
      <c r="E97" s="97" t="s">
        <v>1347</v>
      </c>
      <c r="F97" s="97" t="s">
        <v>1345</v>
      </c>
      <c r="G97" s="99">
        <v>0.002962962962962963</v>
      </c>
    </row>
    <row r="98">
      <c r="A98" s="96" t="s">
        <v>1549</v>
      </c>
      <c r="B98" s="96" t="s">
        <v>1550</v>
      </c>
      <c r="C98" s="97" t="s">
        <v>1347</v>
      </c>
      <c r="D98" s="98">
        <v>1.0</v>
      </c>
      <c r="E98" s="97" t="s">
        <v>1347</v>
      </c>
      <c r="F98" s="97" t="s">
        <v>1348</v>
      </c>
      <c r="G98" s="99">
        <v>0.005439814814814815</v>
      </c>
    </row>
    <row r="99">
      <c r="A99" s="96" t="s">
        <v>1549</v>
      </c>
      <c r="B99" s="96" t="s">
        <v>1550</v>
      </c>
      <c r="C99" s="97" t="s">
        <v>1347</v>
      </c>
      <c r="D99" s="98">
        <v>1.0</v>
      </c>
      <c r="E99" s="97" t="s">
        <v>1347</v>
      </c>
      <c r="F99" s="97" t="s">
        <v>1350</v>
      </c>
      <c r="G99" s="99">
        <v>0.004178240740740741</v>
      </c>
    </row>
    <row r="100">
      <c r="A100" s="96" t="s">
        <v>1549</v>
      </c>
      <c r="B100" s="96" t="s">
        <v>1550</v>
      </c>
      <c r="C100" s="97" t="s">
        <v>1347</v>
      </c>
      <c r="D100" s="98">
        <v>1.0</v>
      </c>
      <c r="E100" s="97" t="s">
        <v>1347</v>
      </c>
      <c r="F100" s="97" t="s">
        <v>1352</v>
      </c>
      <c r="G100" s="104">
        <v>0.42569444444444443</v>
      </c>
    </row>
    <row r="101">
      <c r="A101" s="96" t="s">
        <v>1549</v>
      </c>
      <c r="B101" s="96" t="s">
        <v>1550</v>
      </c>
      <c r="C101" s="97" t="s">
        <v>1347</v>
      </c>
      <c r="D101" s="98">
        <v>1.0</v>
      </c>
      <c r="E101" s="97" t="s">
        <v>1347</v>
      </c>
      <c r="F101" s="97" t="s">
        <v>1354</v>
      </c>
      <c r="G101" s="99">
        <v>0.125</v>
      </c>
    </row>
    <row r="102">
      <c r="A102" s="100"/>
      <c r="B102" s="100"/>
      <c r="C102" s="100"/>
      <c r="D102" s="101"/>
      <c r="E102" s="100"/>
      <c r="F102" s="100"/>
      <c r="G102" s="100"/>
    </row>
    <row r="103">
      <c r="A103" s="100"/>
      <c r="B103" s="100"/>
      <c r="C103" s="100"/>
      <c r="D103" s="101"/>
      <c r="E103" s="100"/>
      <c r="F103" s="100"/>
      <c r="G103" s="100"/>
    </row>
    <row r="104">
      <c r="A104" s="100"/>
      <c r="B104" s="100"/>
      <c r="C104" s="100"/>
      <c r="D104" s="101"/>
      <c r="E104" s="100"/>
      <c r="F104" s="100"/>
      <c r="G104" s="100"/>
    </row>
    <row r="105">
      <c r="A105" s="100"/>
      <c r="B105" s="100"/>
      <c r="C105" s="100"/>
      <c r="D105" s="101"/>
      <c r="E105" s="100"/>
      <c r="F105" s="100"/>
      <c r="G105" s="100"/>
    </row>
    <row r="106">
      <c r="A106" s="100"/>
      <c r="B106" s="100"/>
      <c r="C106" s="100"/>
      <c r="D106" s="101"/>
      <c r="E106" s="100"/>
      <c r="F106" s="100"/>
      <c r="G106" s="100"/>
    </row>
    <row r="107">
      <c r="A107" s="100"/>
      <c r="B107" s="100"/>
      <c r="C107" s="100"/>
      <c r="D107" s="101"/>
      <c r="E107" s="100"/>
      <c r="F107" s="100"/>
      <c r="G107" s="100"/>
    </row>
    <row r="108">
      <c r="A108" s="100"/>
      <c r="B108" s="100"/>
      <c r="C108" s="100"/>
      <c r="D108" s="101"/>
      <c r="E108" s="100"/>
      <c r="F108" s="100"/>
      <c r="G108" s="100"/>
    </row>
    <row r="109">
      <c r="A109" s="100"/>
      <c r="B109" s="100"/>
      <c r="C109" s="100"/>
      <c r="D109" s="101"/>
      <c r="E109" s="100"/>
      <c r="F109" s="100"/>
      <c r="G109" s="100"/>
    </row>
    <row r="110">
      <c r="A110" s="100"/>
      <c r="B110" s="100"/>
      <c r="C110" s="100"/>
      <c r="D110" s="101"/>
      <c r="E110" s="100"/>
      <c r="F110" s="100"/>
      <c r="G110" s="100"/>
    </row>
    <row r="111">
      <c r="A111" s="100"/>
      <c r="B111" s="100"/>
      <c r="C111" s="100"/>
      <c r="D111" s="101"/>
      <c r="E111" s="100"/>
      <c r="F111" s="100"/>
      <c r="G111" s="100"/>
    </row>
    <row r="112">
      <c r="A112" s="100"/>
      <c r="B112" s="100"/>
      <c r="C112" s="100"/>
      <c r="D112" s="101"/>
      <c r="E112" s="100"/>
      <c r="F112" s="100"/>
      <c r="G112" s="100"/>
    </row>
    <row r="113">
      <c r="A113" s="100"/>
      <c r="B113" s="100"/>
      <c r="C113" s="100"/>
      <c r="D113" s="101"/>
      <c r="E113" s="100"/>
      <c r="F113" s="100"/>
      <c r="G113" s="100"/>
    </row>
    <row r="114">
      <c r="A114" s="100"/>
      <c r="B114" s="100"/>
      <c r="C114" s="100"/>
      <c r="D114" s="101"/>
      <c r="E114" s="100"/>
      <c r="F114" s="100"/>
      <c r="G114" s="100"/>
    </row>
    <row r="115">
      <c r="A115" s="100"/>
      <c r="B115" s="100"/>
      <c r="C115" s="100"/>
      <c r="D115" s="101"/>
      <c r="E115" s="100"/>
      <c r="F115" s="100"/>
      <c r="G115" s="100"/>
    </row>
    <row r="116">
      <c r="A116" s="100"/>
      <c r="B116" s="100"/>
      <c r="C116" s="100"/>
      <c r="D116" s="101"/>
      <c r="E116" s="100"/>
      <c r="F116" s="100"/>
      <c r="G116" s="100"/>
    </row>
    <row r="117">
      <c r="A117" s="100"/>
      <c r="B117" s="100"/>
      <c r="C117" s="100"/>
      <c r="D117" s="101"/>
      <c r="E117" s="100"/>
      <c r="F117" s="100"/>
      <c r="G117" s="100"/>
    </row>
    <row r="118">
      <c r="A118" s="100"/>
      <c r="B118" s="100"/>
      <c r="C118" s="100"/>
      <c r="D118" s="101"/>
      <c r="E118" s="100"/>
      <c r="F118" s="100"/>
      <c r="G118" s="100"/>
    </row>
    <row r="119">
      <c r="A119" s="100"/>
      <c r="B119" s="100"/>
      <c r="C119" s="100"/>
      <c r="D119" s="101"/>
      <c r="E119" s="100"/>
      <c r="F119" s="100"/>
      <c r="G119" s="100"/>
    </row>
    <row r="120">
      <c r="A120" s="100"/>
      <c r="B120" s="100"/>
      <c r="C120" s="100"/>
      <c r="D120" s="101"/>
      <c r="E120" s="100"/>
      <c r="F120" s="100"/>
      <c r="G120" s="100"/>
    </row>
    <row r="121">
      <c r="A121" s="100"/>
      <c r="B121" s="100"/>
      <c r="C121" s="100"/>
      <c r="D121" s="101"/>
      <c r="E121" s="100"/>
      <c r="F121" s="100"/>
      <c r="G121" s="100"/>
    </row>
    <row r="122">
      <c r="A122" s="100"/>
      <c r="B122" s="100"/>
      <c r="C122" s="100"/>
      <c r="D122" s="101"/>
      <c r="E122" s="100"/>
      <c r="F122" s="100"/>
      <c r="G122" s="100"/>
    </row>
    <row r="123">
      <c r="A123" s="100"/>
      <c r="B123" s="100"/>
      <c r="C123" s="100"/>
      <c r="D123" s="101"/>
      <c r="E123" s="100"/>
      <c r="F123" s="100"/>
      <c r="G123" s="100"/>
    </row>
    <row r="124">
      <c r="A124" s="100"/>
      <c r="B124" s="100"/>
      <c r="C124" s="100"/>
      <c r="D124" s="101"/>
      <c r="E124" s="100"/>
      <c r="F124" s="100"/>
      <c r="G124" s="100"/>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49.22"/>
    <col customWidth="1" min="2" max="2" width="36.22"/>
    <col customWidth="1" min="3" max="3" width="41.89"/>
    <col customWidth="1" min="4" max="4" width="17.11"/>
    <col customWidth="1" min="7" max="7" width="33.56"/>
    <col customWidth="1" min="8" max="8" width="50.89"/>
    <col customWidth="1" min="9" max="9" width="40.22"/>
  </cols>
  <sheetData>
    <row r="1">
      <c r="A1" s="106" t="s">
        <v>1688</v>
      </c>
      <c r="B1" s="110"/>
      <c r="C1" s="107" t="s">
        <v>1639</v>
      </c>
      <c r="D1" s="108" t="s">
        <v>1640</v>
      </c>
      <c r="E1" s="109" t="s">
        <v>1641</v>
      </c>
      <c r="F1" s="109" t="s">
        <v>1642</v>
      </c>
      <c r="G1" s="110"/>
      <c r="H1" s="109" t="s">
        <v>1643</v>
      </c>
      <c r="I1" s="109" t="s">
        <v>1670</v>
      </c>
    </row>
    <row r="2">
      <c r="A2" s="111" t="s">
        <v>1689</v>
      </c>
      <c r="B2" s="112"/>
      <c r="C2" s="112"/>
      <c r="D2" s="113"/>
      <c r="E2" s="112"/>
      <c r="F2" s="114">
        <f>SUM(F3+F6+F34+F46+F50)</f>
        <v>0.6073611111</v>
      </c>
      <c r="G2" s="112"/>
      <c r="H2" s="112"/>
      <c r="I2" s="112"/>
    </row>
    <row r="3">
      <c r="A3" s="115" t="s">
        <v>1690</v>
      </c>
      <c r="B3" s="116"/>
      <c r="C3" s="116"/>
      <c r="D3" s="117"/>
      <c r="E3" s="116"/>
      <c r="F3" s="118">
        <f>SUM(F4)</f>
        <v>0</v>
      </c>
      <c r="G3" s="116"/>
      <c r="H3" s="116"/>
      <c r="I3" s="116"/>
    </row>
    <row r="4">
      <c r="A4" s="110"/>
      <c r="B4" s="110" t="s">
        <v>1646</v>
      </c>
      <c r="C4" s="110"/>
      <c r="D4" s="119"/>
      <c r="E4" s="110"/>
      <c r="F4" s="120">
        <f>SUM(D5)</f>
        <v>0</v>
      </c>
      <c r="G4" s="110"/>
      <c r="H4" s="110"/>
      <c r="I4" s="110"/>
    </row>
    <row r="5">
      <c r="A5" s="110"/>
      <c r="B5" s="110"/>
      <c r="C5" s="121" t="s">
        <v>1691</v>
      </c>
      <c r="D5" s="119"/>
      <c r="E5" s="110"/>
      <c r="F5" s="119"/>
      <c r="G5" s="110"/>
      <c r="H5" s="110"/>
      <c r="I5" s="110"/>
    </row>
    <row r="6">
      <c r="A6" s="115" t="s">
        <v>1692</v>
      </c>
      <c r="B6" s="116"/>
      <c r="C6" s="116"/>
      <c r="D6" s="117"/>
      <c r="E6" s="116"/>
      <c r="F6" s="118">
        <f>SUM(F7:F33)</f>
        <v>0.2440277778</v>
      </c>
      <c r="G6" s="125" t="s">
        <v>1693</v>
      </c>
      <c r="H6" s="115"/>
      <c r="I6" s="115"/>
    </row>
    <row r="7">
      <c r="A7" s="110"/>
      <c r="B7" s="121" t="s">
        <v>1694</v>
      </c>
      <c r="C7" s="110"/>
      <c r="D7" s="119"/>
      <c r="E7" s="110"/>
      <c r="F7" s="120">
        <f>SUM(D8:D11)</f>
        <v>0.08344907407</v>
      </c>
      <c r="G7" s="110"/>
      <c r="H7" s="110"/>
      <c r="I7" s="110"/>
    </row>
    <row r="8">
      <c r="A8" s="110"/>
      <c r="B8" s="110"/>
      <c r="C8" s="121" t="s">
        <v>1695</v>
      </c>
      <c r="D8" s="122">
        <v>0.026296296296296297</v>
      </c>
      <c r="E8" s="110"/>
      <c r="F8" s="110"/>
      <c r="G8" s="126" t="s">
        <v>1696</v>
      </c>
      <c r="H8" s="106" t="s">
        <v>1697</v>
      </c>
      <c r="I8" s="110"/>
    </row>
    <row r="9">
      <c r="A9" s="110"/>
      <c r="B9" s="110"/>
      <c r="C9" s="121" t="s">
        <v>1698</v>
      </c>
      <c r="D9" s="122">
        <v>0.0225</v>
      </c>
      <c r="E9" s="110"/>
      <c r="F9" s="110"/>
      <c r="G9" s="110"/>
      <c r="H9" s="106" t="s">
        <v>1697</v>
      </c>
      <c r="I9" s="110"/>
    </row>
    <row r="10">
      <c r="A10" s="110"/>
      <c r="B10" s="110"/>
      <c r="C10" s="121" t="s">
        <v>1699</v>
      </c>
      <c r="D10" s="122">
        <v>0.02068287037037037</v>
      </c>
      <c r="E10" s="110"/>
      <c r="F10" s="119"/>
      <c r="G10" s="110"/>
      <c r="H10" s="106" t="s">
        <v>1697</v>
      </c>
      <c r="I10" s="110"/>
    </row>
    <row r="11">
      <c r="A11" s="110"/>
      <c r="B11" s="110"/>
      <c r="C11" s="121" t="s">
        <v>1700</v>
      </c>
      <c r="D11" s="122">
        <v>0.013969907407407407</v>
      </c>
      <c r="E11" s="110"/>
      <c r="F11" s="119"/>
      <c r="G11" s="110"/>
      <c r="H11" s="121" t="s">
        <v>1697</v>
      </c>
      <c r="I11" s="110"/>
    </row>
    <row r="12">
      <c r="A12" s="110"/>
      <c r="B12" s="121" t="s">
        <v>1701</v>
      </c>
      <c r="C12" s="110"/>
      <c r="D12" s="119"/>
      <c r="E12" s="110"/>
      <c r="F12" s="120">
        <f>SUM(D13:D20)</f>
        <v>0.06385416667</v>
      </c>
      <c r="G12" s="110"/>
      <c r="H12" s="110"/>
      <c r="I12" s="110"/>
    </row>
    <row r="13">
      <c r="A13" s="110"/>
      <c r="B13" s="110"/>
      <c r="C13" s="121" t="s">
        <v>1702</v>
      </c>
      <c r="D13" s="122">
        <v>7.986111111111112E-4</v>
      </c>
      <c r="E13" s="110"/>
      <c r="F13" s="110"/>
      <c r="G13" s="110"/>
      <c r="H13" s="121" t="s">
        <v>1697</v>
      </c>
      <c r="I13" s="110"/>
    </row>
    <row r="14">
      <c r="A14" s="110"/>
      <c r="B14" s="110"/>
      <c r="C14" s="121" t="s">
        <v>1703</v>
      </c>
      <c r="D14" s="122">
        <v>0.004930555555555555</v>
      </c>
      <c r="E14" s="110"/>
      <c r="F14" s="110"/>
      <c r="G14" s="110"/>
      <c r="H14" s="121" t="s">
        <v>1697</v>
      </c>
      <c r="I14" s="110"/>
    </row>
    <row r="15">
      <c r="A15" s="110"/>
      <c r="B15" s="110"/>
      <c r="C15" s="121" t="s">
        <v>1704</v>
      </c>
      <c r="D15" s="122">
        <v>0.007847222222222222</v>
      </c>
      <c r="E15" s="110"/>
      <c r="F15" s="110"/>
      <c r="G15" s="110"/>
      <c r="H15" s="121" t="s">
        <v>1697</v>
      </c>
      <c r="I15" s="110"/>
    </row>
    <row r="16">
      <c r="A16" s="110"/>
      <c r="B16" s="110"/>
      <c r="C16" s="121" t="s">
        <v>1705</v>
      </c>
      <c r="D16" s="122">
        <v>0.008136574074074074</v>
      </c>
      <c r="E16" s="110"/>
      <c r="F16" s="110"/>
      <c r="G16" s="110"/>
      <c r="H16" s="121" t="s">
        <v>1697</v>
      </c>
      <c r="I16" s="110"/>
    </row>
    <row r="17">
      <c r="A17" s="110"/>
      <c r="B17" s="110"/>
      <c r="C17" s="121" t="s">
        <v>1706</v>
      </c>
      <c r="D17" s="122">
        <v>0.001412037037037037</v>
      </c>
      <c r="E17" s="110"/>
      <c r="F17" s="119"/>
      <c r="G17" s="110"/>
      <c r="H17" s="121" t="s">
        <v>1697</v>
      </c>
      <c r="I17" s="110"/>
    </row>
    <row r="18">
      <c r="A18" s="110"/>
      <c r="B18" s="110"/>
      <c r="C18" s="121" t="s">
        <v>1707</v>
      </c>
      <c r="D18" s="122">
        <v>0.009872685185185186</v>
      </c>
      <c r="E18" s="110"/>
      <c r="F18" s="110"/>
      <c r="G18" s="110"/>
      <c r="H18" s="121" t="s">
        <v>1697</v>
      </c>
      <c r="I18" s="110"/>
    </row>
    <row r="19">
      <c r="A19" s="110"/>
      <c r="B19" s="110"/>
      <c r="C19" s="121" t="s">
        <v>1708</v>
      </c>
      <c r="D19" s="122">
        <v>0.004733796296296297</v>
      </c>
      <c r="E19" s="110"/>
      <c r="F19" s="110"/>
      <c r="G19" s="110"/>
      <c r="H19" s="121" t="s">
        <v>1697</v>
      </c>
      <c r="I19" s="110"/>
    </row>
    <row r="20">
      <c r="A20" s="110"/>
      <c r="B20" s="110"/>
      <c r="C20" s="121" t="s">
        <v>1709</v>
      </c>
      <c r="D20" s="122">
        <v>0.026122685185185186</v>
      </c>
      <c r="E20" s="110"/>
      <c r="F20" s="119"/>
      <c r="G20" s="110"/>
      <c r="H20" s="121" t="s">
        <v>1697</v>
      </c>
      <c r="I20" s="110"/>
    </row>
    <row r="21">
      <c r="A21" s="110"/>
      <c r="B21" s="121" t="s">
        <v>1710</v>
      </c>
      <c r="C21" s="110"/>
      <c r="D21" s="119"/>
      <c r="E21" s="110"/>
      <c r="F21" s="120">
        <f>SUM(D22:D30)</f>
        <v>0.04454861111</v>
      </c>
      <c r="G21" s="110"/>
      <c r="H21" s="110"/>
      <c r="I21" s="110"/>
    </row>
    <row r="22">
      <c r="A22" s="110"/>
      <c r="B22" s="110"/>
      <c r="C22" s="121" t="s">
        <v>1711</v>
      </c>
      <c r="D22" s="122">
        <v>0.002766203703703704</v>
      </c>
      <c r="E22" s="110"/>
      <c r="F22" s="110"/>
      <c r="G22" s="110"/>
      <c r="H22" s="106" t="s">
        <v>1712</v>
      </c>
      <c r="I22" s="110"/>
    </row>
    <row r="23">
      <c r="A23" s="110"/>
      <c r="B23" s="110"/>
      <c r="C23" s="121" t="s">
        <v>1713</v>
      </c>
      <c r="D23" s="122">
        <v>0.0032407407407407406</v>
      </c>
      <c r="E23" s="110"/>
      <c r="F23" s="110"/>
      <c r="G23" s="110"/>
      <c r="H23" s="106" t="s">
        <v>1712</v>
      </c>
      <c r="I23" s="110"/>
    </row>
    <row r="24">
      <c r="A24" s="110"/>
      <c r="B24" s="110"/>
      <c r="C24" s="121" t="s">
        <v>1714</v>
      </c>
      <c r="D24" s="122">
        <v>0.00625</v>
      </c>
      <c r="E24" s="110"/>
      <c r="F24" s="110"/>
      <c r="G24" s="110"/>
      <c r="H24" s="106" t="s">
        <v>1712</v>
      </c>
      <c r="I24" s="110"/>
    </row>
    <row r="25">
      <c r="A25" s="110"/>
      <c r="B25" s="110"/>
      <c r="C25" s="121" t="s">
        <v>1715</v>
      </c>
      <c r="D25" s="122">
        <v>0.009467592592592593</v>
      </c>
      <c r="E25" s="110"/>
      <c r="F25" s="110"/>
      <c r="G25" s="121" t="s">
        <v>1716</v>
      </c>
      <c r="H25" s="106" t="s">
        <v>1712</v>
      </c>
      <c r="I25" s="110"/>
    </row>
    <row r="26">
      <c r="A26" s="110"/>
      <c r="B26" s="110"/>
      <c r="C26" s="121" t="s">
        <v>1717</v>
      </c>
      <c r="D26" s="122">
        <v>0.008414351851851852</v>
      </c>
      <c r="E26" s="110"/>
      <c r="F26" s="110"/>
      <c r="G26" s="110"/>
      <c r="H26" s="106" t="s">
        <v>1712</v>
      </c>
      <c r="I26" s="110"/>
    </row>
    <row r="27">
      <c r="A27" s="110"/>
      <c r="B27" s="110"/>
      <c r="C27" s="121" t="s">
        <v>1718</v>
      </c>
      <c r="D27" s="122">
        <v>0.003576388888888889</v>
      </c>
      <c r="E27" s="110"/>
      <c r="F27" s="119"/>
      <c r="G27" s="110"/>
      <c r="H27" s="106" t="s">
        <v>1712</v>
      </c>
      <c r="I27" s="110"/>
    </row>
    <row r="28">
      <c r="A28" s="110"/>
      <c r="B28" s="110"/>
      <c r="C28" s="121" t="s">
        <v>1719</v>
      </c>
      <c r="D28" s="122">
        <v>6.828703703703704E-4</v>
      </c>
      <c r="E28" s="110"/>
      <c r="F28" s="110"/>
      <c r="G28" s="110"/>
      <c r="H28" s="106" t="s">
        <v>1712</v>
      </c>
      <c r="I28" s="110"/>
    </row>
    <row r="29">
      <c r="A29" s="110"/>
      <c r="B29" s="110"/>
      <c r="C29" s="121" t="s">
        <v>1720</v>
      </c>
      <c r="D29" s="122">
        <v>0.002395833333333333</v>
      </c>
      <c r="E29" s="110"/>
      <c r="F29" s="110"/>
      <c r="G29" s="110"/>
      <c r="H29" s="106" t="s">
        <v>1712</v>
      </c>
      <c r="I29" s="110"/>
    </row>
    <row r="30">
      <c r="A30" s="110"/>
      <c r="B30" s="110"/>
      <c r="C30" s="121" t="s">
        <v>1721</v>
      </c>
      <c r="D30" s="127">
        <v>0.0077546296296296295</v>
      </c>
      <c r="E30" s="110"/>
      <c r="F30" s="119"/>
      <c r="G30" s="110"/>
      <c r="H30" s="106" t="s">
        <v>1722</v>
      </c>
      <c r="I30" s="110"/>
    </row>
    <row r="31">
      <c r="A31" s="110"/>
      <c r="B31" s="121" t="s">
        <v>1723</v>
      </c>
      <c r="C31" s="110"/>
      <c r="D31" s="119"/>
      <c r="E31" s="110"/>
      <c r="F31" s="120">
        <f>SUM(D32:D34)</f>
        <v>0.05217592593</v>
      </c>
      <c r="G31" s="110"/>
      <c r="H31" s="110"/>
      <c r="I31" s="110"/>
    </row>
    <row r="32">
      <c r="A32" s="110"/>
      <c r="B32" s="110"/>
      <c r="C32" s="121" t="s">
        <v>1724</v>
      </c>
      <c r="D32" s="122">
        <v>0.026898148148148147</v>
      </c>
      <c r="E32" s="110"/>
      <c r="F32" s="110"/>
      <c r="G32" s="110"/>
      <c r="H32" s="106" t="s">
        <v>1760</v>
      </c>
      <c r="I32" s="110"/>
    </row>
    <row r="33">
      <c r="A33" s="110"/>
      <c r="B33" s="110"/>
      <c r="C33" s="121" t="s">
        <v>1726</v>
      </c>
      <c r="D33" s="122">
        <v>0.025277777777777777</v>
      </c>
      <c r="E33" s="110"/>
      <c r="F33" s="110"/>
      <c r="G33" s="110"/>
      <c r="H33" s="106" t="s">
        <v>1761</v>
      </c>
      <c r="I33" s="110"/>
    </row>
    <row r="34">
      <c r="A34" s="115" t="s">
        <v>1728</v>
      </c>
      <c r="B34" s="116"/>
      <c r="C34" s="116"/>
      <c r="D34" s="117"/>
      <c r="E34" s="116"/>
      <c r="F34" s="118">
        <f>SUM(F35:F45)</f>
        <v>0.09105324074</v>
      </c>
      <c r="G34" s="116"/>
      <c r="H34" s="116"/>
      <c r="I34" s="116"/>
    </row>
    <row r="35">
      <c r="A35" s="110"/>
      <c r="B35" s="121" t="s">
        <v>1728</v>
      </c>
      <c r="C35" s="110"/>
      <c r="D35" s="119"/>
      <c r="E35" s="110"/>
      <c r="F35" s="120">
        <f>SUM(D36:D41)</f>
        <v>0.06325231481</v>
      </c>
      <c r="G35" s="110"/>
      <c r="H35" s="110"/>
      <c r="I35" s="110"/>
    </row>
    <row r="36">
      <c r="A36" s="110"/>
      <c r="B36" s="110"/>
      <c r="C36" s="121" t="s">
        <v>1729</v>
      </c>
      <c r="D36" s="122">
        <v>0.010636574074074074</v>
      </c>
      <c r="E36" s="110"/>
      <c r="F36" s="110"/>
      <c r="G36" s="110"/>
      <c r="H36" s="106" t="s">
        <v>1712</v>
      </c>
      <c r="I36" s="110"/>
    </row>
    <row r="37">
      <c r="A37" s="110"/>
      <c r="B37" s="110"/>
      <c r="C37" s="121" t="s">
        <v>1730</v>
      </c>
      <c r="D37" s="122">
        <v>0.010914351851851852</v>
      </c>
      <c r="E37" s="110"/>
      <c r="F37" s="110"/>
      <c r="G37" s="110"/>
      <c r="H37" s="106" t="s">
        <v>1712</v>
      </c>
      <c r="I37" s="110"/>
    </row>
    <row r="38">
      <c r="A38" s="110"/>
      <c r="B38" s="110"/>
      <c r="C38" s="121" t="s">
        <v>1731</v>
      </c>
      <c r="D38" s="122">
        <v>0.009733796296296296</v>
      </c>
      <c r="E38" s="110"/>
      <c r="F38" s="110"/>
      <c r="G38" s="110"/>
      <c r="H38" s="106" t="s">
        <v>1712</v>
      </c>
      <c r="I38" s="110"/>
    </row>
    <row r="39">
      <c r="A39" s="110"/>
      <c r="B39" s="110"/>
      <c r="C39" s="121" t="s">
        <v>1732</v>
      </c>
      <c r="D39" s="122">
        <v>0.011215277777777777</v>
      </c>
      <c r="E39" s="110"/>
      <c r="F39" s="119"/>
      <c r="G39" s="110"/>
      <c r="H39" s="106" t="s">
        <v>1712</v>
      </c>
      <c r="I39" s="110"/>
    </row>
    <row r="40">
      <c r="A40" s="110"/>
      <c r="B40" s="110"/>
      <c r="C40" s="121" t="s">
        <v>1733</v>
      </c>
      <c r="D40" s="122">
        <v>0.011643518518518518</v>
      </c>
      <c r="E40" s="110"/>
      <c r="F40" s="119"/>
      <c r="G40" s="110"/>
      <c r="H40" s="106" t="s">
        <v>1712</v>
      </c>
      <c r="I40" s="110"/>
    </row>
    <row r="41">
      <c r="A41" s="110"/>
      <c r="B41" s="110"/>
      <c r="C41" s="121" t="s">
        <v>1734</v>
      </c>
      <c r="D41" s="122">
        <v>0.009108796296296297</v>
      </c>
      <c r="E41" s="110"/>
      <c r="F41" s="119"/>
      <c r="G41" s="110"/>
      <c r="H41" s="106" t="s">
        <v>1712</v>
      </c>
      <c r="I41" s="110"/>
    </row>
    <row r="42">
      <c r="A42" s="110"/>
      <c r="B42" s="121" t="s">
        <v>1735</v>
      </c>
      <c r="C42" s="110"/>
      <c r="D42" s="119"/>
      <c r="E42" s="110"/>
      <c r="F42" s="120">
        <f>SUM(D43:D45)</f>
        <v>0.02780092593</v>
      </c>
      <c r="G42" s="110"/>
      <c r="H42" s="110"/>
      <c r="I42" s="110"/>
    </row>
    <row r="43">
      <c r="A43" s="110"/>
      <c r="B43" s="110"/>
      <c r="C43" s="121" t="s">
        <v>1736</v>
      </c>
      <c r="D43" s="122">
        <v>0.010335648148148148</v>
      </c>
      <c r="E43" s="110"/>
      <c r="F43" s="110"/>
      <c r="G43" s="110"/>
      <c r="H43" s="106" t="s">
        <v>1712</v>
      </c>
      <c r="I43" s="110"/>
    </row>
    <row r="44">
      <c r="A44" s="110"/>
      <c r="B44" s="110"/>
      <c r="C44" s="121" t="s">
        <v>1737</v>
      </c>
      <c r="D44" s="122">
        <v>0.010648148148148148</v>
      </c>
      <c r="E44" s="110"/>
      <c r="F44" s="110"/>
      <c r="G44" s="110"/>
      <c r="H44" s="106" t="s">
        <v>1712</v>
      </c>
      <c r="I44" s="110"/>
    </row>
    <row r="45">
      <c r="A45" s="110"/>
      <c r="B45" s="110"/>
      <c r="C45" s="121" t="s">
        <v>1738</v>
      </c>
      <c r="D45" s="122">
        <v>0.00681712962962963</v>
      </c>
      <c r="E45" s="110"/>
      <c r="F45" s="110"/>
      <c r="G45" s="110"/>
      <c r="H45" s="106" t="s">
        <v>1712</v>
      </c>
      <c r="I45" s="110"/>
    </row>
    <row r="46">
      <c r="A46" s="115" t="s">
        <v>1739</v>
      </c>
      <c r="B46" s="116"/>
      <c r="C46" s="116"/>
      <c r="D46" s="117"/>
      <c r="E46" s="116"/>
      <c r="F46" s="118">
        <f>SUM(F47:F49)</f>
        <v>0.05775462963</v>
      </c>
      <c r="G46" s="116"/>
      <c r="H46" s="116"/>
      <c r="I46" s="116"/>
    </row>
    <row r="47">
      <c r="A47" s="110"/>
      <c r="B47" s="121" t="s">
        <v>1740</v>
      </c>
      <c r="C47" s="110"/>
      <c r="D47" s="119"/>
      <c r="E47" s="110"/>
      <c r="F47" s="120">
        <f>SUM(D48:D49)</f>
        <v>0.05775462963</v>
      </c>
      <c r="G47" s="110"/>
      <c r="H47" s="110"/>
      <c r="I47" s="110"/>
    </row>
    <row r="48">
      <c r="A48" s="110"/>
      <c r="B48" s="110"/>
      <c r="C48" s="121" t="s">
        <v>1741</v>
      </c>
      <c r="D48" s="122">
        <v>0.025405092592592594</v>
      </c>
      <c r="E48" s="110"/>
      <c r="F48" s="110"/>
      <c r="G48" s="110"/>
      <c r="H48" s="121" t="s">
        <v>1697</v>
      </c>
      <c r="I48" s="110"/>
    </row>
    <row r="49">
      <c r="A49" s="110"/>
      <c r="B49" s="110"/>
      <c r="C49" s="121" t="s">
        <v>1742</v>
      </c>
      <c r="D49" s="122">
        <v>0.03234953703703704</v>
      </c>
      <c r="E49" s="110"/>
      <c r="F49" s="110"/>
      <c r="G49" s="110"/>
      <c r="H49" s="121" t="s">
        <v>1697</v>
      </c>
      <c r="I49" s="110"/>
    </row>
    <row r="50">
      <c r="A50" s="115" t="s">
        <v>1743</v>
      </c>
      <c r="B50" s="116"/>
      <c r="C50" s="116"/>
      <c r="D50" s="117"/>
      <c r="E50" s="116"/>
      <c r="F50" s="118">
        <f>SUM(F51:F70)</f>
        <v>0.214525463</v>
      </c>
      <c r="G50" s="116"/>
      <c r="H50" s="116"/>
      <c r="I50" s="116"/>
    </row>
    <row r="51">
      <c r="A51" s="110"/>
      <c r="B51" s="121" t="s">
        <v>1744</v>
      </c>
      <c r="C51" s="110"/>
      <c r="D51" s="119"/>
      <c r="E51" s="110"/>
      <c r="F51" s="120">
        <f>SUM(D52:Z60)</f>
        <v>0.03652777778</v>
      </c>
      <c r="G51" s="110"/>
      <c r="H51" s="110"/>
      <c r="I51" s="110"/>
    </row>
    <row r="52">
      <c r="A52" s="110"/>
      <c r="B52" s="110"/>
      <c r="C52" s="121" t="s">
        <v>1745</v>
      </c>
      <c r="D52" s="122">
        <v>0.0033333333333333335</v>
      </c>
      <c r="E52" s="110"/>
      <c r="F52" s="110"/>
      <c r="G52" s="110"/>
      <c r="H52" s="106" t="s">
        <v>1712</v>
      </c>
      <c r="I52" s="110"/>
    </row>
    <row r="53">
      <c r="A53" s="110"/>
      <c r="B53" s="110"/>
      <c r="C53" s="121" t="s">
        <v>1713</v>
      </c>
      <c r="D53" s="122">
        <v>0.00962962962962963</v>
      </c>
      <c r="E53" s="110"/>
      <c r="F53" s="110"/>
      <c r="G53" s="110"/>
      <c r="H53" s="106" t="s">
        <v>1712</v>
      </c>
      <c r="I53" s="110"/>
    </row>
    <row r="54">
      <c r="A54" s="110"/>
      <c r="B54" s="110"/>
      <c r="C54" s="121" t="s">
        <v>1746</v>
      </c>
      <c r="D54" s="122">
        <v>0.0021643518518518518</v>
      </c>
      <c r="E54" s="110"/>
      <c r="F54" s="110"/>
      <c r="G54" s="110"/>
      <c r="H54" s="106" t="s">
        <v>1712</v>
      </c>
      <c r="I54" s="110"/>
    </row>
    <row r="55">
      <c r="A55" s="110"/>
      <c r="B55" s="110"/>
      <c r="C55" s="121" t="s">
        <v>1747</v>
      </c>
      <c r="D55" s="122">
        <v>0.0011805555555555556</v>
      </c>
      <c r="E55" s="110"/>
      <c r="F55" s="110"/>
      <c r="G55" s="110"/>
      <c r="H55" s="106" t="s">
        <v>1712</v>
      </c>
      <c r="I55" s="110"/>
    </row>
    <row r="56">
      <c r="A56" s="110"/>
      <c r="B56" s="110"/>
      <c r="C56" s="121" t="s">
        <v>1710</v>
      </c>
      <c r="D56" s="122">
        <v>0.0025810185185185185</v>
      </c>
      <c r="E56" s="110"/>
      <c r="F56" s="110"/>
      <c r="G56" s="110"/>
      <c r="H56" s="106" t="s">
        <v>1712</v>
      </c>
      <c r="I56" s="110"/>
    </row>
    <row r="57">
      <c r="A57" s="110"/>
      <c r="B57" s="110"/>
      <c r="C57" s="121" t="s">
        <v>1748</v>
      </c>
      <c r="D57" s="122">
        <v>0.007789351851851852</v>
      </c>
      <c r="E57" s="110"/>
      <c r="F57" s="110"/>
      <c r="G57" s="110"/>
      <c r="H57" s="106" t="s">
        <v>1712</v>
      </c>
      <c r="I57" s="110"/>
    </row>
    <row r="58">
      <c r="A58" s="110"/>
      <c r="B58" s="110"/>
      <c r="C58" s="121" t="s">
        <v>1749</v>
      </c>
      <c r="D58" s="122">
        <v>0.004594907407407408</v>
      </c>
      <c r="E58" s="110"/>
      <c r="F58" s="110"/>
      <c r="G58" s="110"/>
      <c r="H58" s="106" t="s">
        <v>1712</v>
      </c>
      <c r="I58" s="110"/>
    </row>
    <row r="59">
      <c r="A59" s="110"/>
      <c r="B59" s="110"/>
      <c r="C59" s="121" t="s">
        <v>1750</v>
      </c>
      <c r="D59" s="122">
        <v>0.003958333333333334</v>
      </c>
      <c r="E59" s="110"/>
      <c r="F59" s="110"/>
      <c r="G59" s="110"/>
      <c r="H59" s="106" t="s">
        <v>1712</v>
      </c>
      <c r="I59" s="110"/>
    </row>
    <row r="60">
      <c r="A60" s="110"/>
      <c r="B60" s="110"/>
      <c r="C60" s="121" t="s">
        <v>1751</v>
      </c>
      <c r="D60" s="122">
        <v>0.0012962962962962963</v>
      </c>
      <c r="E60" s="110"/>
      <c r="F60" s="110"/>
      <c r="G60" s="110"/>
      <c r="H60" s="106" t="s">
        <v>1712</v>
      </c>
      <c r="I60" s="110"/>
    </row>
    <row r="61">
      <c r="A61" s="110"/>
      <c r="B61" s="121" t="s">
        <v>1752</v>
      </c>
      <c r="C61" s="110"/>
      <c r="D61" s="119"/>
      <c r="E61" s="110"/>
      <c r="F61" s="120">
        <f>SUM(D62:D65)</f>
        <v>0.1159953704</v>
      </c>
      <c r="G61" s="110"/>
      <c r="H61" s="110"/>
      <c r="I61" s="110"/>
    </row>
    <row r="62">
      <c r="A62" s="110"/>
      <c r="B62" s="110"/>
      <c r="C62" s="121" t="s">
        <v>1753</v>
      </c>
      <c r="D62" s="122">
        <v>0.06633101851851853</v>
      </c>
      <c r="E62" s="110"/>
      <c r="F62" s="110"/>
      <c r="G62" s="110"/>
      <c r="H62" s="121" t="s">
        <v>1697</v>
      </c>
      <c r="I62" s="110"/>
    </row>
    <row r="63">
      <c r="A63" s="110"/>
      <c r="B63" s="110"/>
      <c r="C63" s="121" t="s">
        <v>1754</v>
      </c>
      <c r="D63" s="122">
        <v>0.020543981481481483</v>
      </c>
      <c r="E63" s="110"/>
      <c r="F63" s="110"/>
      <c r="G63" s="110"/>
      <c r="H63" s="121" t="s">
        <v>1697</v>
      </c>
      <c r="I63" s="110"/>
    </row>
    <row r="64">
      <c r="A64" s="110"/>
      <c r="B64" s="110"/>
      <c r="C64" s="121" t="s">
        <v>1755</v>
      </c>
      <c r="D64" s="122">
        <v>0.016805555555555556</v>
      </c>
      <c r="E64" s="110"/>
      <c r="F64" s="110"/>
      <c r="G64" s="110"/>
      <c r="H64" s="121" t="s">
        <v>1697</v>
      </c>
      <c r="I64" s="110"/>
    </row>
    <row r="65">
      <c r="A65" s="110"/>
      <c r="B65" s="110"/>
      <c r="C65" s="121" t="s">
        <v>1756</v>
      </c>
      <c r="D65" s="122">
        <v>0.012314814814814815</v>
      </c>
      <c r="E65" s="110"/>
      <c r="F65" s="110"/>
      <c r="G65" s="110"/>
      <c r="H65" s="121" t="s">
        <v>1697</v>
      </c>
      <c r="I65" s="110"/>
    </row>
    <row r="66">
      <c r="A66" s="110"/>
      <c r="B66" s="121" t="s">
        <v>1757</v>
      </c>
      <c r="C66" s="110"/>
      <c r="D66" s="119"/>
      <c r="E66" s="110"/>
      <c r="F66" s="120">
        <f>SUM(D67)</f>
        <v>0.06200231481</v>
      </c>
      <c r="G66" s="110"/>
      <c r="H66" s="110"/>
      <c r="I66" s="110"/>
    </row>
    <row r="67">
      <c r="A67" s="110"/>
      <c r="B67" s="110"/>
      <c r="C67" s="121" t="s">
        <v>1758</v>
      </c>
      <c r="D67" s="122">
        <v>0.062002314814814816</v>
      </c>
      <c r="E67" s="110"/>
      <c r="F67" s="110"/>
      <c r="G67" s="110"/>
      <c r="H67" s="121" t="s">
        <v>1759</v>
      </c>
      <c r="I67" s="110"/>
    </row>
    <row r="68">
      <c r="A68" s="110"/>
      <c r="B68" s="110"/>
      <c r="C68" s="110"/>
      <c r="D68" s="119"/>
      <c r="E68" s="110"/>
      <c r="F68" s="110"/>
      <c r="G68" s="110"/>
      <c r="H68" s="110"/>
      <c r="I68" s="110"/>
    </row>
    <row r="69">
      <c r="A69" s="110"/>
      <c r="B69" s="110"/>
      <c r="C69" s="110"/>
      <c r="D69" s="110"/>
      <c r="E69" s="110"/>
      <c r="F69" s="110"/>
      <c r="G69" s="110"/>
      <c r="H69" s="110"/>
      <c r="I69" s="110"/>
    </row>
    <row r="70">
      <c r="A70" s="110"/>
      <c r="B70" s="110"/>
      <c r="C70" s="110"/>
      <c r="D70" s="110"/>
      <c r="E70" s="110"/>
      <c r="F70" s="110"/>
      <c r="G70" s="110"/>
      <c r="H70" s="110"/>
      <c r="I70" s="110"/>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19.67"/>
    <col customWidth="1" min="2" max="2" width="38.22"/>
    <col customWidth="1" min="3" max="3" width="30.11"/>
    <col customWidth="1" min="4" max="4" width="18.33"/>
    <col customWidth="1" min="8" max="8" width="160.11"/>
    <col customWidth="1" min="9" max="9" width="21.22"/>
  </cols>
  <sheetData>
    <row r="1">
      <c r="A1" s="106" t="s">
        <v>1669</v>
      </c>
      <c r="B1" s="106" t="s">
        <v>1638</v>
      </c>
      <c r="C1" s="107" t="s">
        <v>1639</v>
      </c>
      <c r="D1" s="108" t="s">
        <v>1640</v>
      </c>
      <c r="E1" s="109" t="s">
        <v>1641</v>
      </c>
      <c r="F1" s="109" t="s">
        <v>1642</v>
      </c>
      <c r="G1" s="110"/>
      <c r="H1" s="109" t="s">
        <v>1643</v>
      </c>
      <c r="I1" s="109" t="s">
        <v>1670</v>
      </c>
    </row>
    <row r="2">
      <c r="A2" s="111" t="s">
        <v>1644</v>
      </c>
      <c r="B2" s="112"/>
      <c r="C2" s="112"/>
      <c r="D2" s="113"/>
      <c r="E2" s="112"/>
      <c r="F2" s="114">
        <f>SUM(F3+F6)</f>
        <v>0.03694444444</v>
      </c>
      <c r="G2" s="112"/>
      <c r="H2" s="112"/>
      <c r="I2" s="112"/>
    </row>
    <row r="3">
      <c r="A3" s="115" t="s">
        <v>1645</v>
      </c>
      <c r="B3" s="116"/>
      <c r="C3" s="116"/>
      <c r="D3" s="117"/>
      <c r="E3" s="116"/>
      <c r="F3" s="118">
        <f>SUM(F4)</f>
        <v>0</v>
      </c>
      <c r="G3" s="116"/>
      <c r="H3" s="116"/>
      <c r="I3" s="116"/>
    </row>
    <row r="4">
      <c r="A4" s="110"/>
      <c r="B4" s="110" t="s">
        <v>1646</v>
      </c>
      <c r="C4" s="110"/>
      <c r="D4" s="119"/>
      <c r="E4" s="110"/>
      <c r="F4" s="120">
        <f>SUM(D5)</f>
        <v>0</v>
      </c>
      <c r="G4" s="110"/>
      <c r="H4" s="110"/>
      <c r="I4" s="110"/>
    </row>
    <row r="5">
      <c r="A5" s="110"/>
      <c r="B5" s="110"/>
      <c r="C5" s="121" t="s">
        <v>1647</v>
      </c>
      <c r="D5" s="119"/>
      <c r="E5" s="110"/>
      <c r="F5" s="119"/>
      <c r="G5" s="110"/>
      <c r="H5" s="110"/>
      <c r="I5" s="110"/>
    </row>
    <row r="6">
      <c r="A6" s="115"/>
      <c r="B6" s="116"/>
      <c r="C6" s="116"/>
      <c r="D6" s="117"/>
      <c r="E6" s="116"/>
      <c r="F6" s="118">
        <f>SUM(F7:F10)</f>
        <v>0.03694444444</v>
      </c>
      <c r="G6" s="116"/>
      <c r="H6" s="116"/>
      <c r="I6" s="124" t="s">
        <v>1671</v>
      </c>
    </row>
    <row r="7">
      <c r="A7" s="110"/>
      <c r="B7" s="121" t="s">
        <v>524</v>
      </c>
      <c r="C7" s="110"/>
      <c r="D7" s="119"/>
      <c r="E7" s="110"/>
      <c r="F7" s="120">
        <f>SUM(D8:D10)</f>
        <v>0.03694444444</v>
      </c>
      <c r="G7" s="110"/>
      <c r="H7" s="110"/>
      <c r="I7" s="110"/>
    </row>
    <row r="8">
      <c r="A8" s="110"/>
      <c r="B8" s="110"/>
      <c r="C8" s="121" t="s">
        <v>1672</v>
      </c>
      <c r="D8" s="122">
        <v>0.01074074074074074</v>
      </c>
      <c r="E8" s="110"/>
      <c r="F8" s="110"/>
      <c r="G8" s="110"/>
      <c r="H8" s="121" t="s">
        <v>1673</v>
      </c>
      <c r="I8" s="110"/>
    </row>
    <row r="9">
      <c r="A9" s="110"/>
      <c r="B9" s="110"/>
      <c r="C9" s="121" t="s">
        <v>1674</v>
      </c>
      <c r="D9" s="122">
        <v>0.017106481481481483</v>
      </c>
      <c r="E9" s="110"/>
      <c r="F9" s="110"/>
      <c r="G9" s="110"/>
      <c r="H9" s="121" t="s">
        <v>1675</v>
      </c>
      <c r="I9" s="110"/>
    </row>
    <row r="10">
      <c r="A10" s="110"/>
      <c r="B10" s="110"/>
      <c r="C10" s="121" t="s">
        <v>1676</v>
      </c>
      <c r="D10" s="122">
        <v>0.009097222222222222</v>
      </c>
      <c r="E10" s="110"/>
      <c r="F10" s="110"/>
      <c r="G10" s="110"/>
      <c r="H10" s="121" t="s">
        <v>1677</v>
      </c>
      <c r="I10" s="110"/>
    </row>
  </sheetData>
  <drawing r:id="rId1"/>
</worksheet>
</file>