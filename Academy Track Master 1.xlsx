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Elements" sheetId="1" r:id="rId5"/>
    <sheet state="hidden" name="Network Foundations Track" sheetId="2" r:id="rId6"/>
    <sheet state="hidden" name="DC Track" sheetId="3" r:id="rId7"/>
    <sheet state="hidden" name="Campus Track" sheetId="4" r:id="rId8"/>
    <sheet state="hidden" name="Automation Fundamentals" sheetId="5" r:id="rId9"/>
    <sheet state="hidden" name="Automation Advanced - Nader" sheetId="6" r:id="rId10"/>
    <sheet state="hidden" name="Routing-MPLS Core" sheetId="7" r:id="rId11"/>
    <sheet state="hidden" name="AI Track" sheetId="8" r:id="rId12"/>
    <sheet state="hidden" name="Troubleshooting Techtorial" sheetId="9" r:id="rId13"/>
    <sheet state="hidden" name="QoS Techtorial" sheetId="10" r:id="rId14"/>
    <sheet state="hidden" name="Multicast Techtorial" sheetId="11" r:id="rId15"/>
    <sheet state="hidden" name="7130 - Ultra low Latency Techto" sheetId="12" r:id="rId16"/>
  </sheets>
  <definedNames/>
  <calcPr/>
</workbook>
</file>

<file path=xl/sharedStrings.xml><?xml version="1.0" encoding="utf-8"?>
<sst xmlns="http://schemas.openxmlformats.org/spreadsheetml/2006/main" count="10070" uniqueCount="1357">
  <si>
    <t>track_number</t>
  </si>
  <si>
    <t>track_name</t>
  </si>
  <si>
    <t>sub_track_number</t>
  </si>
  <si>
    <t>sub_track_name</t>
  </si>
  <si>
    <t>lesson_number</t>
  </si>
  <si>
    <t>lesson_name</t>
  </si>
  <si>
    <t>topic_number</t>
  </si>
  <si>
    <t>topic_name</t>
  </si>
  <si>
    <t>topic_description</t>
  </si>
  <si>
    <t>sub_topic_number</t>
  </si>
  <si>
    <t>sub_topic_name</t>
  </si>
  <si>
    <t>firestore_asset_id</t>
  </si>
  <si>
    <t>Network Foundations</t>
  </si>
  <si>
    <t>Foundations</t>
  </si>
  <si>
    <t>Network Engineering Fundamentals</t>
  </si>
  <si>
    <t>Network Introduction</t>
  </si>
  <si>
    <t>This module provides a foundational understanding of computer networking. It begins by defining what a network is and exploring essential network components, and illustrating network topologies and types. Key network characteristics, such as performance and reliability, are discussed. The module then examines network models, using the Open Systems Interconnection (OSI) model as a guide. Each layer of the OSI model—Application, Presentation, Session, Transport, Internet, Data Link, and Physical—is explored to understand its function and role in data communication. Practical understanding is reinforced with Wireshark, a powerful network protocol analyzer, which students will use to perform packet captures and analyze TCP/IP communications in real-world scenarios.</t>
  </si>
  <si>
    <t>Introduction to Networks</t>
  </si>
  <si>
    <t>Introduction to Network Models</t>
  </si>
  <si>
    <t>OSI in Action</t>
  </si>
  <si>
    <t>Wireshark and TCP/IP</t>
  </si>
  <si>
    <t>Physical Layer</t>
  </si>
  <si>
    <t>A comprehensive overview of network cabling and connectivity, begins with an in-depth look at the physical layer. The first part focuses on copper-based solutions, exploring the characteristics and applications of coaxial and various copper cabling types. Power over Ethernet (PoE) is covered, its benefits and its utility for powering network devices. The second part discusses more advanced connectivity methods, beginning with fiber optics. Topics will include different fiber types, their advantages in high-speed and long-distance transmissions, and the role of Small Form-Factor Pluggable (SFP) transceivers. Lastly wireless networking is reviewed, examining fundamental concepts and technologies that enable mobile and wire free network access.</t>
  </si>
  <si>
    <t>Cabling and Connectivity - Part 1 - Copper and PoE</t>
  </si>
  <si>
    <t>Cabling and Connectivity - Part 2 - Fiber and Wireless</t>
  </si>
  <si>
    <t>Data Link Layer</t>
  </si>
  <si>
    <t>An in-depth exploration of Ethernet, the dominant Local Area Network (LAN) technology and its fundamental role in network communication. It begins with a detailed examination of the Ethernet frame format and the various message types. A core focus is the Media Access Control (MAC) address, its structure, and how it enables local device identification. Next it covers Layer 2 switching, covering traditional hubs, bridges, and modern switches. Key concepts such as collision and broadcast domains are explained. Lastly it delves into the intelligent operations of a switch, including the core element of switching: address learning and efficient frame forwarding based on MAC address tables.</t>
  </si>
  <si>
    <t>Ethernet and MAC Address</t>
  </si>
  <si>
    <t>L2 Devices Learning and Forwarding</t>
  </si>
  <si>
    <t>Network Layer</t>
  </si>
  <si>
    <t>This module introduces IPv4, the foundational addressing protocol of the internet. The IP address structure is examined, breaking it down into octets and bits, and the conversion between decimal and binary is demonstrated. The function of the Layer 3 IP Header in packet encapsulation is also reviewed. Subnetting is explained in detail, beginning with the concept of a subnet mask and how it defines the network and host parts of an IP address. Traditional IPv4 classes (A, B, C, D, and E) and their characteristics are explored, as are reserved IPv4 addresses, such as private, broadcast, loopback, and link-local addresses. Finally, the critical role of the default gateway is described, and practical methods for performing subnetting to efficiently segment networks are taught.</t>
  </si>
  <si>
    <t>Introduction to IPv4</t>
  </si>
  <si>
    <t>What is a Subnet Mask?</t>
  </si>
  <si>
    <t>IPv4 Classes</t>
  </si>
  <si>
    <t>Reserved IPv4 Addresses</t>
  </si>
  <si>
    <t>Default Gateway</t>
  </si>
  <si>
    <t>An exploration of essential protocols that facilitate communication and management in IP networks. Dynamic Host Configuration Protocol (DHCP) allocates IP addresses automatically. Internet Control Message Protocol (ICMP) is a practical network tool offering utilities such as ping and traceroute. Domain Name Service (DNS) is useful in translating host names like www.arista.com into IP addresses. Address Resolution Protocol (ARP) is used by IP hosts to map IP addresses into MAC addresses on a local network. Network Time Protocol (NTP) uses servers to maintains synchronized timestamps across networked devices.</t>
  </si>
  <si>
    <t>Subnetting</t>
  </si>
  <si>
    <t>Network Protocols</t>
  </si>
  <si>
    <t>DHCP</t>
  </si>
  <si>
    <t xml:space="preserve">ICMP </t>
  </si>
  <si>
    <t>DNS</t>
  </si>
  <si>
    <t>ARP</t>
  </si>
  <si>
    <t>The fundamental responsibilities of the transport layer are examined, including segmentation of data, error detection, and the use of port numbers for application-specific communication. A core focus is placed on differentiating between the two primary transport layer protocols: Transmission Control Protocol (TCP) and User Datagram Protocol (UDP). Key characteristics of TCP, such as segment handling, sequencing, and flow control, are detailed, along with an analysis of the Layer 4 header for both protocols. The comparative advantages and disadvantages of TCP's reliable, connection-oriented service versus UDP's connectionless, best-effort delivery are discussed.</t>
  </si>
  <si>
    <t>NTP</t>
  </si>
  <si>
    <t>Transport and Application Layer</t>
  </si>
  <si>
    <t>Transport Layer Responsibilities</t>
  </si>
  <si>
    <t>A deep dive into Arista's EOS, exploring its role as a unified operating system across all of Arista's platforms and its inherent benefits. The Extensible Operating System (EOS) is introduced, exploring its architecture and different deployment form factors, including vEOS (virtual EOS) and cEOS (containerized EOS). An essential component is SysDB, Arista's distributed database of the entire state of an EOS switch, and its underlying message service, which contribute to EOS's robustness. This is synchronised into a network-wide database with (NetDB), which aggregates state data from all EOS devices for comprehensive network visibility. The EOS Network DataLake (NetDL) is covered, highlighting its importance for real-time telemetry and advanced analytics.</t>
  </si>
  <si>
    <t>TCP vs UDP</t>
  </si>
  <si>
    <t>Arista EOS Fundamentals</t>
  </si>
  <si>
    <t>EOS Overview</t>
  </si>
  <si>
    <t>Consistent Networking with EOS</t>
  </si>
  <si>
    <t>Introduction to Arista EOS</t>
  </si>
  <si>
    <t>What is SysDB</t>
  </si>
  <si>
    <t>Introduction to Network Database (NetDB)</t>
  </si>
  <si>
    <t>EOS Network DataLake (NetDL)</t>
  </si>
  <si>
    <t>Arista cEOS</t>
  </si>
  <si>
    <t>The essential steps for getting started with EOS, beginning with how to connect to network devices via a terminal emulator and console during switch installation and EOS boot process. Different CLI configuration modes are introduced, including exec mode, privileged mode, and config mode, along with useful EOS shortcuts and show commands to verify configuration. Switch interfaces and ports are identified and ways to ensuring network stability are explored through configuration checkpoints, allowing for saving and restoring switch configurations to known good values. Finally, the use of configuration sessions in EOS is detailed, enabling administrators to stage and commit changes efficiently.</t>
  </si>
  <si>
    <t>The Secret Sauce of Arista EOS Quality</t>
  </si>
  <si>
    <t>Getting Started with EOS</t>
  </si>
  <si>
    <t>Connect to Network Devices</t>
  </si>
  <si>
    <t>EOS Booting Process</t>
  </si>
  <si>
    <t>CLI Configuration Modes</t>
  </si>
  <si>
    <t>CLI Basic Config</t>
  </si>
  <si>
    <t>Interfaces and Ports</t>
  </si>
  <si>
    <t>Configuration Checkpoints</t>
  </si>
  <si>
    <t>Configuration Sessions</t>
  </si>
  <si>
    <t>Lab - Introduction to EOS CLI</t>
  </si>
  <si>
    <t>Lab - Setting up the Management Connectivity</t>
  </si>
  <si>
    <t>Using Neighbor Discovery as part of network management and troubleshooting. Link Layer Discovery Protocol, an industry-standard, vendor-neutral protocol, allows devices to identify and communicate with directly connected peers. The use of LLDP to automatically create a network diagram is demonstrated, illustrating how network topology can be accurately mapped to gain visibility into device interconnections and simplify network administration.</t>
  </si>
  <si>
    <t>Lab - Understanding and Working with Network Protocols</t>
  </si>
  <si>
    <t>Layer 2 Switching Fundamentals</t>
  </si>
  <si>
    <t>Neighbor Discovery</t>
  </si>
  <si>
    <t>Introduction to Neighbor Discovery</t>
  </si>
  <si>
    <t>Creating a Network Diagram using LLDP</t>
  </si>
  <si>
    <t>A comprehensive introduction to Virtual Local Area Networks (VLANs), exploring their fundamental role in network segmentation. Trunking protocols are examined, with a specific focus on IEEE 802.1Q, discussing how it enables multiple VLANs to share a single link. Practical skills are developed by showing how to configure VLANs on a single switch, and extend VLANs between switches. Inter-VLAN routing, which allows devices in different VLANs to communicate through Layer 3 mechanisms, is discussed. Two mechanisms for achieving Inter-VLAN routing: Router on a Stick and the Switched Virtual Interface are compared.</t>
  </si>
  <si>
    <t>Lab - Creating a Network Diagram using LLDP</t>
  </si>
  <si>
    <t>Virtual Local Area Networks (VLANs)</t>
  </si>
  <si>
    <t>Introduction to VLANs</t>
  </si>
  <si>
    <t>Introduction to Trunking Protocols 802.1Q</t>
  </si>
  <si>
    <t>Configuring VLANs on a Single Switch</t>
  </si>
  <si>
    <t>Configuring VLANs between two switches</t>
  </si>
  <si>
    <t>Intervlan Routing</t>
  </si>
  <si>
    <t>Configuring Router on a Stick</t>
  </si>
  <si>
    <t>Lab - Configure VLANs</t>
  </si>
  <si>
    <t xml:space="preserve">Lab - Configure Inter-VLAN Routing </t>
  </si>
  <si>
    <t>Spanning Tree Protocol (STP)</t>
  </si>
  <si>
    <t>An introduction to the Spanning Tree Protocol (STP) is provided, detailing its critical role in preventing Layer 2 loops and broadcast storms within Ethernet networks (IEEE 802.1D). The fundamental STP operation is thoroughly explained, including the process of STP Root Bridge election for and the determination of root ports, designated ports, and blocked ports. The role of Bridge Protocol Data Units (BPDUs) in facilitating this process is also covered. The various STP port states—including disabled, listening, learning, forwarding, and blocked—are reviewed. Lastly, an overview of different STP modes is presented, such as Rapid STP (RSTP), Per-VLAN Spanning Tree (PVST/Rapid PVST), and Multiple Spanning Tree (MST), highlighting their respective advantages and behaviors.</t>
  </si>
  <si>
    <t>Introduction to Spanning Tree Protocol (STP)</t>
  </si>
  <si>
    <t>STP Operation</t>
  </si>
  <si>
    <t>STP Modes</t>
  </si>
  <si>
    <t xml:space="preserve">Lab - Configure STP </t>
  </si>
  <si>
    <t>Link Aggregation Protocols</t>
  </si>
  <si>
    <t>Link Aggregation enables multiple parallel links, even while Spanning Tree is running, it combines multiple physical network links into a single logical connection, thereby increasing bandwidth and providing redundancy. Methods for configuring Link Aggregation are covered. The module then introduces Multi-Chassis Link Aggregation (MLAG), an advanced technology that extends the benefits of link aggregation across multiple switches. The fundamental concepts of MLAG are explained, highlighting how it enhances network resilience and availability by eliminating single points of failure at the device level, ensuring continuous operation even in the event of a switch outage.</t>
  </si>
  <si>
    <t>Introduction to Link Aggregation</t>
  </si>
  <si>
    <t>Configuring Link Aggregation</t>
  </si>
  <si>
    <t>Introduction to MLAG</t>
  </si>
  <si>
    <t>Lab - Configuring LACP and MLAG</t>
  </si>
  <si>
    <t>Layer 3 Routing Fundamentals</t>
  </si>
  <si>
    <t>Introduction to Routers</t>
  </si>
  <si>
    <t>Starting with a detailed examination of router functionality, including how routers use routing tables and interfaces to direct data between networks, students learn how routers make forwarding decisions, maintain connectivity, and support scalable, efficient communication. Network design principles involving routers are discussed, covering the integration of routers within different network environments such as Local Area Networks (LANs), Wide Area Networks (WANs), and Data Centers (DCs). Emphasis is placed on practical design considerations, including router placement, interface configuration, and the impact of routing decisions on network performance and reliability.</t>
  </si>
  <si>
    <t>Lab - Configure L3 Addresses</t>
  </si>
  <si>
    <t>Routing</t>
  </si>
  <si>
    <t>This foundational module examines routing and how it is used to deliver data efficiently between different networks. Students will learn about static routes, where routes are manually configured, and dynamic routing, which adapts automatically to changes in the network. The module covers the differences between classful and classless routing protocols, highlighting how flexible addressing and subnetting affect routing choices. Key routing concepts such as metrics and administrative distance are introduced to explain how routers choose the best path for data. Students will explore Distance Vector Routing protocols with a focus on RIP, comparing RIPv1 and RIPv2 and finish with an introduction to Link State Routing.</t>
  </si>
  <si>
    <t>Introduction to Static Routing</t>
  </si>
  <si>
    <t>Lab - Configure Static Routing</t>
  </si>
  <si>
    <t>Metric and Admin Distance</t>
  </si>
  <si>
    <t>Distance Vector Protocols - RIP</t>
  </si>
  <si>
    <t>RIPv1 vs RIPv2</t>
  </si>
  <si>
    <t>Introduction to Link State Routing</t>
  </si>
  <si>
    <t>Lab - Configure Routing Protocols</t>
  </si>
  <si>
    <t>Internet and WAN</t>
  </si>
  <si>
    <t>Introduces the structure and function of Wide Area Networks (WANs), highlighting how they enable long-distance connectivity between geographically dispersed networks. Students will explore core WAN concepts including leased lines, modems, and the Demarcation Point which separates service provider equipment from customer networks. The module also examines different WAN connection types. This is followed by an examination of Network Address Translation (NAT), which allows devices within a private network to access external networks using public IP address, but use private addresses internally. Students will analyze different forms of NAT, including static NAT, dynamic NAT, and dynamic NAT with overload (also known as Port Address Translation or PAT).</t>
  </si>
  <si>
    <t>Wide Area Network</t>
  </si>
  <si>
    <t>Network Address Translation (NAT)</t>
  </si>
  <si>
    <t>Advanced Networking Concepts</t>
  </si>
  <si>
    <t>Security</t>
  </si>
  <si>
    <t>Practical review of core network security tools and techniques used to control access and protect data. Beginning with Access Control Lists (ACLs), students explore how standard and extended ACLs filter traffic based on IP addresses, protocols, and ports. AAA—Authentication, Authorization, and Accounting—is introduced as a framework for managing user access and tracking activity across network devices. Security at the Data Link layer is also addressed, with a focus on DHCP Snooping to prevent rogue DHCP servers, IP Source Guard to block spoofed IP addresses, and Dynamic ARP Inspection (DAI) to protect against ARP-based attacks.</t>
  </si>
  <si>
    <t>Introduction to Access Lists</t>
  </si>
  <si>
    <t>ACL Types</t>
  </si>
  <si>
    <t>DHCP Snooping</t>
  </si>
  <si>
    <t>IP Source Guard and ARP Inspection</t>
  </si>
  <si>
    <t>Lab - Access List</t>
  </si>
  <si>
    <t>Lab - Troubleshooting ACL</t>
  </si>
  <si>
    <t>Quality of Service</t>
  </si>
  <si>
    <t>Quality of Service (QoS) refers to the techniques networks use to prioritize traffic and ensure consistent network performance. Students begin by exploring QoS fundamentals and its role in managing bandwidth, minimizing latency, and supporting reliable data transmission. They then examine how traffic is categorized and marked, enabling network devices to recognize and handle packets based on assigned priority levels. The module then covers congestion management strategies, exploring queueing mechanisms that control how packets are handled during network congestion. It also introduces policing and shaping methods, which enforce traffic rates and smooth traffic flows to maintain service quality without overwhelming network resources.</t>
  </si>
  <si>
    <t>Introduction to QoS</t>
  </si>
  <si>
    <t>Classification and Marking Marking</t>
  </si>
  <si>
    <t>Congestion Management</t>
  </si>
  <si>
    <t>IPV6</t>
  </si>
  <si>
    <t>`With the exhaustion of IPv4 addresses, IPv6 has become essential for supporting the growth of modern networks. This module introduces the fundamentals of IPv6, explaining its design goals, expanded address space, and improvements over IPv4 in terms of efficiency, scalability, and flexibility. Students learn the structure and representation of IPv6 addresses, including hexadecimal notation and prefix lengths. The module also explores the primary IPv6 address types—unicast, multicast, and anycast—detailing how each type is used in communication and routing.</t>
  </si>
  <si>
    <t>Introduction to IPv6</t>
  </si>
  <si>
    <t>IPv6 Address Types</t>
  </si>
  <si>
    <t>Lab -  Configure IPv6 Addresses</t>
  </si>
  <si>
    <t>CloudVision</t>
  </si>
  <si>
    <t>Why Automation</t>
  </si>
  <si>
    <t>Automation Methods</t>
  </si>
  <si>
    <t>Introduction to CloudVision</t>
  </si>
  <si>
    <t>Lab -  Navigating CloudVision Portal</t>
  </si>
  <si>
    <t>Data Center</t>
  </si>
  <si>
    <t>Data Center Engineering</t>
  </si>
  <si>
    <t>Layer 2 Leaf Spine Design Overview</t>
  </si>
  <si>
    <t>L2LS Architecture</t>
  </si>
  <si>
    <t>This module delves into the fundamental aspects of Layer 2 Leaf-Spine (L2LS) topologies. It begins by exploring the key drivers necessitating the adoption of L2LS designs, highlighting how traditional network architectures struggle to meet the demands of modern data centers, particularly concerning scalability, agility, and East-West traffic patterns.It then provides a comprehensive overview of L2LS design principles, explaining its flat, non-blocking architecture which optimizes performance and simplifies network operations. It concludes by detailing the architectural considerations for implementing L2LS, emphasizing strategies to ensure high performance, robust redundancy, and seamless growth to accommodate future data center expansion and evolving application requirements.</t>
  </si>
  <si>
    <t>Drivers for Layer 2 Leaf Spine Topologies</t>
  </si>
  <si>
    <t>L2LS Design Overview</t>
  </si>
  <si>
    <t>L2LS Architecture: Plan for Performance, Redundancy, and Growth</t>
  </si>
  <si>
    <t>Layer 2 Technologies</t>
  </si>
  <si>
    <t>VLANs</t>
  </si>
  <si>
    <t>An overview of Virtual Local Area Networks (VLANs), starting with their fundamental concepts and benefits for network segmentation and broadcast domain reduction. Students are guided through the practical aspects of configuring both access ports for end devices and trunk ports for carrying multiple VLANs across network links. The module introduces Inter-VLAN Routing, showing how data can be exchanged by hosts on different VLANs, and details the configuration of sub-interfaces and Switched Virtual Interfaces (SVIs) on Layer 3 switches to facilitate this communication. Finally, it equips learners with essential troubleshooting techniques to diagnose and resolve common VLAN-related issues, ensuring efficient and stable network operations.</t>
  </si>
  <si>
    <t>VLAN Overview</t>
  </si>
  <si>
    <t>Configuring Access and Trunk Ports</t>
  </si>
  <si>
    <t>Introduction to Inter-VLAN Routing</t>
  </si>
  <si>
    <t>Troubleshooting VLANs</t>
  </si>
  <si>
    <t>STP</t>
  </si>
  <si>
    <t>A comprehensive overview of Spanning Tree Protocol (STP), beginning with its fundamental role in preventing Layer 2 loops and ensuring network stability. Various STP enhancements are explored, including Rapid STP (RSTP) and Multiple STP (MSTP), detailing how these advancements improve convergence times and offer greater flexibility for complex network designs. Students are shown how to configuring STP on an Arista switch, and effective troubleshooting techniques for STP on Arista devices. Practical lab exercises are included to reinforce both configuration and troubleshooting skills, ensuring a thorough understanding of STP's implementation and maintenance within an Arista environment.</t>
  </si>
  <si>
    <t>Spanning Tree Overview</t>
  </si>
  <si>
    <t>STP Enhancements</t>
  </si>
  <si>
    <t>Configuring STP on an Arista Switch</t>
  </si>
  <si>
    <t>Troubleshooting STP on an Arista Switch</t>
  </si>
  <si>
    <t>Lab - STP</t>
  </si>
  <si>
    <t>LACP</t>
  </si>
  <si>
    <t>A comprehensive overview of the Link Aggregation Control Protocol (LACP), beginning with its fundamental role in bundling multiple physical Ethernet links into a single logical channel. It explains how LACP enhances bandwidth, provides redundancy, and ensures load balancing across the aggregated links, making it crucial for modern data center networks. The module then guides users through the practical steps of configuring LACP on network devices, covering essential commands and best practices for creating and managing link aggregation groups. Lastly, it equips learners with effective troubleshooting techniques specific to LACP, enabling them to diagnose and resolve common issues efficiently and maintain robust, high-availability network connections.</t>
  </si>
  <si>
    <t>LACP Overview</t>
  </si>
  <si>
    <t>Configuring LACP</t>
  </si>
  <si>
    <t>Troubleshooting LACP</t>
  </si>
  <si>
    <t>MLAG</t>
  </si>
  <si>
    <t>An overview of Multi-Chassis Link Aggregation (MLAG), explaining how MLAG allows a single logical link aggregation group (LAG) to span across two separate chassis, eliminating single points of failure and enabling active-active forwarding. Students are guided through the steps to configure MLAG on Arista switches, covering essential commands and best practices for deployment. Students learn effective troubleshooting techniques specific to MLAG, enabling them to diagnose and resolve common issues efficiently. Practical lab exercises are included to reinforce both the deployment and troubleshooting skills, ensuring a thorough understanding of MLAG's implementation and maintenance within an Arista environment.</t>
  </si>
  <si>
    <t>MLAG Overview</t>
  </si>
  <si>
    <t>Configuring MLAG</t>
  </si>
  <si>
    <t>Lab - Deploying MLAG</t>
  </si>
  <si>
    <t>Lab - Troubleshooting MLAG</t>
  </si>
  <si>
    <t>Default Gateway Redundancy (FHRP)</t>
  </si>
  <si>
    <t>An essential overview of Default Gateway Redundancy protocols, focusing on First Hop Redundancy Protocols (FHRP) to ensure continuous network availability. It explains how FHRP mechanisms prevent single points of failure at the default gateway, which is crucial for maintaining uninterrupted connectivity for end devices. The module delves into the specifics of Virtual Router Redundancy Protocol (VRRP), guiding students through its configuration to establish active and standby routers for a shared virtual IP address. Additionally, it covers Virtual ARP (VARP), an Arista-specific enhancement that provides a more efficient and flexible approach to default gateway redundancy.</t>
  </si>
  <si>
    <t>FHRP Overview</t>
  </si>
  <si>
    <t>Configuring VRRP</t>
  </si>
  <si>
    <t>Configuring VARP</t>
  </si>
  <si>
    <t>Building L2LS Fabric</t>
  </si>
  <si>
    <t>Build L2LS DC Network Using CLI</t>
  </si>
  <si>
    <t>Practical implementation guide for Layer 2 Leaf-Spine (L2LS) data center networks using Command Line Interface (CLI). Students are guided through the step-by-step process of building an L2LS network from the ground up. Essential CLI commands and best practices for setting up the leaf and spine layers are covered, ensuring proper connectivity and performance. In the lab students will apply their knowledge to construct an L2LS network incorporating advanced features like Multi-Chassis Link Aggregation (MLAG) for redundancy and Virtual ARP (VARP) for efficient default gateway redundancy.</t>
  </si>
  <si>
    <t>Configuring L2LS with CLI</t>
  </si>
  <si>
    <t>Lab - Build L2LS with MLAG and VARP</t>
  </si>
  <si>
    <t>Build L2LS DC Network Using CVP Configlets</t>
  </si>
  <si>
    <t>In-depth guide to building Layer 2 Leaf-Spine (L2LS) data center networks utilizing CVP Configlets. The module begins with a comprehensive overview of L2LS design principles and topology, setting the foundation for automated deployment. It then focuses on the practical application of CVP Configlets, demonstrating how to leverage them for consistent and scalable configuration of L2LS fabrics. Students will learn how to define, apply, and manage network configurations centrally, significantly reducing manual effort and potential errors.</t>
  </si>
  <si>
    <t>L2LS Design and Topology Overview</t>
  </si>
  <si>
    <t>Configuring L2LS with CVP Configlets</t>
  </si>
  <si>
    <t>Layer 3 Leaf Spine Design Overview</t>
  </si>
  <si>
    <t>L2LS Review</t>
  </si>
  <si>
    <t>A review of Layer 2 Leaf-Spine (L2LS) network topologies, reinforcing key concepts and design principles. This module revisits the foundational elements of L2LS architecture, ensuring a solid understanding of its benefits for modern data centers. It then delves into a detailed L2LS design review, exploring various considerations for optimal performance, scalability, and redundancy in real-world deployments. Through practical examples and case studies, students will gain insights into applying L2LS design best practices to different network scenarios. This module aims to solidify understanding and provide practical context for implementing and troubleshooting L2LS networks effectively.</t>
  </si>
  <si>
    <t>L2LS Design Review</t>
  </si>
  <si>
    <t>L2LS Example</t>
  </si>
  <si>
    <t>L3LS Design</t>
  </si>
  <si>
    <t>Exploration of Layer 3 Leaf-Spine (L3LS) design, a cornerstone of modern Universal Cloud Network (UCN) architectures. This module introduces the fundamental concepts of L3LS, highlighting its scalability, flexibility, and efficiency for data center environments. It emphasizes the critical roles of VXLAN and EVPN as overlay technologies, explaining how they enable seamless multi-tenancy and efficient workload mobility over the L3 underlay. The importance of using BGP as the underlay routing protocol in L3LS designs is covered, detailing its advantages for robust and dynamic routing. Students will gain a comprehensive understanding of L3LS recommended designs and best practices.</t>
  </si>
  <si>
    <t>Why BGP Underlay in L3LS Design</t>
  </si>
  <si>
    <t>Underlay Routing Options</t>
  </si>
  <si>
    <t>OSPF</t>
  </si>
  <si>
    <t>After detailing the fundamental concepts of OSPF, its link-state nature and hierarchical design using areas, students are drawn into OSPF operations, explaining how routers establish adjacencies, exchange link-state advertisements (LSAs), and build their topological databases to calculate the shortest paths. The module covers OSPF communication mechanisms, such as multicast updates and designated router/backup designated router elections. Students will learn the practical steps for OSPF configuration on network devices, covering essential commands and best practices. A dedicated lab exercise provides hands-on experience in deploying and verifying OSPF.</t>
  </si>
  <si>
    <t>OSPF Overview</t>
  </si>
  <si>
    <t>OSPF Operations</t>
  </si>
  <si>
    <t>OSPF Communications</t>
  </si>
  <si>
    <t>OSPF Configuration</t>
  </si>
  <si>
    <t>IS-IS</t>
  </si>
  <si>
    <t>Intermediate System to Intermediate System (IS-IS) is a robust link-state routing protocol used in large-scale data center underlays. Students explore IS-IS fundamentals, and see its operations, including Level 1 and Level 2 routing, and how it builds its topological database.How IS-IS routers establish adjacencies, exchange Link State PDUs (LSPs), and manage routing information within and between areas are explored, as well as Designated Router elections and the efficient flooding of routing updates. Students will gain insight into IS-IS as an Interior Gateway Protocol (IGP), its configuration and best practices for making it scalable and resilient.</t>
  </si>
  <si>
    <t>IS-IS Intro and Operations</t>
  </si>
  <si>
    <t>IS-IS Communications</t>
  </si>
  <si>
    <t>Introduction to BGP</t>
  </si>
  <si>
    <t>A primer for Border Gateway Protocol (BGP), the routing protocol fundamental to Universal Cloud Network (UCN) and Layer 3 Leaf-Spine (L3LS) designs. This module details BGPs core functions and key facts, including its role as an exterior gateway protocol for inter-autonomous system routing. It thoroughly explains BGP operation, covering critical aspects such as BGP states (Idle, Connect, Active, OpenSent, OpenConfirm, Established), BGP messages (Open, Update, Keepalive), and the significance of the BGP Router ID. Students delve into BGP route advertisement, including Network Layer Reachability Information (NLRI), route updates, the synchronization rule, and concepts like BGP network commands, redistribution, and route maps.</t>
  </si>
  <si>
    <t>BGP Overview</t>
  </si>
  <si>
    <t>BGP Functions and Facts</t>
  </si>
  <si>
    <t>BGP Operation</t>
  </si>
  <si>
    <t>eBGP Underlay Configuration</t>
  </si>
  <si>
    <t>An in-depth module focusing on using eBGP as the underlay routing protocol in Layer 3 Leaf-Spine (L3LS) designs, essential for Universal Cloud Network (UCN) architectures. Students are guided through the practical steps of setting up eBGP peering between leaf and spine switches, covering fundamental configuration commands. Advanced topics such as eBGP load balancing, optimizing traffic distribution across multiple paths for enhanced performance are covered. Later various eBGP configuration enhancements, including the use of peer groups for simplified management, dynamic BGP peering with listen ranges, and peer-filters for granular control over neighbor relationships are explained.</t>
  </si>
  <si>
    <t>L3LS eBGP Underlay Configuration</t>
  </si>
  <si>
    <t>eBGP Load Balancing Configuration</t>
  </si>
  <si>
    <t>eBGP Configuration Enhancements</t>
  </si>
  <si>
    <t>BGP Underlay Deployment Options</t>
  </si>
  <si>
    <t>Explores various BGP Underlay Deployment Options within Layer 3 Leaf-Spine (L3LS) designs. It delves into the complexities of integrating BGP with Multi-Chassis Link Aggregation (MLAG), detailing configurations for scenarios like MLAG iBGP and the implications of next-hop-self. Students will review different variations of BGP in L3LS, including utilizing a common Autonomous System (AS) on all leafs, and the use of allowas-in for specific peering requirements. The lab focuses on Underlay Addressing with eBGP, providing hands-on experience in configuring and verifying BGP peering and addressing schemes.</t>
  </si>
  <si>
    <t>BGP with MLAG</t>
  </si>
  <si>
    <t xml:space="preserve">Lab - Underlay Addressing with eBGP </t>
  </si>
  <si>
    <t>VXLAN Design</t>
  </si>
  <si>
    <t>VXLAN Overview</t>
  </si>
  <si>
    <t>Virtual Extensible LAN (VXLAN) is a crucial overlay technology in Layer 3 Leaf-Spine (L3LS) designs for modern data centers. This is a comprehensive VXLAN overview, showing its role in extending Layer 2 networks over a Layer 3 underlay, overcoming VLAN limitations, and enabling massive scalability. It details the VXLAN tunneling mechanism, including the encapsulation and decapsulation processes, the structure of the VXLAN header (including the UDP header), and the functions of Virtual Tunnel Endpoints (VTEPs) and Virtual Network Identifiers (VNIs). Furthermore, the module explores VXLAN load balancing with Equal-Cost Multi-Path (ECMP), demonstrating how VXLAN header hashing ensures efficient traffic distribution across multiple paths.</t>
  </si>
  <si>
    <t>Introduction to VXLAN</t>
  </si>
  <si>
    <t>VXLAN Load Balancing with ECMP</t>
  </si>
  <si>
    <t>VXLAN Control Plane Options</t>
  </si>
  <si>
    <t>VXLAN control plane options are crucial for dynamic VTEP discovery and efficient MAC/IP address mapping in overlay networks. Ann ARP refresher establishes foundational Layer 2 concepts. Then students delves into various control plane mechanisms, starting with the simplest: the VXLAN Multicast Control Plane for flood-and-learn behavior. Next the VXLAN Head-End Replication (HER) Control Plane is covered, including lab steps for HER, which offers a more controlled approach than multicast. Finally, the module introduces the VXLAN VCS Control Plane and delivers an in-depth examination of the VXLAN EVPN Control Plane, highlighting its role as the most scalable and feature-rich solution leveraging MP-BGP for automated MAC and IP address distribution.</t>
  </si>
  <si>
    <t>ARP Refresher</t>
  </si>
  <si>
    <t>VxLAN HER Control Plane</t>
  </si>
  <si>
    <t xml:space="preserve">Configuring VxLAN HER </t>
  </si>
  <si>
    <t>VxLAN VCS Control Plane</t>
  </si>
  <si>
    <t>VxLAN EVPN Control Plane</t>
  </si>
  <si>
    <t>Lab - Configure VXLAN Dataplane with HER</t>
  </si>
  <si>
    <t>VXLAN With MLAG</t>
  </si>
  <si>
    <t>Practical aspects of implementing Virtual Extensible LAN (VXLAN) in conjunction with Multi-Chassis Link Aggregation (MLAG) for building highly resilient and scalable data center overlay networks.First is an introduction to the combined benefits of VXLAN with MLAG, emphasizing how this synergy provides active-active forwarding, eliminates single points of failure, and enhances network availability. The module then delves into the detailed configuration of VXLAN with MLAG, including the use of VXLAN Anycast Addresses and Virtual Tunnel Interfaces (VTIs). Students will learn the step-by-step process of setting up and verifying VXLAN with MLAG, understanding the packet flow in such environments.</t>
  </si>
  <si>
    <t>Introduction to VXLAN with MLAG</t>
  </si>
  <si>
    <t>Configuring VXLAN with MLAG</t>
  </si>
  <si>
    <t>VXLAN Best Practices</t>
  </si>
  <si>
    <t>Essential best practices for deploying and optimizing Virtual Extensible LAN (VXLAN) in data center environments. Firstly, MTU and Jumbo Frames configuration for VXLAN traffic, detailing how to avoid fragmentation and ensure optimal performance. The implications of the Don't Fragment (DF) Bit in VXLAN headers and its role in troubleshooting. The module further covers key considerations for VTEP and MLAG reachability, ensuring the underlying network supports robust VXLAN overlay operations. Additionally, it addresses the significance of VXLAN aging timers and provides practical recommendations for setting them to maintain efficient MAC address tables.</t>
  </si>
  <si>
    <t>MTU and Jumbo Frames</t>
  </si>
  <si>
    <t>DF Bit, VTEP, MLAG, and Timers</t>
  </si>
  <si>
    <t>Troubleshooting VXLAN</t>
  </si>
  <si>
    <t>This module provides a focused approach to troubleshooting Virtual Extensible LAN (VXLAN) deployments within Layer 3 Leaf-Spine (L3LS) overlay networks. It covers essential techniques for diagnosing common issues related to VXLAN control planes, including those utilizing Head-End Replication (HER) and manual or static flood lists. Students will learn how to perform VXLAN configuration sanity checks and utilize key VXLAN troubleshooting commands to identify and resolve problems efficiently. The module details how to verify VTEP reachability, VNI mappings, and packet flow within the VXLAN tunnel.</t>
  </si>
  <si>
    <t>Troubleshooting VxLAN</t>
  </si>
  <si>
    <t>eVPN Overlay</t>
  </si>
  <si>
    <t>eVPN Fundamentals</t>
  </si>
  <si>
    <t>An in-depth introduction to EVPN (Ethernet VPN). Key EVPN terminology is discussed as well as its role in extending Layer 2 and Layer 3 services over a VXLAN underlay. VRF (Virtual Routing and Forwarding) operation is reviewed within the EVPN context and an exploration of the MP-BGP (Multi-Protocol BGP) control plane is provided, detailing how it distributes MAC and IP reachability information. Students will learn to configure MP-eBGP for EVPN, understanding the various EVPN route types: Type 2 (MAC-IP) for host routes, Type 5 (IP Prefix) for external prefixes, and Type 3 (IMET) for inclusive multicast Ethernet tags. A dedicated lab on L2EVPN provides practical experience in deploying and verifying EVPN for Layer 2 services.</t>
  </si>
  <si>
    <t>Introduction to eVPN</t>
  </si>
  <si>
    <t>eVPN Terminology</t>
  </si>
  <si>
    <t>VRF Operation</t>
  </si>
  <si>
    <t>MP-BGP Control Plane Part 1</t>
  </si>
  <si>
    <t>MP-BGP Control Plane Part 2</t>
  </si>
  <si>
    <t>Configuring MP-eBGP for eVPN</t>
  </si>
  <si>
    <t>eVPN Route Type 2 (MAC-IP)</t>
  </si>
  <si>
    <t>eVPN Route Type 5 (IP Prefix)</t>
  </si>
  <si>
    <t>eVPN Advanced Concepts</t>
  </si>
  <si>
    <t>Focused on flexible service interfaces and integrated routing, this module explores VLAN Based Service Interfaces and VLAN Aware Bundle Service Interfaces, detailing their application in extending Layer 2 services within the EVPN overlay. A comprehensive introduction to Integrated Routing and Bridging (IRB) is provided, distinguishing between Symmetric IRB and Asymmetric IRB, including a deep dive into Symmetric IRB operation. Students will gain practical configuration skills for both Symmetric and Asymmetric IRB, understanding their respective use cases and deployment considerations. Dedicated labs for L3 EVPN Symmetric IRB and L3 EVPN Asymmetric IRB provide hands-on experience, equipping students to implement sophisticated Layer 3 routing within their EVPN fabrics</t>
  </si>
  <si>
    <t>Introduction to IRB</t>
  </si>
  <si>
    <t>Symmetric IRB Deep Dive</t>
  </si>
  <si>
    <t>Configuring Symmetric IRB</t>
  </si>
  <si>
    <t>Configuring Asymmetric IRB</t>
  </si>
  <si>
    <t>Lab - L3 EVPN Asymmetric IRB</t>
  </si>
  <si>
    <t xml:space="preserve">eVPN Multihoming </t>
  </si>
  <si>
    <t>EVPN Multihoming, particularly Active-Active Multihoming, is a critical feature for building highly resilient and efficient data center networks. This module xplains how multihoming allows a single server or device to connect to multiple Provider Edges (PEs) simultaneously, ensuring redundancy and load balancing. The module digs into the significance of EVPN Route Types 1 (Ethernet Auto-Discovery Route per ESI) and 4 (Ethernet Segment Route), detailing their roles in establishing multihoming capabilities and advertising Ethernet Segment Identifiers (ESIs). Students will learn the practical steps for Active-Active Multihoming configuration, understanding the interplay of these route types. A dedicated lab provides hands-on experience in deploying and verifying EVPN Multihoming.</t>
  </si>
  <si>
    <t>Introduction to Active Active Multihoming</t>
  </si>
  <si>
    <t>Route Types 1 and ESI</t>
  </si>
  <si>
    <t>Route Type 1 and Route Type 4</t>
  </si>
  <si>
    <t>Active Active Multihoming Configuration</t>
  </si>
  <si>
    <t>Lab - EVPN Multihoming</t>
  </si>
  <si>
    <t>eVPN Design Best Practices</t>
  </si>
  <si>
    <t>EVPN best practices deployments within Layer 3 Leaf-Spine (L3LS) architectures. Students thoroughly examine the strategic use of iBGP between MLAG pairs, detailing how this configuration enhances control plane efficiency and redundancy for overlay services. Emphasis on the eBGP multihop command, showing its importance in establishing flexible peering relationships for both underlay and overlay routing. The module emphasizes the holistic approach of utilizing eBGP for both the underlay and overlay networks, which streamlines design and operations. Students will gain insights into recommended configurations and considerations to build highly scalable, resilient, and performant EVPN-VXLAN fabrics, ensuring optimal traffic flow and simplified management in modern data centers.</t>
  </si>
  <si>
    <t>iBGP between MLAG pairs and eBGP Multihop command</t>
  </si>
  <si>
    <t>eBGP for Underlay and Overlay</t>
  </si>
  <si>
    <t>Configuring L3LS DC Network with CVP Studios</t>
  </si>
  <si>
    <t>Configuring Layer 3 Leaf-Spine (L3LS) data center networks using CVP Studios. This module focuses on leveraging CVP's intuitive user interface to streamline the deployment of complex L3LS fabrics. Students will learn how to configure the foundational L3LS network using the Studios, emphasizing automation and consistency. Later it details the process of setting up EVPN services, host interfaces, and external networks through dedicated CVP Studios, showcasing how to efficiently manage overlay services and connectivity. A comprehensive lab provides hands-on experience in building a complete L3LS, EVPN, and MLAG integrated data center network entirely within the CVP Studios environment.</t>
  </si>
  <si>
    <t>Configuring eVPN Services, Host Interfaces and External Networks using Studios</t>
  </si>
  <si>
    <t>Lab - Building L3LS, EVPN and MLAG in DC with Studios</t>
  </si>
  <si>
    <t>Data Center Operations</t>
  </si>
  <si>
    <t>CloudVision Overview and Setup</t>
  </si>
  <si>
    <t>Cloudvision Overview</t>
  </si>
  <si>
    <t>An overview of Arista CloudVision, highlighting its role in modern network automation. It begins by explaining CloudVision's value, addressing the limitations of traditional network management and the need for scalable, agile solutions. The module then delves into various approaches to network automation, positioning CloudVision Portal (CVP) as a leading platform for achieving declarative, intent-based network operations. CloudVision's architecture and capabilities are shown, how it centralizes control, simplifies provisioning, and enhances visibility across the data center. The module concludes by positioning CVP within the network automation landscape, its value in streamlining workflows and ensuring operational consistency for complex network infrastructures.</t>
  </si>
  <si>
    <t>Why CloudVision</t>
  </si>
  <si>
    <t>Positioning CVP</t>
  </si>
  <si>
    <t>CloudVision Setup</t>
  </si>
  <si>
    <t>An overview guide to setting up and managing Arista CloudVision Portal (CVP) deployments, covering essential installation procedures, including CVP Clustering and Multi-Node OVA Installation, alongside initial onboarding for CloudVision as a Service (CVaaS). Critical operational aspects such as Upgrading CVP and performing CVP Backup and Restore are discussed. Students will become familiar with the CVP Interface, learning to navigate its features, utilize CVP Profiles for streamlined configuration, and leverage the CVP Help Center for support. The module also includes guidance on License Key Management. A dedicated lab provides hands-on experience in navigating CVP.</t>
  </si>
  <si>
    <t>CVP Clustering</t>
  </si>
  <si>
    <t>CVP Multi-Node OVA Installation</t>
  </si>
  <si>
    <t>CVP Backup and Restore</t>
  </si>
  <si>
    <t>Getting Familiar with CVP Interface</t>
  </si>
  <si>
    <t>CVP Profiles</t>
  </si>
  <si>
    <t>CVP Help Center</t>
  </si>
  <si>
    <t>License Key Management using CVP</t>
  </si>
  <si>
    <t>Essential process of provisioning and registering devices within Arista CloudVision (CVP) for centralized management. How to connecting devices to CloudVision is discussed, emphasizing the role of TerminAttr, eAPI, and EOS API for communication, visibility and telemetry. Manual Onboarding devices into the CVP inventory, via the undefined containers, where automated discovery isn't feasible. Necessary commands and best practices for securely integrating switches and routers into the CloudVision platform are covered.</t>
  </si>
  <si>
    <t>Lab - Navigating CVP</t>
  </si>
  <si>
    <t>CloudVision Provisioning</t>
  </si>
  <si>
    <t>Device Registration</t>
  </si>
  <si>
    <t>Introduces key CloudVision concepts such as Containers and the difference and usage of Designed and Running Config. Students explore Configlets, learning to create them manually or using Configlet Builder and how to apply them to Containers, and step through Tasks and Change Control. Snapshots and Staging, the Change Control UI, and Rollback mechanisms are explored. Practical labs reinforce skills in building and using Configlets, Snapshots, and utilizing Change Control.</t>
  </si>
  <si>
    <t>Connecting Devices to CloudVision</t>
  </si>
  <si>
    <t>Network Provisioning</t>
  </si>
  <si>
    <t>Containers</t>
  </si>
  <si>
    <t>Configuration Sources</t>
  </si>
  <si>
    <t>Designed and Running Config</t>
  </si>
  <si>
    <t>Configlets</t>
  </si>
  <si>
    <t>Tasks and Change Control</t>
  </si>
  <si>
    <t>Reconcile</t>
  </si>
  <si>
    <t>Lab - Configlets</t>
  </si>
  <si>
    <t>Snapshots and Staging</t>
  </si>
  <si>
    <t>Rollback</t>
  </si>
  <si>
    <t>Lab - Snapshots</t>
  </si>
  <si>
    <t>Lab - Change Control</t>
  </si>
  <si>
    <t>A comprehensive overview of Arista's Zero Touch Provisioning (ZTP) capabilities, essential for automating device deployment and management. It introduces the core concepts of ZTP, detailing how it enables network devices to automatically connect to CloudVision (CVP or CVaaS) and receive their configurations without manual intervention. Students will learn the practical steps for deploying and onboarding vEOS devices to CVP using ZTP, streamlining the initial setup process. Furthermore, the module covers Zero Touch Replacement (ZTR), explaining how to efficiently replace faulty devices in the network using ZTR, minimizing downtime and operational effort.</t>
  </si>
  <si>
    <t>Configlet Builder</t>
  </si>
  <si>
    <t>Image Repository</t>
  </si>
  <si>
    <t>Zero Touch Provisioning</t>
  </si>
  <si>
    <t>Zero Touch Provisioning (ZTP)</t>
  </si>
  <si>
    <t>An introduction to Arista CloudVision Studios, a powerful feature for automating and managing network configurations through a declarative approach. Beginning with an overview of Studios and the use of Tags for granular control and organization, students will explore Workspaces, and see how they facilitate collaborative design and deployment. The complete Studio Deployment and Execution lifecycle is covered, demonstrating how to leverage this user interface for consistent and efficient network changes. Practical labs provide hands-on experience in using Studios for various tasks. Key concepts like Inventory and Topology integration, Change Control, and the overall workflow of Review and Submit Workspace are emphasized, equipping students to streamline their network operations with CloudVision.</t>
  </si>
  <si>
    <t>Deploying and Onboarding vEOS to CVP using ZTP</t>
  </si>
  <si>
    <t>Zero Touch Replcement (ZTR)</t>
  </si>
  <si>
    <t>CloudVision DC Studios</t>
  </si>
  <si>
    <t>Studios Overview</t>
  </si>
  <si>
    <t>Introduction to Studios and Tags</t>
  </si>
  <si>
    <t>Workspaces</t>
  </si>
  <si>
    <t>Studio Deployment and Execution</t>
  </si>
  <si>
    <t>A practical deep dive into Arista CloudVision Studios, showcasing their utility in various network provisioning scenarios. It introduces the New Studios UI, guiding students through its enhanced features for streamlined operations. The module covers specific Studio functionalities, including the Static Configuration Studio for baseline device settings, the Management Connectivity Studio for establishing out-of-band access, the Software Management Studio for consistent EOS upgrades, and the Authentication Studio for secure network access. It also explores the Mirroring Studio for traffic analysis. A key focus is on End-to-End Provisioning with Studios, demonstrating how to provision new devices efficiently using ZTP (Zero Touch Provisioning) integrated with Studios. A dedicated lab on the Static Configuration Studio provides hands-on experience.</t>
  </si>
  <si>
    <t>Lab - Using Studios</t>
  </si>
  <si>
    <t>Lab - Clean Up Studios</t>
  </si>
  <si>
    <t>Studios In Action</t>
  </si>
  <si>
    <t>New Studios UI</t>
  </si>
  <si>
    <t>Static Configuration Studio</t>
  </si>
  <si>
    <t>Management Connectivity Studio</t>
  </si>
  <si>
    <t>Software Management Studio</t>
  </si>
  <si>
    <t>End to End Provisioning with Studios</t>
  </si>
  <si>
    <t>Provision New Devices with ZTP and Studios</t>
  </si>
  <si>
    <t>Configuring L3LS using Studios</t>
  </si>
  <si>
    <t>Monitoring and compliance within Arista CloudVision. The module details how to effectively monitor devices using CVP, gaining real-time insights into network performance and operational status. Beginning with an overview of Compliance , explaining how CloudVision helps enforce configuration standards and identify deviations across the infrastructure, it also covers specific monitoring aspects such as Device Input Power, ensuring efficient power consumption management. CloudVision and DMF (Data Management Fabric) Integration for traffic analysis is discussed, highlighting how these platforms work together for enhanced visibility and analytics. Lastly, it delves into 802.1X Details in Endpoint Search, demonstrating CloudVision's utility for granular control and troubleshooting of network access.</t>
  </si>
  <si>
    <t>Monitoring DC with CVP</t>
  </si>
  <si>
    <t>Monitoring Devices with CVP</t>
  </si>
  <si>
    <t>Compliance Overview</t>
  </si>
  <si>
    <t>Device input power</t>
  </si>
  <si>
    <t>CloudVision Dashboards are essential tools for real-time network monitoring and operational insight. This module introduces the core concepts of Dashboards and highlights recent Dashboard Enhancements which improve usability and data visualization. Students will learn to interpret and leverage various specialized dashboards, including the Device Connectivity Health Panel Dashboard for assessing network reachability, the Compliance Counts Dashboard for tracking configuration adherence, and the Syslog Filters Dashboard for targeted event analysis. The module also covers customizing Dashboard Tabs layouts, and the procedures for Exporting and Importing Dashboards to share insights and configurations.</t>
  </si>
  <si>
    <t>CloudVison and DMF Integration</t>
  </si>
  <si>
    <t>802.1X Details in Endpoint Search</t>
  </si>
  <si>
    <t>Dashboards</t>
  </si>
  <si>
    <t>Dashboard Enhancements</t>
  </si>
  <si>
    <t>Device Connectivity Health Panel Dashboard</t>
  </si>
  <si>
    <t>Compliance Counts Dashboard</t>
  </si>
  <si>
    <t>In-depth exploration of Arista CloudVision Events, crucial for proactive network monitoring and issue detection within CVP or CVaaS environments. The module introduces the fundamental concept of Events and how they are categorized into Event Groups. It covers various event types, including Compliance Events, which flag deviations from desired configurations, and Config Sanity Check Events (like VXLAN and EVPN sanity checks), which identify potential configuration errors. The module also covers PTP (Precision Time Protocol) Events, highlighting issues such as inconsistent PTP Domain IDs, Grandmaster IDs, and status. It concludes with practical lab dedicated to Dashboards and Events provides hands-on experience in configuring event monitoring, and interpreting event data.</t>
  </si>
  <si>
    <t>Dashboard Tabs Layout</t>
  </si>
  <si>
    <t>Exporting and Importing Dashboards</t>
  </si>
  <si>
    <t>Events</t>
  </si>
  <si>
    <t>Compliance Events</t>
  </si>
  <si>
    <t>This module explores the core concepts of network topology representation within CloudVision, detailing how to interpret Topology Icons and utilize various settings for customized views. Students will learn to create and manage Custom Topology Hierarchies, enabling logical grouping and organization of devices based on operational needs. Also covered is User Defined Topology Filters, which allow for granular control over displayed information and efficient troubleshooting. Using CloudVision's topology view to identify System and Software Troubles is covered - a visual aid for fault isolation. A dedicated lab provides hands-on experience in navigating and manipulating the topology view.</t>
  </si>
  <si>
    <t>Config Sanity Check Events</t>
  </si>
  <si>
    <t>Lab - Dashboards and Events</t>
  </si>
  <si>
    <t>Topology</t>
  </si>
  <si>
    <t>Introduction to Topology</t>
  </si>
  <si>
    <t>Topology Icons and Settings</t>
  </si>
  <si>
    <t>Custom Topology Hierarchies</t>
  </si>
  <si>
    <t>User Defined Topology Filters</t>
  </si>
  <si>
    <t>A comprehensive guide to essential EOS operations, focusing on efficient upgrade, reload, and maintenance procedures. It begins by detailing EOS Reloads and Upgrades, distinguishing between Standard Upgrade and Smart System Upgrade methodologies for optimal network stability. Students will gain practical insight into upgrading EOS with CLI, or CVP. The module also delves into advanced scenarios such as MLAG ISSU (In-Service Software Upgrade) for seamless upgrades without service interruption, including reload procedures with CLI and CVP, and Chassis Upgrade and Reload. This training prepares network administrators to perform robust and reliable EOS upgrades and reloads in diverse data center environments.</t>
  </si>
  <si>
    <t>PTP Overlay in CVP Topology</t>
  </si>
  <si>
    <t>Lab - Topology</t>
  </si>
  <si>
    <t>EOS Operations: Upgrade, Monitor, Troubleshoot</t>
  </si>
  <si>
    <t>EOS Reloads and Upgrades</t>
  </si>
  <si>
    <t>Standard Upgrade vs Smart System Upgrade</t>
  </si>
  <si>
    <t>Upgrading EOS with CLI</t>
  </si>
  <si>
    <t>An overview of Arista EOS monitoring tools. The module covers the fundamentals of SNMP (Simple Network Management Protocol) for device data collection and sFlow for traffic sampling, enabling granular insights into network utilization. Powerful command-line tools like watch and diff and their utility for real-time diagnostics and configuration comparison are discussed. Latency Analyzer (LANZ) is introduced, detailing its capabilities for microburst detection and latency analysis. Furthermore, the module explores Port Mirroring for traffic replication and TapAgg for intelligent traffic aggregation.</t>
  </si>
  <si>
    <t>MLAG ISSU Upgrade and Reload with CLI</t>
  </si>
  <si>
    <t>Chassis Upgrade and Reload</t>
  </si>
  <si>
    <t xml:space="preserve">EOS Monitoring Tools </t>
  </si>
  <si>
    <t>SNMP</t>
  </si>
  <si>
    <t xml:space="preserve">sFlow </t>
  </si>
  <si>
    <t>Watch and Diff Commands</t>
  </si>
  <si>
    <t>Latency Analayzer (LANZ)</t>
  </si>
  <si>
    <t>Covering System and Software Troubleshooting techniques, addressing common problems from a holistic perspective this module shows how to diagnose SFP and Physical Errors and perform Arista EOS Health Checks using both CLI and CVP, and perform proactive monitoring and identification of potential issues. Hardware Troubleshootingis covererd, focusing on Memory and Flash Errors and practical tools like Tcpdump and Iperf are introduced for advanced packet analysis and network performance testing. Installing Extensions and crucial Recovery Procedures to restore system functionality are covered in detail.</t>
  </si>
  <si>
    <t>Port Mirroring</t>
  </si>
  <si>
    <t>TapAgg</t>
  </si>
  <si>
    <t>Advanced Event Management (AEM)</t>
  </si>
  <si>
    <t>AEM - CLI Scheduler</t>
  </si>
  <si>
    <t>AEM - Event Monitor</t>
  </si>
  <si>
    <t>AEM - Event Manager</t>
  </si>
  <si>
    <t>Lab - AEM</t>
  </si>
  <si>
    <t xml:space="preserve">Troubleshooting EOS Hardware and Software </t>
  </si>
  <si>
    <t>System and Software Troubleshooting</t>
  </si>
  <si>
    <t>SFP and Physical Errors</t>
  </si>
  <si>
    <t>Arista EOS Health Checks - CLI and CVP</t>
  </si>
  <si>
    <t>Hardware Troubleshooting</t>
  </si>
  <si>
    <t>Memory and Flash Errors</t>
  </si>
  <si>
    <t>Tcpdump and Iperf</t>
  </si>
  <si>
    <t>Essential techniques for troubleshooting Layer 2 networks in a data center environment. Students are guided through effective methods for Debugging Layer 2 with CLI, covering various command-line tools and diagnostic approaches to identify and resolve common Layer 2 issues such as MAC address table problems, VLAN misconfigurations, and STP-related anomalies. Next, the module explores how to leverage Arista CloudVision Portal (CVP) for Debugging Layer 2 with CVP, demonstrating its graphical interface and advanced monitoring capabilities for streamlined troubleshooting. By combining both CLI and CVP methods, students will gain comprehensive skills to efficiently diagnose, isolate, and resolve complex Layer 2 network problems.</t>
  </si>
  <si>
    <t>Installing Extensions</t>
  </si>
  <si>
    <t>Recovery Procedures</t>
  </si>
  <si>
    <t xml:space="preserve"> Troubleshooting Layer 2 and Layer 3</t>
  </si>
  <si>
    <t>Troubleshooting L2 Networks</t>
  </si>
  <si>
    <t>This module addresses common L3 reachability issues and performance problems. It guides students through effective methods for Debugging Layer 3 with CLI, covering diagnostic tools like ICMP, troubleshooting OSPF, and analyzing CPU Counter queues and Default Control Plane ACLs. It also explores how to leverage Arista CloudVision Portal (CVP) for Debugging Layer 3 with CVP, demonstrating the use of CVP topology, flow analysis with sFlow configuration and data, and traffic flow visualization. Students will learn to utilize CVP Dashboards, the IPv4 Routing Table, CVP Timeline, and CVP Comparison features to efficiently pinpoint and resolve packet loss events and other complex Layer 3 network issues.</t>
  </si>
  <si>
    <t>Debugging Layer2 with CLI</t>
  </si>
  <si>
    <t>How to to troubleshoot complex VXLAN network issues, with both CLI and CloudVision . Diagnose and resolve common problems such as VXLAN Intermittent Connectivity and MAC Address Flapping using CLI. The module also covers effective techniques for troubleshooting VXLAN Bridging Traffic Flows with CVP, leveraging its visualization capabilities. A significant focus is placed on identifying and mitigating Excessive Flooding in VXLAN Routing, with detailed troubleshooting steps for both CLI and CVP. Resolving Virtual VTEP issues and addressing Fragmentation challenges in VXLAN Routing using both CLI and CVP. Finally, the module covers troubleshooting Virtual MAC Flapping in VXLAN Routing with CLI.</t>
  </si>
  <si>
    <t>Debugging Layer2 with CVP</t>
  </si>
  <si>
    <t>Troubleshooting L3 Networks</t>
  </si>
  <si>
    <t>Debugging Layer 3 with CVP</t>
  </si>
  <si>
    <t xml:space="preserve"> Troubleshooting L3LS Network</t>
  </si>
  <si>
    <t>Troubleshooting VXLAN Networks</t>
  </si>
  <si>
    <t>Troubleshoot VXLAN Intermittent Connectivity with CLI</t>
  </si>
  <si>
    <t>Troubleshoot VXLAN MAC Address Flapping with CLI</t>
  </si>
  <si>
    <t>Troubleshoot Excessive Flooding in VXLAN Routing with CLI</t>
  </si>
  <si>
    <t>Troubleshoot Excessive Flooding in VXLAN Routing with CVP</t>
  </si>
  <si>
    <t>Advanced troubleshooting techniques for complex EVPN-VXLAN networks, focusing on various deployment challenges. How to diagnose and resolve critical issues such as MAC-VRF overlapping, iBGP peering problems between MLAG peers, and MAC flapping within the EVPN-VXLAN overlay using CLI. The module also covers identifying and mitigating problems related to pruned VLANs and shared MLAG MACs, ensuring efficient Layer 2 bridging, and addresses troubleshooting centralized routing model issues and common challenges in EVPN multihoming environments, including duplicate traffic flows and connectivity problems. Through practical examples and a focus on essential commands, students will learn to resolve intricate Layer 3 EVPN-VXLAN routing and forwarding issues.</t>
  </si>
  <si>
    <t>Troubleshoot Fragmentation in VXLAN Routing with CLI</t>
  </si>
  <si>
    <t>Troubleshoot Fragmentation in VXLAN Routing with CVP</t>
  </si>
  <si>
    <t>Troubleshoot Virtual MAC Flapping in VXLAN Routing with CLI</t>
  </si>
  <si>
    <t>Troubleshooting eVPN-VXLAN Networks</t>
  </si>
  <si>
    <t>Troubleshoot MAC-VRF overlapping in EVPN-VXLAN with CLI</t>
  </si>
  <si>
    <t>Troubleshoot IBGP Peering between MLAG Peers in eVPN-VXLAN with CLI</t>
  </si>
  <si>
    <t>Troubleshoot MAC Flapping in EVPN-VXLAN with CLI</t>
  </si>
  <si>
    <t>How to troubleshooting network issues using Arista CloudVision Portal (CVP). This module details how to troubleshoot Configlets, Interfaces and Links, and Layer 1 errors directly within CVP. Students will learn to effectively diagnose and resolve spanning tree problems, process failures, and health check anomalies using CVP's insights. It covers troubleshooting configuration issues, performing comparisons, and addressing BGP and BFD related concerns through CVP's monitoring and diagnostic tools. The module also explores CVP's capabilities for identifying and resolving asymmetric routing, overutilized links, and using Traceroute for path analysis. Lastly, it guides users on configuring Access Control Settings, Automated Notifications, and Custom Events within CVP.</t>
  </si>
  <si>
    <t>Troubleshoot Pruned VLANs and Shared MLAG MAC in VXLAN-EVPN with CLI</t>
  </si>
  <si>
    <t>Troubleshoot Centralized Routing model issues in VLXAN-EVPN</t>
  </si>
  <si>
    <t>Troubleshoot Connectivity issue in EVPN Multihoming environment</t>
  </si>
  <si>
    <t xml:space="preserve"> Troubleshooting Networks with CVP</t>
  </si>
  <si>
    <t>Troubleshooting Networks with CVP</t>
  </si>
  <si>
    <t>Troubleshoot Configlets with CVP</t>
  </si>
  <si>
    <t>Troubleshoot Interfaces and Links with CVP</t>
  </si>
  <si>
    <t>Troubleshoot Layer 1 errors with CVP</t>
  </si>
  <si>
    <t>Troubleshoot Config issues and Comparison with CVP</t>
  </si>
  <si>
    <t>Troubleshoot BGP with CVP</t>
  </si>
  <si>
    <t>Troubleshoot BFD with CVP</t>
  </si>
  <si>
    <t>Troubleshoot Asymmetric Routing with CVP</t>
  </si>
  <si>
    <t xml:space="preserve">This Topic Cover Basic OISM Concepts and New EVPN Routes (6, 7,8), Multi-homing, SBD, and BULL.
</t>
  </si>
  <si>
    <t>Troubleshoot Overutilized Links with CVP</t>
  </si>
  <si>
    <t>Access Control Settings with CVP</t>
  </si>
  <si>
    <t>Configuring Automated Notifications and Custom Events With CVP</t>
  </si>
  <si>
    <t xml:space="preserve"> Multicast in eVPN VxLAN Fabrics </t>
  </si>
  <si>
    <t>Multi-Tenant Multicast with eVPN OISM</t>
  </si>
  <si>
    <t>Topic Overview and Scenarios</t>
  </si>
  <si>
    <t>VTEP Multicast Support and BULL Traffic</t>
  </si>
  <si>
    <t>This Topic Cover Basic OISM Forwarding Models, and Pim transport Models including the operation of type-10 routes</t>
  </si>
  <si>
    <t>IGMP Querier Placement and Flooding</t>
  </si>
  <si>
    <t>Distributed Multicast DR and SBD</t>
  </si>
  <si>
    <t>Demo - Multicast with eVPN OISM</t>
  </si>
  <si>
    <t>EVPN OISM Deep Dive</t>
  </si>
  <si>
    <t>eVPN Multicast Solution Overview</t>
  </si>
  <si>
    <t xml:space="preserve">This Topic Cover Advanced Deployment models with EVPN OISM. It starts with a review of the oISM Concepts, followed by a deep-dive on the transport models that covers the role of I-PMSI and S-PMSI tunnels with PIM. Then we cover external connectivity which focus on the operation of PEG, PEG transit, and the EEG Gateway. It also include live demos for each topic
</t>
  </si>
  <si>
    <t>eVPN Multicast Control and Forwarding Plane</t>
  </si>
  <si>
    <t>eVPN OISM with PIM Transport Part 2</t>
  </si>
  <si>
    <t>eVPN Mulitcast with External PIM Domain</t>
  </si>
  <si>
    <t>Advanced Deployment Models with eVPN OISM</t>
  </si>
  <si>
    <t>Topic Overview and Agenda</t>
  </si>
  <si>
    <t>Campus</t>
  </si>
  <si>
    <t>Campus Engineering Wired</t>
  </si>
  <si>
    <t>Arista Campus Architecture</t>
  </si>
  <si>
    <t>Arista Cognitive Campus Network</t>
  </si>
  <si>
    <t>Arista Cognitive Campus Network Overview</t>
  </si>
  <si>
    <t>Arista Campus Architecture Overview</t>
  </si>
  <si>
    <t>Campus Fabric Architecture</t>
  </si>
  <si>
    <t>Arista Campus Design</t>
  </si>
  <si>
    <t>Campus Network Design Options</t>
  </si>
  <si>
    <t>Design 1- L2LS with External Gateway</t>
  </si>
  <si>
    <t>Design 2- L2LS</t>
  </si>
  <si>
    <t>Design 3- L2LS with VXLAN-EVPN</t>
  </si>
  <si>
    <t>Design 4- L3LS</t>
  </si>
  <si>
    <t>Design 5- L3LS with Borderleafs</t>
  </si>
  <si>
    <t>Design 6- L3LS with VXLAN-EVPN</t>
  </si>
  <si>
    <t>Design 7- L3LS with VXLAN-EVPN and Borderleafs</t>
  </si>
  <si>
    <t>Arista Resiliency Solutions</t>
  </si>
  <si>
    <t>Cognitive PoE</t>
  </si>
  <si>
    <t>Stateful Switchover (SSO)</t>
  </si>
  <si>
    <t>Smart System Upgrades (SSU)</t>
  </si>
  <si>
    <t>Arista Stacking</t>
  </si>
  <si>
    <t>SWAG Overview</t>
  </si>
  <si>
    <t>MLAG vs SWAG</t>
  </si>
  <si>
    <t>SWAG Provisioning</t>
  </si>
  <si>
    <t>Building a L2 Wired Campus Network</t>
  </si>
  <si>
    <t>VLANs and Inter-VLAN Routing</t>
  </si>
  <si>
    <t>Configuring Sub Interfaces</t>
  </si>
  <si>
    <t>Configuring SVIs</t>
  </si>
  <si>
    <t>Lab - Configuring VLANs</t>
  </si>
  <si>
    <t xml:space="preserve">Lab - Configuring MSTP </t>
  </si>
  <si>
    <t>Troubleshooting MLAG</t>
  </si>
  <si>
    <t>FHRP</t>
  </si>
  <si>
    <t>Lab - Configuring VARP</t>
  </si>
  <si>
    <t>Build L2LS Campus Network Using CVP Configlets</t>
  </si>
  <si>
    <t>L2LS Campus Design and Topology Overview</t>
  </si>
  <si>
    <t>Configuring L2LS Campus with CVP Configlets</t>
  </si>
  <si>
    <t>Build L2LS Campus Network Using CVP Studios</t>
  </si>
  <si>
    <t>Onboarding Devices to Studios</t>
  </si>
  <si>
    <t>Configure L2LS Network Using Studios</t>
  </si>
  <si>
    <t>Configure Access Interfaces</t>
  </si>
  <si>
    <t>Submit Workspace and Execute Change Control</t>
  </si>
  <si>
    <t>Building a L3 Wired Campus Network</t>
  </si>
  <si>
    <t>Introduction to L3LS Design</t>
  </si>
  <si>
    <t>VXLAN and EVPN Importance in L3LS Design</t>
  </si>
  <si>
    <t>Why use a BGP Underlay in L3LS Design?</t>
  </si>
  <si>
    <t>BGP Route Advertisement</t>
  </si>
  <si>
    <t>[Need Review] BGP with MLAG</t>
  </si>
  <si>
    <t>Variations of BGP in L3LS</t>
  </si>
  <si>
    <t>Lab - L3LS Campus Underlay with eBGP</t>
  </si>
  <si>
    <t>VxLAN Multicast Control Plane</t>
  </si>
  <si>
    <t>eVPN Route Type 3 (IMET)</t>
  </si>
  <si>
    <t>Lab - L2EVPN</t>
  </si>
  <si>
    <t>VLAN Based Service Interface</t>
  </si>
  <si>
    <t>VLAN Aware Bundle Service Interface</t>
  </si>
  <si>
    <t>Symmetric IRB vs Asymmetric IRB</t>
  </si>
  <si>
    <t>Build L3LS Campus Network Using CVP Studios</t>
  </si>
  <si>
    <t>Configuring L3LS Campus with CVP Studios.</t>
  </si>
  <si>
    <t>Configuring L3LS Campus with VxLAN and EVPN Using Studios</t>
  </si>
  <si>
    <t>Lab - Deploying L3LS Campus with VXLAN and eVPN Using Studios</t>
  </si>
  <si>
    <t>Campus Operations Wired</t>
  </si>
  <si>
    <t>Approaches to Network Automation</t>
  </si>
  <si>
    <t>CloudVision Deployment Options</t>
  </si>
  <si>
    <t>CVaaS Initial Onboarding</t>
  </si>
  <si>
    <t>Upgrading CVP</t>
  </si>
  <si>
    <t>Lab - Configlet Management</t>
  </si>
  <si>
    <t>Redesigned Change Control UI</t>
  </si>
  <si>
    <t>Replacing a Device using ZTR</t>
  </si>
  <si>
    <t>Campus Workflows with CVP</t>
  </si>
  <si>
    <t>Deploy Campus Fabric with Day 0 workflow</t>
  </si>
  <si>
    <t>CloudVision Campus Studios</t>
  </si>
  <si>
    <t>Authentication Studio</t>
  </si>
  <si>
    <t>Mirroring Studio</t>
  </si>
  <si>
    <t>Lab - Static Configuration Studio</t>
  </si>
  <si>
    <t>Operating L2LS Campus Network with CVP Studios</t>
  </si>
  <si>
    <t>Managing L2LS Campus Gateway Connectivity with CVP Studios</t>
  </si>
  <si>
    <t>Add a New VLAN to L2LS Campus</t>
  </si>
  <si>
    <t>Modifying VLAN Settings in L2LS Campus</t>
  </si>
  <si>
    <t>Lab - Deploying L2 Campus with Studios</t>
  </si>
  <si>
    <t>Campus Zero Touch Operations</t>
  </si>
  <si>
    <t>CloudVision Campus Dashboard Overview</t>
  </si>
  <si>
    <t>CloudVision Campus Day 1 - Onboarding</t>
  </si>
  <si>
    <t>CloudVision Campus Day 2 - Provisioning and Diagnostics</t>
  </si>
  <si>
    <t>CloudVision Endpoint Analyzer</t>
  </si>
  <si>
    <t>Lab - Day 2 Operations with L2 Campus Studios</t>
  </si>
  <si>
    <t>Operating L3LS Campus Network with CVP Studios</t>
  </si>
  <si>
    <t>Adding New Access Pods to L3LS Campus</t>
  </si>
  <si>
    <t>Add New VLANs to L3LS Campus</t>
  </si>
  <si>
    <t>Modifying VRF and VLAN Settings for L3LS Campus</t>
  </si>
  <si>
    <t>Changing Underlay Protocol in L3LS Campus</t>
  </si>
  <si>
    <t>Connecting New Hosts to L3LS Campus</t>
  </si>
  <si>
    <t>Monitoring Campus with CVP</t>
  </si>
  <si>
    <t>Network Hierarchy</t>
  </si>
  <si>
    <t>Lab - Monitoring Campus with Network Hierarchy</t>
  </si>
  <si>
    <t>Syslog Filters Dashboard</t>
  </si>
  <si>
    <t>Event Groups</t>
  </si>
  <si>
    <t>Understanding EOS Upgrades</t>
  </si>
  <si>
    <t>MLAG Upgrade and Reload with CVP</t>
  </si>
  <si>
    <t>Automation</t>
  </si>
  <si>
    <t>Automation Fundamentals</t>
  </si>
  <si>
    <t>Automation &amp; NetOps Foundation</t>
  </si>
  <si>
    <t>Network Automation Fundamentals</t>
  </si>
  <si>
    <t>Introduction to Network Automation</t>
  </si>
  <si>
    <t>Core Principles of Network Automation</t>
  </si>
  <si>
    <t>Software Development and Network Automation</t>
  </si>
  <si>
    <t>Lab - Explore Lab Environment</t>
  </si>
  <si>
    <t>Automation Tools</t>
  </si>
  <si>
    <t>Automation Tools Overview</t>
  </si>
  <si>
    <t>Automation Tools and Data Formats</t>
  </si>
  <si>
    <t>Programmability IDEs Overview</t>
  </si>
  <si>
    <t>VS Code Development Environment</t>
  </si>
  <si>
    <t>Introduction to Visual Studio Code</t>
  </si>
  <si>
    <t>VSCode Themes, Fonts, and Icons</t>
  </si>
  <si>
    <t>VSCode Extensions</t>
  </si>
  <si>
    <t>VSCode Files, Folders and Workspaces</t>
  </si>
  <si>
    <t>VSCode Deugger</t>
  </si>
  <si>
    <t>Reviewing VSCode</t>
  </si>
  <si>
    <t>Lab - Explore IDE</t>
  </si>
  <si>
    <t>Git Version Control</t>
  </si>
  <si>
    <t>Understanding Git Version Control</t>
  </si>
  <si>
    <t xml:space="preserve">Git Demo </t>
  </si>
  <si>
    <t>Github Demo</t>
  </si>
  <si>
    <t>Lab - Working with Git</t>
  </si>
  <si>
    <t>Lab - Collaborate Using GitHub</t>
  </si>
  <si>
    <t>Python Fundamentals</t>
  </si>
  <si>
    <t>Why Python Matters for Network Automation</t>
  </si>
  <si>
    <t>Understanding Python Variables</t>
  </si>
  <si>
    <t>Advanced Python Concepts</t>
  </si>
  <si>
    <t>Working with Python Variables, Lists, and Dictionaries</t>
  </si>
  <si>
    <t>Introduction to Python and eAPI</t>
  </si>
  <si>
    <t>Parsing JSON with Python</t>
  </si>
  <si>
    <t>Lab - Python Fundamentals</t>
  </si>
  <si>
    <t>Lab - Understanding Structured Data</t>
  </si>
  <si>
    <t>Understanding APIs</t>
  </si>
  <si>
    <t>Application Programmatic Interfaces - APIs</t>
  </si>
  <si>
    <t>The History of HTTP and Its Role in Networking</t>
  </si>
  <si>
    <t>Understanding HTTP Messages</t>
  </si>
  <si>
    <t>HTTP Authentication</t>
  </si>
  <si>
    <t>Securing APIs with PKI</t>
  </si>
  <si>
    <t>TLS and SSL Overview</t>
  </si>
  <si>
    <t>TLS Certificates and Trust Chains</t>
  </si>
  <si>
    <t>In this topic, you will learn how APIs are secured using TLS and Public Key Infrastructure (PKI). You will start by understanding how TLS works and why SSL is no longer used. You will then explore certificates, trust chains, and certificate authorities, and why certificates are critical for securing automation workflows. You will also learn how to create, install, and use server and client certificates for API authentication. By the end of this topic, you will understand how certificate-based authentication is applied in real network automation scenarios.</t>
  </si>
  <si>
    <t>Why Use Certificates in Network Automation</t>
  </si>
  <si>
    <t>Client TLS Certificates for API Authentication</t>
  </si>
  <si>
    <t>Using REST API Clients</t>
  </si>
  <si>
    <t>In this topic, you will learn how to interact with REST APIs using API client tools. You will explore how requests and responses work, how to use different HTTP methods, and how authentication is handled in API calls. You will also learn how to organize requests, manage headers and payloads, and use scripts within API clients to automate workflows. Through hands-on labs, you will practice testing and validating APIs in a controlled environment, preparing you for programmatic API consumption using Python and automation frameworks.</t>
  </si>
  <si>
    <t>Introduction to EchoAPI</t>
  </si>
  <si>
    <t>REST API Client Requests and Responses</t>
  </si>
  <si>
    <t>HTTP Auth with REST API Client</t>
  </si>
  <si>
    <t>REST API Client Scripts</t>
  </si>
  <si>
    <t>Lab - Using REST API Clients</t>
  </si>
  <si>
    <t>Ansible Fundamentals</t>
  </si>
  <si>
    <t>Getting Started with Ansible</t>
  </si>
  <si>
    <t>In this topic, you will learn what Ansible is and why it is widely used for network automation. You will explore common Ansible use cases in data center, campus, and WAN environments, and understand how Ansible interacts with network devices such as Arista EOS. You will also learn the core building blocks of Ansible, including the control node, inventory, playbooks, modules, roles, and collections. By the end of this topic, you will have a clear mental model of how Ansible works and how all its components fit together in an automation workflow.</t>
  </si>
  <si>
    <t>Introduction to Ansible</t>
  </si>
  <si>
    <t>Ansible Use Cases</t>
  </si>
  <si>
    <t>Building Automation with Ansible</t>
  </si>
  <si>
    <t>In this topic, you will learn how to start building automation using Ansible. You will understand how Ansible files are structured, how inventories, playbooks, and variable files work together, and how YAML is used to define automation logic. You will learn how Ansible variables are declared, scoped, and overridden, and how variable precedence affects automation behavior. You will also practice using the debug module to inspect variables and troubleshoot playbooks. By the end of this topic, you will be able to follow and write simple Ansible playbooks and confidently debug automation logic through hands-on lab exercises.</t>
  </si>
  <si>
    <t>Understanding Ansible Files</t>
  </si>
  <si>
    <t>Working with Ansible Variables</t>
  </si>
  <si>
    <t>Ansible Variables Demo</t>
  </si>
  <si>
    <t>Using Ansible Debug</t>
  </si>
  <si>
    <t>Ansible Debug Demo</t>
  </si>
  <si>
    <t>Lab - Ansible Fundamentals</t>
  </si>
  <si>
    <t>Cloudvision Fundamentals</t>
  </si>
  <si>
    <t>CloudVision Overview</t>
  </si>
  <si>
    <t>CloudVision Deployment</t>
  </si>
  <si>
    <t>CloudVision High Availability</t>
  </si>
  <si>
    <t>In this topic, you will learn how CloudVision achieves high availability and resiliency. You will understand CloudVision cluster behavior, quorum, configuration synchronization, and failure scenarios. You will also explore dual-cluster deployments and how backups and restores are used to protect configuration and telemetry data. By the end of this topic, you will understand how CloudVision is designed to remain operational during failures and maintenance events.</t>
  </si>
  <si>
    <t>CloudVision Cluster Redundancy</t>
  </si>
  <si>
    <t>CloudVision Dual Cluster Deployment</t>
  </si>
  <si>
    <t>CloudVision Backups</t>
  </si>
  <si>
    <t>CloudVision Portal Setup and Operations</t>
  </si>
  <si>
    <t>Upgrading CVP Demo</t>
  </si>
  <si>
    <t>CVP Backup and Restore Demo</t>
  </si>
  <si>
    <t>Getting Familiar with CVP Interface Demo</t>
  </si>
  <si>
    <t>CloudVision Network Provisioning</t>
  </si>
  <si>
    <t>In this topic, you will learn how CloudVision is used to provision and manage device configurations. You will explore device management concepts, legacy provisioning, configlets, snapshots, and configuration compliance. You will see how configurations move between running and designed states and how CloudVision tracks drift. Through demos and labs, you will practice applying configlets, using snapshots, and validating configuration changes.</t>
  </si>
  <si>
    <t>CVP Device Management Overview</t>
  </si>
  <si>
    <t>CVP Legacy Provisioning Overview</t>
  </si>
  <si>
    <t>CVP Legacy Provisioning Demo</t>
  </si>
  <si>
    <t>MLAG Configuration Demo</t>
  </si>
  <si>
    <t>CVP Snapshots</t>
  </si>
  <si>
    <t>Change Control</t>
  </si>
  <si>
    <t>Automated Device Onboarding in CloudVision</t>
  </si>
  <si>
    <t>In this topic, you will learn how devices are onboarded into CloudVision using Zero Touch Provisioning (ZTP) and Zero Touch Replacement (ZTR). You will understand how devices bootstrap, register with CloudVision, and become fully managed without manual configuration. Through demos, you will see how new devices are deployed and how failed devices are replaced while preserving configuration and intent.</t>
  </si>
  <si>
    <t>Zero Touch Provisioning and Replacement with CloudVision</t>
  </si>
  <si>
    <t>ZTR Demo - Replacing a Device in CVP</t>
  </si>
  <si>
    <t>CloudVision Studios</t>
  </si>
  <si>
    <t>In this topic, you will learn how CloudVision Studios provide intent-based configuration management. You will explore workspaces, tags, device selection, and studio-driven configuration workflows. You will learn how different studios manage interfaces, time settings, telemetry, authentication, mirroring, and connectivity. By the end of this topic, you will understand how studios replace manual configuration with scalable, validated, and repeatable workflows.</t>
  </si>
  <si>
    <t>Configuration Management with Studios</t>
  </si>
  <si>
    <t xml:space="preserve">Inventory and Topology Studio Demo </t>
  </si>
  <si>
    <t>Interface Configuration Studio Overview</t>
  </si>
  <si>
    <t>Data and Time Studio Overview</t>
  </si>
  <si>
    <t>Date and Time Studio Demo</t>
  </si>
  <si>
    <t>Postcard Telemetry Studio Overview</t>
  </si>
  <si>
    <t>Postcard Telemetry Studio Demo</t>
  </si>
  <si>
    <t>Streaming Telemetry Agent Studio Overview</t>
  </si>
  <si>
    <t>Streaming Telemetry Agent Studio Demo</t>
  </si>
  <si>
    <t>Mirroring Studio Overview</t>
  </si>
  <si>
    <t>Authentication Studio Overview</t>
  </si>
  <si>
    <t>Management Connectivity Studio Overview</t>
  </si>
  <si>
    <t>Management Connectivity Studio Demo</t>
  </si>
  <si>
    <t>Connectivity Monitor Studio Overview</t>
  </si>
  <si>
    <t>Connectivity Monitor Studio Demo</t>
  </si>
  <si>
    <t>Importing Studio Overview</t>
  </si>
  <si>
    <t>Working with Static Config Studios</t>
  </si>
  <si>
    <t>In this topic, you will learn how Static Configuration Studios are used to manage configurations that are not dynamically generated. You will explore how static studios coexist with legacy provisioning and how configurations can be migrated from configlets into studios. You will also learn how devices are added to the studios inventory and how static configurations are managed through workspaces and change control.</t>
  </si>
  <si>
    <t>Static Configuration Studio Overview</t>
  </si>
  <si>
    <t>Adding Devices to CloudVision Studios Inventory</t>
  </si>
  <si>
    <t>Using Static Configuration Studio</t>
  </si>
  <si>
    <t>Migrating Legacy Configlets to Studios</t>
  </si>
  <si>
    <t>Software Management with CloudVision</t>
  </si>
  <si>
    <t>CVP Software Management Overview</t>
  </si>
  <si>
    <t>CVP Software Image Management Demo</t>
  </si>
  <si>
    <t>CloudVision Telemetry</t>
  </si>
  <si>
    <t>Telemetry Use Cases in CloudVision</t>
  </si>
  <si>
    <t>CVP Compliance Overview</t>
  </si>
  <si>
    <t>CloudVision Monitoring Overview</t>
  </si>
  <si>
    <t>In this topic, you will learn how CloudVision provides operational visibility through dashboards, events, and topology views. You will explore how dashboards summarize network health, how events surface issues, and how topology visualizes device and link relationships. You will also learn how tags and topology settings improve filtering and troubleshooting.</t>
  </si>
  <si>
    <t>CloudVision Dashboards</t>
  </si>
  <si>
    <t>CloudVision Events</t>
  </si>
  <si>
    <t>CloudVision Topology Tags</t>
  </si>
  <si>
    <t>AQL and NetSQL</t>
  </si>
  <si>
    <t>In this topic, you will learn how to query CloudVision telemetry data using AQL and NetSQL. You will explore how NetDB stores network state and how queries are used to retrieve operational and configuration data. Through labs, you will practice building queries, dashboards, and visualizations for ARP entries, BGP sessions, device state, and software versions.</t>
  </si>
  <si>
    <t>Querying NetDB - AQL and NetSQL</t>
  </si>
  <si>
    <t>Querying ARP Entries Using AQL Notebook and Dashboards</t>
  </si>
  <si>
    <t>Querying BGP Sessions Using AQL Notebook and Dashboards</t>
  </si>
  <si>
    <t>Querying Device State and Software Versions using NetSQL</t>
  </si>
  <si>
    <t>Using Ansible and Jinja</t>
  </si>
  <si>
    <t>Network Automation with Jinja</t>
  </si>
  <si>
    <t>In this topic, you will learn the fundamentals of Jinja and why it is a core building block in network automation. You will understand what Jinja is, how templates are structured, and how variables and logic are used to generate configurations dynamically. You will also learn how Jinja templates are organized on disk, how variable files are referenced, and how data models are built using YAML. By the end of this topic, you will understand how Jinja separates configuration logic from data and how it integrates with Ansible and CloudVision workflows.</t>
  </si>
  <si>
    <t>Introduction to Jinja</t>
  </si>
  <si>
    <t>Jinja File Layout</t>
  </si>
  <si>
    <t>Building and Organizing Data Models</t>
  </si>
  <si>
    <t>Building and Applying Configurations with Ansible and CVP</t>
  </si>
  <si>
    <t>Building and Deploying Configurations with Jinja</t>
  </si>
  <si>
    <t>In this topic, you will apply Jinja in real automation scenarios. You will start by understanding the limitations of manual configuration and why templating is required at scale. You will then learn how to build Jinja templates, design data models, and generate configurations using Ansible. You will see multiple deployment approaches, including deploying configurations through CloudVision, using static configlets, and pushing configurations directly to devices using eAPI. Through demos and a hands-on lab, you will practice building, rendering, and deploying Jinja-based configurations in a controlled and repeatable automation workflow.</t>
  </si>
  <si>
    <t>Why Jinja - Manual Configuration Challenge</t>
  </si>
  <si>
    <t>Setting Up Jinja and Building Your First Template in Ansible</t>
  </si>
  <si>
    <t>Building the Jinja Data Model and Generating Underlay Configs</t>
  </si>
  <si>
    <t>Deploying Jinja Templates via CVP Configlets</t>
  </si>
  <si>
    <t>Lab - Automating Configuration With Ansible Jinja2</t>
  </si>
  <si>
    <t xml:space="preserve"> REST APIs</t>
  </si>
  <si>
    <t>REST API Fundamentals</t>
  </si>
  <si>
    <t>In this topic, you will learn the core concepts behind RESTful APIs. You will understand what REST is, the constraints that define RESTful design, and how REST differs from older approaches such as SOAP. You will also explore common tools used to interact with REST APIs, including browser-based tools, VS Code extensions, and dedicated REST clients. By the end of this topic, you will have a clear conceptual foundation for how REST APIs are designed and consumed.</t>
  </si>
  <si>
    <t>Introducing RESTful APIs</t>
  </si>
  <si>
    <t>RESTful API Constraints</t>
  </si>
  <si>
    <t>REST vs. SOAP</t>
  </si>
  <si>
    <t>REST Tools Overview</t>
  </si>
  <si>
    <t>REST APIs Summary</t>
  </si>
  <si>
    <t>REST API Requests and Responses</t>
  </si>
  <si>
    <t>Request and Response</t>
  </si>
  <si>
    <t>HTTP Request Method</t>
  </si>
  <si>
    <t>HTTP Response Codes</t>
  </si>
  <si>
    <t>HTTP Headers</t>
  </si>
  <si>
    <t>Requests and Responses Summary</t>
  </si>
  <si>
    <t>Parameters and Payloads for REST APIs</t>
  </si>
  <si>
    <t>In this topic, you will learn how data is passed to REST APIs using parameters and payloads. You will explore query strings, request payloads, and how each is used in real API calls. You will also see how parameters and payloads work together to filter data, control behavior, and submit structured information to an API. By the end of this topic, you will be able to construct REST requests that include the correct parameters and payloads for common automation use cases.</t>
  </si>
  <si>
    <t>Introduction to HTTP Parameters and Payloads</t>
  </si>
  <si>
    <t>HTTP Query Strings</t>
  </si>
  <si>
    <t>HTTP Payloads</t>
  </si>
  <si>
    <t>Query Strings and Payloads in Action</t>
  </si>
  <si>
    <t>Parameters and Payloads Summary</t>
  </si>
  <si>
    <t>Authentication with HTTP and REST</t>
  </si>
  <si>
    <t>In this topic, you will learn how REST APIs are secured using HTTP authentication mechanisms. You will understand the difference between encoding and encryption, and how credentials are transmitted securely. You will explore common authentication methods such as Basic Authentication, API keys, and token-based authentication. By the end of this topic, you will understand how clients authenticate to REST APIs and how authentication choices impact security and automation design.</t>
  </si>
  <si>
    <t>Introduction to REST Authentication</t>
  </si>
  <si>
    <t>Base64 Encoding vs. Encryption</t>
  </si>
  <si>
    <t>HTTP Basic Authentication</t>
  </si>
  <si>
    <t>API Key Authentication</t>
  </si>
  <si>
    <t>Token Authentication</t>
  </si>
  <si>
    <t xml:space="preserve"> Working with AVD</t>
  </si>
  <si>
    <t>Introducing AVD</t>
  </si>
  <si>
    <t>Ansible Components for AVD</t>
  </si>
  <si>
    <t>Ansible Components Demo</t>
  </si>
  <si>
    <t>AVD Demo</t>
  </si>
  <si>
    <t>Building AVD Inventory</t>
  </si>
  <si>
    <t>In this topic, you will learn how to build the AVD inventory that defines your network design. You will understand how CloudVision is defined in the inventory, how fabrics and services are modeled, and how the inventory hierarchy is structured. By the end of this topic, you will be able to create and organize an inventory.yml file that represents fabric topology, services, and integration with CloudVision.</t>
  </si>
  <si>
    <t>Defining CVP in the AVD Inventory</t>
  </si>
  <si>
    <t>Defining the Fabric and Services in AVD Inventory</t>
  </si>
  <si>
    <t>Deploying AVD</t>
  </si>
  <si>
    <t>In this topic, you will learn how AVD-generated configurations are deployed. You will explore different deployment options, including deploying through CloudVision and deploying directly to EOS devices. You will also learn how to use AVD documentation effectively and understand the full AVD lifecycle, from Day 0 design through Day 1 deployment and Day 2 operations.</t>
  </si>
  <si>
    <t>AVD Deployment Options</t>
  </si>
  <si>
    <t>Deploying AVD Configuration with CloudVision</t>
  </si>
  <si>
    <t>Deploying AVD Configuration Directly to EOS - Part 2</t>
  </si>
  <si>
    <t>Working with AVD Documentation</t>
  </si>
  <si>
    <t>Understanding the AVD Lifecycle</t>
  </si>
  <si>
    <t>Automating L2LS Network with AVD</t>
  </si>
  <si>
    <t>In this topic, you will learn how to automate a Layer 2 Leaf-Spine (L2LS) fabric using AVD. You will design the fabric, build YAML data models for the fabric, network services, and endpoint connectivity, and execute playbooks to build and deploy the configuration. You will also learn how to validate the fabric using ANTA tests. By the end of this topic, you will understand how AVD automates L2LS designs such as MLAG, VARP, and endpoint connectivity.</t>
  </si>
  <si>
    <t>Designing L2LS Fabric with Arista AVD</t>
  </si>
  <si>
    <t>Building L2LS Fabric YAML File</t>
  </si>
  <si>
    <t>Building L2LS Network Services YAML File</t>
  </si>
  <si>
    <t>Building L2LS Endpoint Connect YAML File</t>
  </si>
  <si>
    <t>Running ANTA Tests for the L2LS Fabric</t>
  </si>
  <si>
    <t>Automating L3LS Network with AVD</t>
  </si>
  <si>
    <t>In this topic, you will learn how to automate a Layer 3 Leaf-Spine (L3LS) fabric using AVD. You will design underlay and overlay networks, build EVPN services, and define endpoint connectivity using structured YAML models. You will also learn how to create playbooks that build, deploy, and test the fabric. By the end of this topic, you will understand how AVD automates VXLAN EVPN fabrics from design through validation.</t>
  </si>
  <si>
    <t>Designing L3LS Fabric with Arista AVD</t>
  </si>
  <si>
    <t>Building AVD Inventory and Files</t>
  </si>
  <si>
    <t>Building the Underlay and Overlay in the Fabric YAML File</t>
  </si>
  <si>
    <t>Building The ENDPOINT_Connect YAML File</t>
  </si>
  <si>
    <t>Creating AVD Playbooks for Build, Deploy, and Test</t>
  </si>
  <si>
    <t>Executing Playbooks to Build, Deploy, and Test the Fabric</t>
  </si>
  <si>
    <t>Automating DCI Network with AVD</t>
  </si>
  <si>
    <t>In this topic, you will learn how AVD is used to automate Data Center Interconnect (DCI) designs. You will understand multi-data-center architecture, EVPN gateway concepts, and how DCI fabrics are modeled and deployed using AVD. By the end of this topic, you will be able to follow an AVD-driven workflow for building and validating inter-data-center connectivity.</t>
  </si>
  <si>
    <t>Designing DCI Fabric with Arista AVD</t>
  </si>
  <si>
    <t>Building DCI Fabric with Arista AVD</t>
  </si>
  <si>
    <t>Arista Continuous Integration</t>
  </si>
  <si>
    <t>In this topic, you will learn how continuous integration (CI) principles apply to network automation. You will explore how AVD fits into CI pipelines, where configuration generation, validation, and testing occur before deployment. You will understand how tools such as Git, CI/CD pipelines, automated testing, and pre-deployment validation are used to reduce risk and improve reliability in automated network environments.</t>
  </si>
  <si>
    <t>Continuous integration for Network Automation</t>
  </si>
  <si>
    <t>Automation Advanced</t>
  </si>
  <si>
    <t>Network Automation with Python</t>
  </si>
  <si>
    <t>EOS Automation with Python</t>
  </si>
  <si>
    <t>In this topic, you will learn how to automate Arista EOS devices directly using Python. You will start by enabling and exploring eAPI, then use Python requests, jsonrpclib, and PyeAPI to run show commands, push and replace configurations, and back up running configs across multiple devices. By the end of this topic, you will be able to build Python scripts that talk to EOS over eAPI, safely manage configuration changes, and reuse common connection profiles and data models as your automation scales.</t>
  </si>
  <si>
    <t>Introduction to eAPI</t>
  </si>
  <si>
    <t>On-Box Automation</t>
  </si>
  <si>
    <t>Off-Box Automation with Python</t>
  </si>
  <si>
    <t>Getting Information from EOS with Python Requests</t>
  </si>
  <si>
    <t>Pushing Config to EOS with Python Requests</t>
  </si>
  <si>
    <t>Saving Running Config with Python Requests</t>
  </si>
  <si>
    <t>Using JSONRPCLIB with Arista EOS</t>
  </si>
  <si>
    <t>Introducing PyeAPI</t>
  </si>
  <si>
    <t>Getting Information with PyeAPI</t>
  </si>
  <si>
    <t>Automating VLAN Configuration with PyEAPI</t>
  </si>
  <si>
    <t>Backup Configuration with PyeAPI</t>
  </si>
  <si>
    <t>Lab - Working with Command API</t>
  </si>
  <si>
    <t>Lab - Automating EOS with Python</t>
  </si>
  <si>
    <t>CloudVision Automation with Python</t>
  </si>
  <si>
    <t>In this topic, you will learn how to automate Arista CloudVision using Python. You will work with CloudVision REST APIs using the requests library and cvprac, then move to high-performance gRPC Resource APIs using grpcurl and Python client code. By the end of this topic, you will know how to authenticate with service accounts, retrieve and modify inventory and configlets, and use gRPC to query and subscribe to events, giving you full programmatic control over CloudVision operations.</t>
  </si>
  <si>
    <t>CloudVision APIs Overview</t>
  </si>
  <si>
    <t>CloudVision REST API Overview</t>
  </si>
  <si>
    <t>Automating CloudVision with Python Requests</t>
  </si>
  <si>
    <t>Automating CloudVision with cvprac</t>
  </si>
  <si>
    <t>gRPC Overview</t>
  </si>
  <si>
    <t>Using grpcurl with CloudVision</t>
  </si>
  <si>
    <t>Automating CloudVision with gRPC</t>
  </si>
  <si>
    <t>Querying Events with gRPC</t>
  </si>
  <si>
    <t>Subscribe to Events with gRPC</t>
  </si>
  <si>
    <t>Lab - Explore and Use CloudVision APIs</t>
  </si>
  <si>
    <t>Lab - Automating CloudVision with Python</t>
  </si>
  <si>
    <t>Network Automation with Ansible</t>
  </si>
  <si>
    <t>EOS Automation with Ansible</t>
  </si>
  <si>
    <t>Ansible Modules for EOS</t>
  </si>
  <si>
    <t>Automating EOS with Ansible</t>
  </si>
  <si>
    <t>Lab - Automating Arista EOS with Ansible</t>
  </si>
  <si>
    <t>CloudVision Automation with Ansible</t>
  </si>
  <si>
    <t>In this topic, you will learn how to automate Arista CloudVision using Ansible by leveraging the Arista CVP collection to manage configlets, containers, devices, tasks, and change controls in a declarative and scalable manner. You will start by understanding the CVP collection architecture and required modules such as cv_configlet_v3, cv_container_v3, cv_device_v3, cv_task_v3, cv_change_control_v3, and cv_facts_v3, then configure connectivity using HTTPS, token-based authentication, and service accounts. You will gather structured facts from CloudVision, upload and manage configlets with idempotent state control, build and modify container hierarchies, attach devices using different apply modes, and execute or cancel tasks programmatically. The topic concludes with a hands-on lab where you automate the full CloudVision provisioning workflow, reinforcing how to use Ansible as a source of truth for intent-based, large-scale network operations.</t>
  </si>
  <si>
    <t>Ansible CVP Collection Overview</t>
  </si>
  <si>
    <t>Connecting Ansible to CloudVision and Gathering Facts</t>
  </si>
  <si>
    <t>Uploading CloudVision Configlets with Ansible</t>
  </si>
  <si>
    <t>Managing CloudVision Containers with Ansible</t>
  </si>
  <si>
    <t>Attaching Devices to Containers with Ansible</t>
  </si>
  <si>
    <t>Executing Cloudvision Tasks with Ansible</t>
  </si>
  <si>
    <t>Network Automation with AVD</t>
  </si>
  <si>
    <t>AVD Architecture and Components</t>
  </si>
  <si>
    <t>Arista AVD Overview</t>
  </si>
  <si>
    <t>What Can You Build with Arista AVD</t>
  </si>
  <si>
    <t>AVD Components</t>
  </si>
  <si>
    <t>Arista AVD Collection Overview</t>
  </si>
  <si>
    <t>Exploring AVD Documentation</t>
  </si>
  <si>
    <t>AVD Setup and Data Models</t>
  </si>
  <si>
    <t>Install and Set Up AVD Environment</t>
  </si>
  <si>
    <t>Creating AVD Directory Structure</t>
  </si>
  <si>
    <t>Build an Ansible Config File for AVD</t>
  </si>
  <si>
    <t>Understanding AVD Inventory Structure</t>
  </si>
  <si>
    <t>Understand AVD Data Models</t>
  </si>
  <si>
    <t>Building and Deploying Configurations with AVD</t>
  </si>
  <si>
    <t>AVD Workflow</t>
  </si>
  <si>
    <t>Building the L2LS AVD Inventory</t>
  </si>
  <si>
    <t>Configuring L2LS Network Services (NETWORK_SERVICES.yml)</t>
  </si>
  <si>
    <t>Modeling L2LS Endpoint Connectivity (ENDPOINT_CONNECT.yml)</t>
  </si>
  <si>
    <t>Building and Deploying the L2LS Fabric with AVD Playbooks</t>
  </si>
  <si>
    <t>Reviewing the L3LS Fabric Topology</t>
  </si>
  <si>
    <t>Understanding the L3LS Fabric YAML Data Model</t>
  </si>
  <si>
    <t>Configuring the L3LS Underlay and Overlay Fabric (FABRIC.yml)</t>
  </si>
  <si>
    <t>Configuring L3LS EVPN Services (EVPN_SERVICES.yml)</t>
  </si>
  <si>
    <t>Modeling L3LS Endpoint Connectivity (ENDPOINT_CONNECT.yml)</t>
  </si>
  <si>
    <t>Generating L3LS Fabric Configuration and Documentation with AVD</t>
  </si>
  <si>
    <t>Deploying and Verifying L3LS Fabric with AVD</t>
  </si>
  <si>
    <t>Lab - Build L3LS EVPN-VXLAN with AVD</t>
  </si>
  <si>
    <t>Day 2 Operations with AVD</t>
  </si>
  <si>
    <t>Scaling out L2LS Fabric with AVD</t>
  </si>
  <si>
    <t>Adding Network Services to L2LS Fabric with AVD</t>
  </si>
  <si>
    <t>Connecting New Endpoints to L2LS Fabric with AVD</t>
  </si>
  <si>
    <t>Adding Leaf switches to L3LS Fabric with AVD</t>
  </si>
  <si>
    <t>Adding Spine switches to L3LS Fabric with AVD</t>
  </si>
  <si>
    <t>Connecting New Endpoints to L3LS Fabric with AVD</t>
  </si>
  <si>
    <t>Lab - Day 2 Operations with AVD</t>
  </si>
  <si>
    <t>PyAVD</t>
  </si>
  <si>
    <t>PyAVD Overview</t>
  </si>
  <si>
    <t>Generating Configuration and Documentation with PyAVD</t>
  </si>
  <si>
    <t>Arista Network Test Automation (ANTA)</t>
  </si>
  <si>
    <t>ANTA Overview</t>
  </si>
  <si>
    <t>What Is ANTA and Why Does It Matter</t>
  </si>
  <si>
    <t>ANTA Inventory</t>
  </si>
  <si>
    <t>ANTA Inventory Overview</t>
  </si>
  <si>
    <t>Building ANTA Inventory Manually</t>
  </si>
  <si>
    <t>ANTA Tests</t>
  </si>
  <si>
    <t>Understanding ANTA Tests and Test Catalogs</t>
  </si>
  <si>
    <t>Building a Test Catalog and Running NRFU</t>
  </si>
  <si>
    <t>Output Formats and Device Filtering</t>
  </si>
  <si>
    <t>Using Tags to Control Test Execution</t>
  </si>
  <si>
    <t>ANTA with AVD</t>
  </si>
  <si>
    <t>AVD and ANTA Integration Overview</t>
  </si>
  <si>
    <t>Using the anta_runner Role</t>
  </si>
  <si>
    <t>Lab - Arista Network Test Validation (ANTA)</t>
  </si>
  <si>
    <t>Automation with Studios</t>
  </si>
  <si>
    <t>Automating L2LS Campus Network with CVP Studios</t>
  </si>
  <si>
    <t>Configuriing L2LS Campus with External Gateway using CVP Studios</t>
  </si>
  <si>
    <t>Connecting New Host to L2LS Campus</t>
  </si>
  <si>
    <t>Lab - Day 2 Operations with L2LS Campus Studios</t>
  </si>
  <si>
    <t>Automating L3LS Campus Network with CVP Studios</t>
  </si>
  <si>
    <t>In this topic, you will learn how to automate an Arista L3LS Campus fabric using CloudVision Studios by leveraging workspaces, structured fabric models, and controlled change workflows to deploy and manage the network at scale. You will start by building the L3LS campus fabric model, enabling VXLAN and EVPN services through Studios, and applying configurations using intent-based templates rather than manual CLI commands. You will then expand the fabric by adding new access pods and spines, introducing new VRFs and VLANs, and modifying existing VRF and VLAN parameters through structured updates inside a workspace. You will also change the underlay routing protocol when required and connect new hosts using standardized interface profiles. Finally, you will perform Day 2 operations entirely through change control, reinforcing how to scale, extend, and operate an L3LS campus fabric using CloudVision Studios in a predictable and controlled manner.</t>
  </si>
  <si>
    <t>Configuring L3LS Campus with CVP Studios</t>
  </si>
  <si>
    <t>Adding New Spines to L3LS Campus</t>
  </si>
  <si>
    <t>Lab - Automating L3LS Campus with Studios</t>
  </si>
  <si>
    <t>Lab - Day 2 Operations with L3LS Campus Studios</t>
  </si>
  <si>
    <t>Automating L3LS DC Network with CVP Studios</t>
  </si>
  <si>
    <t>Topology Overview</t>
  </si>
  <si>
    <t>Register Devices to CloudVision Studios</t>
  </si>
  <si>
    <t>L3LS Fabric Studio Capabilities Overview</t>
  </si>
  <si>
    <t>Automating L3LS DC Fabric with Studios</t>
  </si>
  <si>
    <t>Automating Host Interfaces with Studios</t>
  </si>
  <si>
    <t>Automating External Connections with Studios</t>
  </si>
  <si>
    <t>Lab - Automating L3LS DC with Studios</t>
  </si>
  <si>
    <t>Lab - Day 2 Operations with L3LS DC Studios</t>
  </si>
  <si>
    <t>WAN Routing</t>
  </si>
  <si>
    <t>MPLS Core</t>
  </si>
  <si>
    <t>MPLS Overview</t>
  </si>
  <si>
    <t>MPLS Basics</t>
  </si>
  <si>
    <t>Introduction to MPLS Labels</t>
  </si>
  <si>
    <t>MPLS Packet and Devices</t>
  </si>
  <si>
    <t>Establishing LDP Sessions</t>
  </si>
  <si>
    <t>MPLS Flow and Terminology</t>
  </si>
  <si>
    <t>MPLS Control Plane &amp; Data Plane Tables</t>
  </si>
  <si>
    <t>IGP Routing &amp; MPLS Control Plane Convergence</t>
  </si>
  <si>
    <t>MPLS Data Plane</t>
  </si>
  <si>
    <t>Penultimate Hop Popping - PHP</t>
  </si>
  <si>
    <t>MPLS Services vs Applications vs Transport</t>
  </si>
  <si>
    <t>MPLS Troubleshooting Basics</t>
  </si>
  <si>
    <t>Route Aggregation in an MPLS Domain</t>
  </si>
  <si>
    <t>Loop Detection with TTL Propagation</t>
  </si>
  <si>
    <t>IGP vs LDP Convergence</t>
  </si>
  <si>
    <t>Layer 2 VPN Services</t>
  </si>
  <si>
    <t>Virtual Private Networks</t>
  </si>
  <si>
    <t>Overview of VPNs</t>
  </si>
  <si>
    <t>VPN Data Plane</t>
  </si>
  <si>
    <t>Benefits of MPLS</t>
  </si>
  <si>
    <t>MPLS L2 VPN Basics</t>
  </si>
  <si>
    <t>Introduction to E-Line Services and LDP Pseudowires</t>
  </si>
  <si>
    <t>Point-to-Point Layer 2 Services</t>
  </si>
  <si>
    <t>Multipoint Layer 2 VPN Service</t>
  </si>
  <si>
    <t>Configuring E-Line with LDP Pseudowire</t>
  </si>
  <si>
    <t>Lab - Configuring E-Line and LDP Pseudowire</t>
  </si>
  <si>
    <t>EVPN Overview</t>
  </si>
  <si>
    <t>Ethernet VPN Implementations</t>
  </si>
  <si>
    <t>Static Flow Aware Transport (FAT) Support on EVPN VPWS</t>
  </si>
  <si>
    <t>E-Line with EVPN VPWS</t>
  </si>
  <si>
    <t>E-LAN with EVPN Type-2 (L2EVPN)</t>
  </si>
  <si>
    <t>Lab - E-LAN with EVPN Route Type 2</t>
  </si>
  <si>
    <t>Lab - Configuring L3EVPN Route Type 5</t>
  </si>
  <si>
    <t>Lab - Troubleshooting L3EVPN Data Plane</t>
  </si>
  <si>
    <t>L3VPN with BGP</t>
  </si>
  <si>
    <t>BGP as PE-CE Protocol</t>
  </si>
  <si>
    <t>Configuring Common AS Number in Multiple Sites</t>
  </si>
  <si>
    <t>Allowas-In Part 1</t>
  </si>
  <si>
    <t>Allowas-In Part 2</t>
  </si>
  <si>
    <t>Lab - Configuring MP-BGP and L3VPN</t>
  </si>
  <si>
    <t>L3VPN Advanced Services</t>
  </si>
  <si>
    <t>Overlapping VPNs</t>
  </si>
  <si>
    <t>Configuring Shared Service VPN</t>
  </si>
  <si>
    <t>Managed Service VPNs</t>
  </si>
  <si>
    <t>Configuring Managed Service VPN</t>
  </si>
  <si>
    <t>Lab - Configuring Managed Service VPNs</t>
  </si>
  <si>
    <t>Lab - Configuring Overlapping VPNs</t>
  </si>
  <si>
    <t>MPLS Tunnels</t>
  </si>
  <si>
    <t>MPLS RSVP-TE Elements</t>
  </si>
  <si>
    <t>Introduction to TE</t>
  </si>
  <si>
    <t>Tunnel and Link Attributes Overview</t>
  </si>
  <si>
    <t>RSVP Part 1 - Path and Reservation Concepts</t>
  </si>
  <si>
    <t>RSVP Part 2 - Path State Table and RSVP Error Messages</t>
  </si>
  <si>
    <t>MPLS RSVP TE Configuration</t>
  </si>
  <si>
    <t>Lab - Configuring MPLS RSVP TE Dynamic Tunnels</t>
  </si>
  <si>
    <t>MPLS RSVP Tunnel Protection</t>
  </si>
  <si>
    <t>Tunnel Protection via Multiple Tunnels</t>
  </si>
  <si>
    <t>MPLS TE - RSVP - FRR</t>
  </si>
  <si>
    <t>RSVP FRR Facility Bypass Data Plane</t>
  </si>
  <si>
    <t>Lab - Configuring RSVP TE Multiple Tunnels</t>
  </si>
  <si>
    <t>Lab - Configuring Dynamic and Explicit Multi-Tunnel FRR</t>
  </si>
  <si>
    <t>Lab - Using Admin-Groups for Link and Tunnel Attributes Lab</t>
  </si>
  <si>
    <t>Lab - Using Secondary Path for Path Selection</t>
  </si>
  <si>
    <t>Segment Routing</t>
  </si>
  <si>
    <t>Segment Routing Fundamentals and Transitions</t>
  </si>
  <si>
    <t>Segment Routing Foundations and Basic Traffic Engineering</t>
  </si>
  <si>
    <t>LDP vs Segment Routing: Foundations and Protocols</t>
  </si>
  <si>
    <t>LDP vs Segment Routing: A Comparative Overview</t>
  </si>
  <si>
    <t>Exploring Segment Routing and Traffic Engineering in MPLS Networks</t>
  </si>
  <si>
    <t>MPLS Transport SR Options</t>
  </si>
  <si>
    <t>MPLS Core with SR-TE</t>
  </si>
  <si>
    <t>Advanced Segment Routing: Global Significance and Network Types</t>
  </si>
  <si>
    <t>Advanced Segment Routing: Traffic Engineering and Proxy Sets</t>
  </si>
  <si>
    <t>Segment Routing Configurations</t>
  </si>
  <si>
    <t>Configuring SR and IS-IS Basics</t>
  </si>
  <si>
    <t>Examining SR Show Commands</t>
  </si>
  <si>
    <t>Introducing User Defined Tunnel RIB</t>
  </si>
  <si>
    <t>Implementing Custom Path Strategies</t>
  </si>
  <si>
    <t>Lab - ISIS SR TE</t>
  </si>
  <si>
    <t>Lab - Configuring SR-TE Policy</t>
  </si>
  <si>
    <t>Segment Routing Traffic Engineering and Steering</t>
  </si>
  <si>
    <t>Traffic Steering and Service Mapping Case Study</t>
  </si>
  <si>
    <t>IS-IS SR TE Configuration</t>
  </si>
  <si>
    <t>SR-TE Choosing Best Candidate Paths</t>
  </si>
  <si>
    <t>Verify and Test SR-TE Policy</t>
  </si>
  <si>
    <t>Implementing SR-TE for Color Steering</t>
  </si>
  <si>
    <t>Steering Traffic Into SR-TE Policies</t>
  </si>
  <si>
    <t>Configuring Color Steering with SR-TE Policy</t>
  </si>
  <si>
    <t>Lab - Steering Traffic into TE Policy</t>
  </si>
  <si>
    <t>Lab - System Tunnel RIB</t>
  </si>
  <si>
    <t>Lab - User Defined Tunnel RIB</t>
  </si>
  <si>
    <t>Lab - Color Steering SR-TE Policy</t>
  </si>
  <si>
    <t>SR-WAN and DCI</t>
  </si>
  <si>
    <t>DCI with BGP L3VPN vs EVPN Connectivity Challenges</t>
  </si>
  <si>
    <t>L3 Connectivity Over MPLS-SR WAN</t>
  </si>
  <si>
    <t>DCI EVPN-VxLAN DC with MPLS-SR WAN</t>
  </si>
  <si>
    <t>Case Study - L2 and L3 Connectivity over MPLS-SR WAN</t>
  </si>
  <si>
    <t>Lab - Inter-AS Option C</t>
  </si>
  <si>
    <t>TRACK</t>
  </si>
  <si>
    <t>LESSON</t>
  </si>
  <si>
    <t>TOPIC #</t>
  </si>
  <si>
    <t xml:space="preserve">TOPIC </t>
  </si>
  <si>
    <t>TITLE</t>
  </si>
  <si>
    <t>LENGTH</t>
  </si>
  <si>
    <t>Arista EOS Fundametanls</t>
  </si>
  <si>
    <t>Configuring  Inter-VLAN Routing with SVIs</t>
  </si>
  <si>
    <t>STP Port States</t>
  </si>
  <si>
    <t>Network Design with Routers</t>
  </si>
  <si>
    <t>Why Routing</t>
  </si>
  <si>
    <t>Introduction to Dynamic Routing</t>
  </si>
  <si>
    <t>Classfull vs Classless Routing Protocols</t>
  </si>
  <si>
    <t>Authentication, Authorization, Accounting (AAA)</t>
  </si>
  <si>
    <t>Policing and Shaping</t>
  </si>
  <si>
    <t>Lab - Configure QoS</t>
  </si>
  <si>
    <t>IPV7</t>
  </si>
  <si>
    <t>IPV8</t>
  </si>
  <si>
    <t>IPV9</t>
  </si>
  <si>
    <t>SUB TRACK</t>
  </si>
  <si>
    <t>Engineering</t>
  </si>
  <si>
    <t>Lab - Troubleshooting STP</t>
  </si>
  <si>
    <t>Lab - OSPF</t>
  </si>
  <si>
    <t>Lab - L3 EVPN Symmetric IRB</t>
  </si>
  <si>
    <t>Operations</t>
  </si>
  <si>
    <t>Manual Onboarding</t>
  </si>
  <si>
    <t>Applying Configlets to Containers</t>
  </si>
  <si>
    <t>Lab - Configlet Builder</t>
  </si>
  <si>
    <t>Lab - Day 2 Operations with Studios</t>
  </si>
  <si>
    <t>PTP Events</t>
  </si>
  <si>
    <t>Upgrade EOS with CVP</t>
  </si>
  <si>
    <t>Debugging Layer 3 with CLI</t>
  </si>
  <si>
    <t>Troubleshoot VXLAN Bridging Traffic Flows with CVP</t>
  </si>
  <si>
    <t>Troubleshoot Virtual VTEP issues in VXLAN Routing with CLI</t>
  </si>
  <si>
    <t>Troubleshoot Duplicate Traffic Flows in EVPN Multihoming environment</t>
  </si>
  <si>
    <t>Troubleshoot STP with CVP</t>
  </si>
  <si>
    <t>Troubleshoot Process Failures and Health Checks with CVP</t>
  </si>
  <si>
    <t>Using Traceroute with CVP</t>
  </si>
  <si>
    <t>eVPN Multihoming with Multicast</t>
  </si>
  <si>
    <t>eVPN OISM with PIM Transport Part 1</t>
  </si>
  <si>
    <t>OISM Concepts Review</t>
  </si>
  <si>
    <t>EVPN OISM Redundancy Models</t>
  </si>
  <si>
    <t>Demo- Exploring OISM Functionality</t>
  </si>
  <si>
    <t>EVPN Multicast Transport Models</t>
  </si>
  <si>
    <t>EVPN Multicast - PIM Transport Model Overview</t>
  </si>
  <si>
    <t>Demo- EVPN Multicast PIM Transport Model</t>
  </si>
  <si>
    <t>EVPN Multicast - External Connectivity Overview</t>
  </si>
  <si>
    <t>Demo- PIM EVPN Gateway - PEG</t>
  </si>
  <si>
    <t>PIM EVPN to EVPN Gateway Overview - EEG</t>
  </si>
  <si>
    <t>Demo - PIM EVPN to EVPN Gateway - EEG</t>
  </si>
  <si>
    <t>Hierarchical EVPN Gateways for DCI</t>
  </si>
  <si>
    <t>Hierarchical EVPN for Scaling and DCI</t>
  </si>
  <si>
    <t>Introduction to EVPN Gateways</t>
  </si>
  <si>
    <t>Use Cases Overview and Topology</t>
  </si>
  <si>
    <t>Demo - EVPN GW with IP-VPN MPLS Interconnect</t>
  </si>
  <si>
    <t>Demo - EVPN GW with EVPN-VXLAN Interconnect - Layer 2</t>
  </si>
  <si>
    <t>Demo - EVPN GW with EVPN-VXLAN Interconnect - Layer 3</t>
  </si>
  <si>
    <t xml:space="preserve"> Configuring eVPN DCI Network with Studios</t>
  </si>
  <si>
    <t>Prepare and Onboard Devices to Studios</t>
  </si>
  <si>
    <t>Topology Overview - Studios for DCI and Multi-Homing</t>
  </si>
  <si>
    <t>Accept and Reconcile Devices</t>
  </si>
  <si>
    <t>Installing Interface Manager Studio Package</t>
  </si>
  <si>
    <t>Importing Tags for Studios</t>
  </si>
  <si>
    <t>Build Underlay and Overlay inside DC</t>
  </si>
  <si>
    <t xml:space="preserve">Configuring Initial Fabric Settings via Custom Enterprise Routing </t>
  </si>
  <si>
    <t>Adding Leafs, Spines, and Borderleafs</t>
  </si>
  <si>
    <t>Building the Underlay</t>
  </si>
  <si>
    <t>Configuring BGP Settings</t>
  </si>
  <si>
    <t>Building the Overlay</t>
  </si>
  <si>
    <t>Configure Initial Settings on all devices</t>
  </si>
  <si>
    <t>Building Static Configlet Studio Hierarchy via Tags</t>
  </si>
  <si>
    <t>Configuring Common Settings on All Devices</t>
  </si>
  <si>
    <t>Importing Static Configuration Studio Input files</t>
  </si>
  <si>
    <t>Build DCI Underlay</t>
  </si>
  <si>
    <t>Configuring DCI Underlay Interfaces</t>
  </si>
  <si>
    <t>Configuring DCI Underlay BGP</t>
  </si>
  <si>
    <t>Filtering BGP Routes with BorderLeaf Underlay Policy</t>
  </si>
  <si>
    <t>Configure DCI Overlay</t>
  </si>
  <si>
    <t>DCI Overlay</t>
  </si>
  <si>
    <t>Apply RCF Config</t>
  </si>
  <si>
    <t>Active Active MultiHoming</t>
  </si>
  <si>
    <t>Internet VRF and BGP Session Tracker</t>
  </si>
  <si>
    <t>Configuring EVPN Services Internet VRF</t>
  </si>
  <si>
    <t>Configuring Internet VRF BGP</t>
  </si>
  <si>
    <t>Configuring Hosts and Testing Internet</t>
  </si>
  <si>
    <t>Interface Tagging and Dashboards</t>
  </si>
  <si>
    <t>Upgrading Packages</t>
  </si>
  <si>
    <t>Tenant1 Inter DC Same Vlan ID L3 EVPN</t>
  </si>
  <si>
    <t>Tenant2 Inter DC different Vlans</t>
  </si>
  <si>
    <t>Tenant3 Inter DC different Tenants</t>
  </si>
  <si>
    <t>QOS Marking Down Best Effort Traffic</t>
  </si>
  <si>
    <t>Route Leaking</t>
  </si>
  <si>
    <t>TOPIC</t>
  </si>
  <si>
    <t>Traditional Campus Architecture Overview</t>
  </si>
  <si>
    <t>Arista Universal Cloud Network Architecture</t>
  </si>
  <si>
    <t>SWAG Architecture</t>
  </si>
  <si>
    <t>Build L2LS Campus Network Using CLI</t>
  </si>
  <si>
    <t>Configuring L2LS Campus with CLI</t>
  </si>
  <si>
    <t>Adding New VRFs to L3LS Campus</t>
  </si>
  <si>
    <t>Lab - Day 2 Operations with L3 Campus Studios</t>
  </si>
  <si>
    <t>History of Network Automation</t>
  </si>
  <si>
    <t>Network Automation Concepts and Practices</t>
  </si>
  <si>
    <t>Customzing VSCode Layout</t>
  </si>
  <si>
    <t>Getting Information from EOS Devices</t>
  </si>
  <si>
    <t>Parsing CLI Output with Python</t>
  </si>
  <si>
    <t>APIs In Network Automation</t>
  </si>
  <si>
    <t>Creating and Installing TLS Certificates</t>
  </si>
  <si>
    <t>Organizing Requests In REST API Clients</t>
  </si>
  <si>
    <t>Ansible Components Overview</t>
  </si>
  <si>
    <t>CloudVision and Device Communication</t>
  </si>
  <si>
    <t>CVP Multi-Node OVA Installation Demo</t>
  </si>
  <si>
    <t>CVP Change Control Overview</t>
  </si>
  <si>
    <t>Change Control Demo</t>
  </si>
  <si>
    <t>ZTP Demo - Deploying vEOS to CloudVision</t>
  </si>
  <si>
    <t>CloudVision Tags</t>
  </si>
  <si>
    <t>Inventory and Topology Studio Overview</t>
  </si>
  <si>
    <t>Interface Configuration Studio Demo</t>
  </si>
  <si>
    <t>Authentication Studio Demo</t>
  </si>
  <si>
    <t>Importing Studio Demo</t>
  </si>
  <si>
    <t>Modern Network Telemetry with CloudVision</t>
  </si>
  <si>
    <t>CloudVision Topology Overview</t>
  </si>
  <si>
    <t>Jinja Variable Files</t>
  </si>
  <si>
    <t>Upload and Deploy Jinja Configs Through CloudVision</t>
  </si>
  <si>
    <t>Deploying Configs Directly with eAPI and Jinja</t>
  </si>
  <si>
    <t>Introducing REST API Requests and Responses</t>
  </si>
  <si>
    <t>HTTP Authentication Summary</t>
  </si>
  <si>
    <t>Introduction to Arista AVD</t>
  </si>
  <si>
    <t>Installing AVD and Setting Up the Directory Structure</t>
  </si>
  <si>
    <t>Creating inventory.yml for Arista AVD</t>
  </si>
  <si>
    <t>Deploying AVD Configuration Directly to EOS - Part 1</t>
  </si>
  <si>
    <t>Executing Playbooks to Build, Deploy, and Verify L2LS Fabric</t>
  </si>
  <si>
    <t>Building The EVPN Services YAML File</t>
  </si>
  <si>
    <t>Enabling eAPI on Arista Devices</t>
  </si>
  <si>
    <t>Command API Overview - eAPI Explorer</t>
  </si>
  <si>
    <t>Replacing Running Config with Python Requests</t>
  </si>
  <si>
    <t>Resource API Explorer</t>
  </si>
  <si>
    <t>Preparing EOS for Ansible Integration</t>
  </si>
  <si>
    <t>Lab - Automate CVP with Ansible</t>
  </si>
  <si>
    <t>AVD Lifecycle</t>
  </si>
  <si>
    <t>Building Config with AVD</t>
  </si>
  <si>
    <t>Deploying AVD through EOS</t>
  </si>
  <si>
    <t>Deploying AVD through CloudVision</t>
  </si>
  <si>
    <t>Defining the L2LS Fabric Data Model (FABRIC.yml)</t>
  </si>
  <si>
    <t>Lab - Deploy L2LS Network with AVD</t>
  </si>
  <si>
    <t>Building the L3LS AVD Inventory</t>
  </si>
  <si>
    <t>Understanding Day 2 Operations with AVD</t>
  </si>
  <si>
    <t>Adding EVPN Services to L3LS Fabric with AVD</t>
  </si>
  <si>
    <t>Building ANTA Inventory From CVP</t>
  </si>
  <si>
    <t>Building ANTA Inventory From Ansible</t>
  </si>
  <si>
    <t>Lab - Automating L2LS Campus with Studios</t>
  </si>
  <si>
    <t>Automating eVPN Services with Studios</t>
  </si>
  <si>
    <t>Lab - Configuring IP Addresses</t>
  </si>
  <si>
    <t>Lab - Configuring Provider Network Reachability</t>
  </si>
  <si>
    <t>Lab - Configuring MPLS and LDP</t>
  </si>
  <si>
    <t>Show Commands Walkthrough- LDP Label Distribution</t>
  </si>
  <si>
    <t>Use of VRFs in VPN Architecture</t>
  </si>
  <si>
    <t>VPN Control Plane</t>
  </si>
  <si>
    <t>Lab - E-Line with EVPN VPWS</t>
  </si>
  <si>
    <t>Configuring Overlapping VPNs</t>
  </si>
  <si>
    <t>Shared Service VPNs</t>
  </si>
  <si>
    <t>Lab - Configuring Shared  Service VPNs</t>
  </si>
  <si>
    <t>MPLS RSVP TE Explicit Path Configuration</t>
  </si>
  <si>
    <t>Configuring FRR Node-Protection Bypass</t>
  </si>
  <si>
    <t>BGP-SR Fundamentals: Building the MPLS Foundation</t>
  </si>
  <si>
    <t>Segment Routing - Overview</t>
  </si>
  <si>
    <t>Configuring ISIS-SR with Node SID</t>
  </si>
  <si>
    <t>MPLS Inter-AS Deployment Scenarios</t>
  </si>
  <si>
    <t>L2 Connectivity Over MPLS-SR WAN</t>
  </si>
  <si>
    <t>AI Fundamentals</t>
  </si>
  <si>
    <t xml:space="preserve">Network Requirements for AI Enabled DC </t>
  </si>
  <si>
    <t>Introduction to AI</t>
  </si>
  <si>
    <t>AI Applications</t>
  </si>
  <si>
    <t>Machine learning and Deep Learning</t>
  </si>
  <si>
    <t>AI Workflow</t>
  </si>
  <si>
    <t>AI Frameworks Essentials</t>
  </si>
  <si>
    <t>AI Frameworks Classifications</t>
  </si>
  <si>
    <t>Traditional AI vs generative AI</t>
  </si>
  <si>
    <t>AI Models</t>
  </si>
  <si>
    <t>AI Language Models</t>
  </si>
  <si>
    <t>Data Role in AI</t>
  </si>
  <si>
    <t>Understanding Data in AI</t>
  </si>
  <si>
    <t>Data Processing and Preparation</t>
  </si>
  <si>
    <t>Data Storage and Security</t>
  </si>
  <si>
    <t>AI Tools and Automation</t>
  </si>
  <si>
    <t>AI Hardware</t>
  </si>
  <si>
    <t>Core Hardware Components</t>
  </si>
  <si>
    <t>AI Hardware Components</t>
  </si>
  <si>
    <t>AI Silicon - CPU vs GPU vs TPU</t>
  </si>
  <si>
    <t>AI Silicon</t>
  </si>
  <si>
    <t>Choosing AI Processors</t>
  </si>
  <si>
    <t>Intro to Multiprocessing and Distributed Processing</t>
  </si>
  <si>
    <t>Parallel Processing Models</t>
  </si>
  <si>
    <t>Distributed Processing Models</t>
  </si>
  <si>
    <t>Comparing AI Processors</t>
  </si>
  <si>
    <t>Assessing AI Workload Requirements</t>
  </si>
  <si>
    <t>HPC and AI Cluster</t>
  </si>
  <si>
    <t xml:space="preserve">HPC Architecture for AI </t>
  </si>
  <si>
    <t>AI Clusters Overview</t>
  </si>
  <si>
    <t>AI Network Technologies</t>
  </si>
  <si>
    <t>Network Requirements for AI Enabled DC</t>
  </si>
  <si>
    <t>Losless AI Fabric and its requirements</t>
  </si>
  <si>
    <t>AI Network Technologies (Infiniband)</t>
  </si>
  <si>
    <t>AI Enabled DC with InfiniBand</t>
  </si>
  <si>
    <t>AI Network Technologies (Ethernet)</t>
  </si>
  <si>
    <t>AI Enabled DC with Ethernet</t>
  </si>
  <si>
    <t>Ultra Ethernet Consortium</t>
  </si>
  <si>
    <t>RoCE</t>
  </si>
  <si>
    <t>Infiniband vs Ethernet</t>
  </si>
  <si>
    <t>Lossless AI Network Implementations</t>
  </si>
  <si>
    <t>Traditional QoS For Lossless AI Fabric</t>
  </si>
  <si>
    <t>Explicit Congestion Notification</t>
  </si>
  <si>
    <t>Priority Flow Control</t>
  </si>
  <si>
    <t>Dynamic Load Balancing</t>
  </si>
  <si>
    <t>Cluster Load Balancing</t>
  </si>
  <si>
    <t>AI in Software-Defined Networking and Automation</t>
  </si>
  <si>
    <t>AI in SDA and Automation</t>
  </si>
  <si>
    <t>AI for Predictive Maintenance and Proactive Troubleshooting</t>
  </si>
  <si>
    <t>Arista AI Visibility and Telemetry</t>
  </si>
  <si>
    <t>AI Data Center Architecture</t>
  </si>
  <si>
    <t>Arista AI Network Portfoilo</t>
  </si>
  <si>
    <t>Broadcom Network ASICs for AI</t>
  </si>
  <si>
    <t>Arista AI Center and Arista Etherlink</t>
  </si>
  <si>
    <t>Arista AI Data Center Design</t>
  </si>
  <si>
    <t>AI Data Center Design Examples</t>
  </si>
  <si>
    <t>AI Data Center Design Best Practices</t>
  </si>
  <si>
    <t>Arista AI Networking POC</t>
  </si>
  <si>
    <t>AI Networking Demo</t>
  </si>
  <si>
    <t>Ai Networking Demo Part 1</t>
  </si>
  <si>
    <t>Ai Networking Demo Part 2</t>
  </si>
  <si>
    <t>Ai Networking Demo Part 3</t>
  </si>
  <si>
    <t>Ai Networking Demo Part 4</t>
  </si>
  <si>
    <t>Troubleshooting Techtutorial</t>
  </si>
  <si>
    <t>Topic</t>
  </si>
  <si>
    <t>Video Title</t>
  </si>
  <si>
    <t>Length (H:M:S)</t>
  </si>
  <si>
    <t>Size (MB )</t>
  </si>
  <si>
    <t>Total</t>
  </si>
  <si>
    <t>Tags</t>
  </si>
  <si>
    <t>Lesson</t>
  </si>
  <si>
    <t>Course Introduction</t>
  </si>
  <si>
    <t>Course Intro</t>
  </si>
  <si>
    <t xml:space="preserve">Course Overview </t>
  </si>
  <si>
    <t xml:space="preserve">high memory issues, system reloads, top, show reload cause full, SEU error, Single event upset, SCD, System Control Device, kernel panic, watchdog, Reload reason Unknown, Aboot, system power events, PSU failure, Line card failure, fabric module failure, </t>
  </si>
  <si>
    <t xml:space="preserve">Physical Link errors, layer 1 errors, counters errors, optical troubleshooting, cut through, store and forward, Link troubleshooting, interface flap, interface is down, interface not linking up errors, speed troubleshooting, duplex troubleshooting, speed group, transceiver light levels, errdisabled, error disable, error coding, Forward error correction, FEC, </t>
  </si>
  <si>
    <t xml:space="preserve">health checks, CLI Health checks, CVP Health checks, CVP Device Overview, CVP Timeline, CVP system processes, CVP System log messages, CVP Hardware capacity, CVP Address Search, CVP Device Events, CVP Snapshots, </t>
  </si>
  <si>
    <t xml:space="preserve">hardware troubleshooting, LED indicators, Hardware Drop Counter Alert, Reassembly Error, Frame Check Sequence, FCS, counters errors, DeqDeletePktCnt, Deqdelete, ingress queue delay, queue credits, </t>
  </si>
  <si>
    <t xml:space="preserve">Parity errors, CRC errors, ECC errors, bit flip, single event upset, show pci, flash errors, login errors, space errors, agent errors, agent crashes, </t>
  </si>
  <si>
    <t xml:space="preserve">tcpdump, iperf, packet sniffer, Iperf Server, Iperf client, </t>
  </si>
  <si>
    <t xml:space="preserve">Extensions, install extensions, boot-extensions, swix files, software image extensions, rpm packages, </t>
  </si>
  <si>
    <t>CloudVision, CVP, Troubleshooting, SNMP, Configlets, Designed Configuration, Running Configuration, Tasks, Change Control, Config out of compliance, Compliance, Compliance Overview, Configuration Compliance, Software Compliance, End of Life, Mismatched Lines, New Lines, Reconcile, Reconcile this line, Compare Configs</t>
  </si>
  <si>
    <t>CVP Device Overview, Device Interfaces, Interface Overview, SFP, links, transcievers, optics</t>
  </si>
  <si>
    <t>Layer 1 Errors, L1 Errors, Input errors, traffic counters, SFP, QSFP, Cables, Ports, FCS Errors, FCS error rate, error counters, traffic rates</t>
  </si>
  <si>
    <t>CloudVision, CVP, Troubleshooting, STP, Spanning-tree, Troubleshooting STP,  Log Mesages, STP syslogs, STP logs, TCN, Topology Change Notification, Snapshots</t>
  </si>
  <si>
    <t>CloudVision, CVP, Troubleshooting, Processes, process failure, Memory Overview, CPU Overview, CPU Utilization, health checks, process logs, paritions, Storage, agents, agent logs, hardware capacity</t>
  </si>
  <si>
    <t>CloudVision, CVP, Troubleshooting, comparison, config issues, Time comparison, Device Comparison, LLDP Neighbors, Vxlan config sanity check, vxlan configuration error. mlag config sanity</t>
  </si>
  <si>
    <t xml:space="preserve">CloudVision, CVP, Troubleshooting, BGP, troubleshoot BGP, Border Gateway Protocol, Monitoring BGP, BGP syslogs, BGP Traffic flows, BGP heatmap, BGP Charts, Traffic flows, flow tracking data, BGP summary table, BGP Flow records, sflow, Enable Traffic Flow Tracking, Topology, Flow tracking data, BGP flow, Traffic Flows Animation, </t>
  </si>
  <si>
    <t>CloudVision, CVP, Troubleshooting, BFD, Bidirectional forward detection, Troubleshoot BFD, Snapshots, show bfd peers, show bfd peers detail, show bfd peers history, BFD flows, Flow Tracking Data, Monitoring BFD, BFD Counters,  BFD sylogs</t>
  </si>
  <si>
    <t xml:space="preserve">CloudVision, CVP, Troubleshooting, Asymmetric Routing, VXLAN, EVPN, BGP, L3, Layer 3, sFlow, ICMP, </t>
  </si>
  <si>
    <t>CloudVision, CVP, Troubleshooting, Link Utilization, sFlow, Flows, Traffic Flows, Flow Animation, RX Traffic Rate, RX Error Counters, TX Traffic Rate, TX Error Counters, Traffic Rates, Error Counters, LANZ, Latency Analyzer, Dashboards, Hardware Capacity</t>
  </si>
  <si>
    <t>CloudVision, CVP, Troubleshooting, Traceroute, flows, flow tracking data, sFlow</t>
  </si>
  <si>
    <t>CloudVision, CVP, Troubleshooting, access control, authentication, authorization, accounting, users, Roles, RADIUS, TACACAS, Device Authentication, Device Authorization, AAA</t>
  </si>
  <si>
    <t>CloudVision, CVP, Troubleshooting, Events, Notifications, SMTP, Simple Mail Transfer Protocol, SMTP Encryption, Event Notification, Sender Address, SMTP Username, SMTP Password, Messaging Services, Notification Rules, Notification Receivers, Google chat Notification, webhooks, Custom Syslog Event, Syslog Facility, Syslog Severetiy, Syslog Mnemonic, Event Options, Custom Events</t>
  </si>
  <si>
    <t>Replace Device using ZTR with CVP</t>
  </si>
  <si>
    <t>CloudVision, CVP, ZTP, Zero Touch Provisioning, ZTR, Zero Touch Replacement, Replace Switch, Decomission Device</t>
  </si>
  <si>
    <t>EOS Upgrade Operations</t>
  </si>
  <si>
    <t>EOS Upgrade with CLI</t>
  </si>
  <si>
    <t>EOS, Upgrade, Reloads, Boot loader, Aboot, Standard Upgrade, Smart System Upgrade, SSU, fast boot, boot config file, Pre-upgrade checks, graceful restart</t>
  </si>
  <si>
    <t>EOS and Extensions Upgrade with CVP</t>
  </si>
  <si>
    <t xml:space="preserve">CloudVision, CVP, PreUpgrade Checks, EOS Upgrade, Actions, Upgrade Extension, Snapshots, Change control Templates, Action Bundles, Upgrade TerminAttr, image bundle, TerminAttr, streaming agent, Streaming Telemetry Agent, software image extensions, SWIX, SWI, software image, image repository, Out of Sync Images, Out of Sync Extensions, Tasks, Change Control, Post Upgrade Checks, TAC Bundle, Custom Actions, Upgrade logs, image syslogs, Templates, </t>
  </si>
  <si>
    <t xml:space="preserve">EOS, Upgrade, Reloads, MLAG, MultiChassis Link Aggregation, reload delay, MLAG Upgrade Steps, MLAG ISSU Compatibility check, In Service Software upgrade, MLAG Config Sanity,  </t>
  </si>
  <si>
    <t xml:space="preserve">EOS, Upgrade, Reloads, MLAG, MultiChassis Link Aggregation, RPR, SSO, Stateful Switchover, Route Processor Redundancy, Prechecks, config sanities, supervisor redundancy, supervisors, supervisor Replacements, PreUpgrade check, Post upgrade check, Install command, RCA, Root Cause analysis, log collection, alias, Multi-Supervisor Upgrade, redundancy, File Replication, reload all, STP Not Restartable, backup discarding state, Not ready for switchover, agents not ready, redundancy status, SSO not ready, linecards, </t>
  </si>
  <si>
    <t xml:space="preserve">EOS, Upgrade, Reloads, MLAG, MultiChassis Link Aggregation, CVP, Change Controls, CloudVision, CVP, MLAG Health Check, Action, mlag detail, mlag config sanity, mlag issu warnings, action timeout, Action bundle, Templates, Tasks, MLAG Health Action Pack, Upgrade logs, </t>
  </si>
  <si>
    <t>layer 2 troubleshooting, L2 troubleshooting, LACP Troubleshooting, MLAG Troubleshooting, ARP Troubleshooting, trunk troublebooting, troubleshooting vlans, trunk group</t>
  </si>
  <si>
    <t>layer 2 troubleshooting, L2 troubleshooting, CVP, Device Details, Endpoint Search, Device Comparison, snapshots, CVP Topology, cloudvision, switching information</t>
  </si>
  <si>
    <t>layer 3 troubleshooting, L3 troubleshooting, l3 reachability issues, ICMP, troubleshoot OSPF, CPU Counter queue, Default Control Plane ACL</t>
  </si>
  <si>
    <t xml:space="preserve">layer 3 troubleshooting, L3 troubleshooting, CVP topology, cvp flow, sflow configuration, CVP sflow, traffic flows, l3 reachability issues, packet loss, packetl loss events, CVP Dashboards, IPv4 Routing Table, CVP Timeline, CVP Comparison, </t>
  </si>
  <si>
    <t>Troubleshoot VXLAN Intermittent connectivity with CLI</t>
  </si>
  <si>
    <t>layer 3 troubleshooting, VXLAN, VXLAN Troubleshooting, CLI, Debug, intermittent VXLAN, monitor session, tcpdump, Debugging VXLAN, VXLAN Interface, VTI, VNI, Flood List, VTEP, VXLAN Tunnel Endpoints, VLAN to VNI Mapping, HER, Head End Replication, VXLAN Address table, VXLAN Config sanity, MLAG Config sanity,</t>
  </si>
  <si>
    <t>Troubleshoot VXLAN Mac Address Flapping with CLI</t>
  </si>
  <si>
    <t>layer 3 troubleshooting, VXLAN, VXLAN Troubleshooting, CLI, Debug, MAC Flaps, VTI, VXLAN Tunnel Interface, VXLAN Address table,VTEP, VXLAN Tunnel Endpoint, curl, Event Monitor, Flood list, MAC Address Table, HER, VXLAN Config sanity, mlag config sanity,</t>
  </si>
  <si>
    <t>Troubleshoot VXLAN Bridging Traffic flows with CVP</t>
  </si>
  <si>
    <t xml:space="preserve">layer 3 troubleshooting, VXLAN, VXLAN Troubleshooting, CloudVision , Debug, intermittent VXLAN, VTEPs, Flows, sFlow, ICMP Flows, snapshots, MAC Address Table, Intermittent connectivity, Endpoint Search, MAC Address Moves, Traffic Flows, VXLAN Config sanity, invalid local VTEP IP, Event Notifications, </t>
  </si>
  <si>
    <t xml:space="preserve">layer 3 troubleshooting, VXLAN, VXLAN Troubleshooting, VXLAN Routing, ip address virtual, Virtual MAC, Troubleshoot VXLAN Routing, monitor session, tcpdump, VXLAN Tunnel Endpoint, VTEP, hardware tcam profile, VXLAN Flood list, Remote MAC Learning, show interface vxlan 1, MAC Address Table, L3 VTEPs, Layer 3 VTEPS, Asymmetric Routing, ARP Request, ARP Reply, MAC Address Learning, mac address table aging timeout, arp aging timeout, </t>
  </si>
  <si>
    <t xml:space="preserve">layer 3 troubleshooting, VXLAN, VXLAN Troubleshooting, VXLAN Routing, CVP, CloudVision, interface rates, packet capture, Troubleshoot VXLAN Routing with CVP, Excessive Flooding, Endpoint Search, Device Compare, </t>
  </si>
  <si>
    <t xml:space="preserve">layer 3 troubleshooting, VXLAN, VXLAN Troubleshooting, VXLAN Routing, ip address virtual, Virtual MAC, Troubleshoot VXLAN Routing, monitor session, tcpdump, VXLAN Tunnel Endpoint, VTEP, hardware tcam profile, VXLAN Flood list, Remote MAC Learning, show interface vxlan 1, MAC Address Table, L3 VTEPs, Layer 3 VTEPS, Asymmetric Routing, ARP Request, ARP Reply, MAC Address Learning, mac address table aging timeout, arp aging timeout, Virtual VTEP IP, Secondary Address, </t>
  </si>
  <si>
    <t>layer 3 troubleshooting, VXLAN, VXLAN Troubleshooting, VXLAN Routing, Virtual VTEP, PCAP, VXLAN Packet Captures, MTU, tcpdump, fragmentation, Kernel IP Counters</t>
  </si>
  <si>
    <t xml:space="preserve">layer 3 troubleshooting, VXLAN, VXLAN Troubleshooting, VXLAN Routing, Virtual VTEP, PCAP, VXLAN Packet Captures, MTU, tcpdump, fragmentation, Kernel IP Counters, CloudVision, CVP, flows, sFlows, Topology, Events, MTU Constraint Violation, Interface MTU Constraint Violation, Change Control, </t>
  </si>
  <si>
    <t xml:space="preserve">layer 3 troubleshooting, VXLAN, VXLAN Troubleshooting, VXLAN Routing, ARP,  VXLAN Address Table, VTEP, monitor session, tcpdump, virtual router address, </t>
  </si>
  <si>
    <t>Layer 3 troubleshooting, EVPN, VXLAN, EVPN Troubleshooting, VXLAN Troubleshooting, MAC-VRF, NVO, EVI, EVPN Instance, Route Distinguisher, Route Target, EVPN Service models, VLAN Based, VLAN AWARE Bundle, Route type 2, MAC-IP, Route type 3, IMET, show bgp evpn sanity detail, MLAG, iBGP</t>
  </si>
  <si>
    <t xml:space="preserve">Layer 3 troubleshooting, EVPN, VXLAN, EVPN Troubleshooting, VXLAN Troubleshooting, Traffic Loss, monitor session, tcpdump, flood list, VXLAN Counters, </t>
  </si>
  <si>
    <t xml:space="preserve">Layer 3 troubleshooting, EVPN, VXLAN, EVPN Troubleshooting, VXLAN Troubleshooting, Traffic Loss, intermittent packet loss, event monitor, host-flap, Suppressed duplicate MAC Recovery, L2EVPN General checks, </t>
  </si>
  <si>
    <t>layer 3 troubleshooting, EVPN, Packet loss, Asymmetric IRB, Integrated Routing and Bridging, symmetric IRB, ip address virtual, VMI, Route target, VRF, MAC-VRF, tcpdump, monitor session, Mac-ip, route type 2, virtual router encapsulation,</t>
  </si>
  <si>
    <t>layer 3 troubleshooting, EVPN, Packet loss, VXLAN, centralized routing, CVP, CloudVision, Events, Output discards, TX Error, RX Error, LANZ, Latency Analyzer, Queue Drops, Traffic Flows, queue monitor length, tcpdump, monitor session, route type 2, mac-ip, secondary ip address, Virtual VTEP IP</t>
  </si>
  <si>
    <t>Troubleshoot Duplicate traffic flows in EVPN Multihoming environment</t>
  </si>
  <si>
    <t>layer 3 troubleshooting, EVPN, VXLAN, Ethernet segments, all-active multihoming, Route type 5, IP Prefix Routes, ESI, Ethernet segment identifier, Type 1 Auto Discovery, AD Routes, EVI, EVPN Instance, EVI Route, mass withdrawal, Aliasing, EVPN Active-Active MAC Aliasing, Type 4 Ethernet Segment, Type 4 Route, tcpdump, route type 2, mac-ip, Flood lists, VNI, DF, Designated Forwarder, show bop evpn sanity detail, MAC-VRF Redistribution</t>
  </si>
  <si>
    <t>layer 3 troubleshooting, EVPN, VXLAN, Ethernet segments, all-active multihoming, Route type 5, IP Prefix Routes, ESI, Ethernet segment identifier, Type 1 Auto Discovery, AD Routes, EVI, EVPN Instance, EVI Route, mass withdrawal, Aliasing, EVPN Active-Active MAC Aliasing, Type 4 Ethernet Segment, Type 4 Route, tcpdump, route type 2, mac-ip, Flood lists, VNI, DF, Designated Forwarder, show bop evpn sanity detail, MAC-VRF Redistribution, VRF, router Mac, prefix list, route map,</t>
  </si>
  <si>
    <t>QoS Techtutorial</t>
  </si>
  <si>
    <t>Descriptions</t>
  </si>
  <si>
    <t>\</t>
  </si>
  <si>
    <t>QoS Overview</t>
  </si>
  <si>
    <t xml:space="preserve">EOS, QoS, Quality of service, Arista QoS, QoS Policy, QoS Data Unit encoding, IP Percedence, DSCP, Differentiated Service Code Point, CoS, Class of service, ToS, Type of Service, QoS Marking, </t>
  </si>
  <si>
    <t>QoS Modes and Settings</t>
  </si>
  <si>
    <t xml:space="preserve">EOS, QoS, Quality of Service, Arista QoS, Trust boundary, Traffic Classes, TX Queues, Queue, QoS Mapping, QoS Prioritrization, Strict Priority, Priority Queue, Bandwidth Percent, </t>
  </si>
  <si>
    <t>ECN and PFC</t>
  </si>
  <si>
    <t>EOS, QoS, Quality of Service, Arista QoS, ECN, Explicit Congestion Notification, Congestion, 802.3x, Pause frames, PFC, Priority flow control, Priority based flow control</t>
  </si>
  <si>
    <t>Multicast Techtutorial</t>
  </si>
  <si>
    <t>Multicast Nuggets</t>
  </si>
  <si>
    <t>Multicast Basics</t>
  </si>
  <si>
    <t xml:space="preserve">EOS, Multicast, Multicast Applicaitons, Why Multicast, PIM, IGMP, RP, Rendevouz Point, Protocol independent multicast, Dense Mode, Sparse Mode, PIM Dense, PIM Sparse, IGMP Join, </t>
  </si>
  <si>
    <t>Multicast with eVPN</t>
  </si>
  <si>
    <t xml:space="preserve">EOS, Multicast, Multicast with eVPN, Non Optimized, Optimized, Multicast with HER, Multicast wtih Head End Replication, Multicast ingress replicaiton, IGMP Proxy, Route type 6, IGMP with eVPN, L2 Multicast with eVPN, L3 Multicast with eVPN, DR, Designated Router, </t>
  </si>
  <si>
    <t>Multicast with Active-Active multihoming</t>
  </si>
  <si>
    <t>EOS, Multicast, Multicast with eVPN, Route type 7, Route type 8, Multicast wtih eVPN Multihoming, Designated Forwarder, JOIN Sync, Leave Sync</t>
  </si>
  <si>
    <t>Demo - Reviewing and Configuring Multicast on Arista Switches</t>
  </si>
  <si>
    <t>EOS, Multicast, Multicast advantages, multicast addresses, Class D, Well known multicast addresses, IGMP, PIM, protocol independent multicast, Enable multicast routing, Configuring Multicast, Rendevouz point, Verify Multicast</t>
  </si>
  <si>
    <t>7130 Techtorial</t>
  </si>
  <si>
    <t>Module</t>
  </si>
  <si>
    <t>7130 Course Introduction</t>
  </si>
  <si>
    <t>Course Overview</t>
  </si>
  <si>
    <t xml:space="preserve">Introduction to Low Latency Applications and Platforms </t>
  </si>
  <si>
    <t>Session Date</t>
  </si>
  <si>
    <t>Application Deep Dive</t>
  </si>
  <si>
    <t>Arista 7130 Applications Part 1</t>
  </si>
  <si>
    <t>Dec 1st 2023</t>
  </si>
  <si>
    <t>Need Edits</t>
  </si>
  <si>
    <t>Arista 7130 Applications Part 2</t>
  </si>
  <si>
    <t>Arista 7130 Applications Part 3</t>
  </si>
  <si>
    <t>ExchangeApp</t>
  </si>
  <si>
    <t>Arista 7130 Platforms</t>
  </si>
  <si>
    <t>Arista Platform Differences Intro</t>
  </si>
  <si>
    <t>Arista 7130 Platform Differences</t>
  </si>
  <si>
    <t>7130 LS(S)/LB(S)</t>
  </si>
  <si>
    <t>7130 LBR Tamarama</t>
  </si>
  <si>
    <t>7130 B Cottesloe</t>
  </si>
  <si>
    <t>7132 Malabar</t>
  </si>
  <si>
    <t>7135 Freshwater</t>
  </si>
  <si>
    <t>7260 Tomahawk with Buffer Architecture</t>
  </si>
  <si>
    <t>SwitchApp</t>
  </si>
  <si>
    <t>Introductino to SwitchApp</t>
  </si>
  <si>
    <t>New Video</t>
  </si>
  <si>
    <t>Interfaces</t>
  </si>
  <si>
    <t>Buffers</t>
  </si>
  <si>
    <t>LAN TOI</t>
  </si>
  <si>
    <t>`</t>
  </si>
  <si>
    <t>Hardware Forwarding Without an ASIC</t>
  </si>
  <si>
    <t>Monitoring</t>
  </si>
  <si>
    <t>Agents and Debugging</t>
  </si>
  <si>
    <t>What Else can you do with FPGAs?</t>
  </si>
  <si>
    <t>7130 SwitchApp Demo</t>
  </si>
  <si>
    <t xml:space="preserve">Keeping the Arista Intro, it was outsourced, like the feel. </t>
  </si>
  <si>
    <t>Crosspoint &amp; Ethernet Technology</t>
  </si>
  <si>
    <t>L1, Sublayers and Clocks</t>
  </si>
  <si>
    <r>
      <rPr>
        <rFont val="Arial"/>
        <b/>
        <color theme="1"/>
        <sz val="12.0"/>
      </rPr>
      <t xml:space="preserve">New Video - </t>
    </r>
    <r>
      <rPr>
        <rFont val="Arial"/>
        <b val="0"/>
        <color theme="1"/>
        <sz val="12.0"/>
      </rPr>
      <t>Can be divided into smaller videos</t>
    </r>
  </si>
  <si>
    <t>FEC, NRZ, PAM4, and Cross Point HW/SW</t>
  </si>
  <si>
    <r>
      <rPr>
        <rFont val="Arial"/>
        <b/>
        <color theme="1"/>
        <sz val="12.0"/>
      </rPr>
      <t xml:space="preserve">New Video - </t>
    </r>
    <r>
      <rPr>
        <rFont val="Arial"/>
        <b val="0"/>
        <color theme="1"/>
        <sz val="12.0"/>
      </rPr>
      <t>Can be divided into smaller videos</t>
    </r>
  </si>
  <si>
    <t>Timing and PTP</t>
  </si>
  <si>
    <t>Understanding Timing and Synchronization in Networks</t>
  </si>
  <si>
    <t>Understnading Atmoic Clocks and Time Protocols</t>
  </si>
  <si>
    <t>Understanding PTP and its Functionality</t>
  </si>
  <si>
    <t>PTP Clock Overview</t>
  </si>
  <si>
    <t>Understanding Transparent Clocks and PTP</t>
  </si>
  <si>
    <t>Explore White Rabbit Technology and PTP</t>
  </si>
  <si>
    <t>Timestamping</t>
  </si>
  <si>
    <t>Time Stamping Part 1</t>
  </si>
  <si>
    <t>Time Stamping Part 2</t>
  </si>
  <si>
    <t>Time Stamping Part 3</t>
  </si>
  <si>
    <t>L1 Networks</t>
  </si>
  <si>
    <t>Managing L1 Networks</t>
  </si>
  <si>
    <t>Managing L1 Networks Part 1</t>
  </si>
  <si>
    <t>Managing L1 Networks Part 2</t>
  </si>
  <si>
    <t>Mastering 7130 LBR</t>
  </si>
  <si>
    <t>7130 LBR Tamarama Deep Dive</t>
  </si>
  <si>
    <t>Introduction to Low Latency Series</t>
  </si>
  <si>
    <t>Installing and Configuring Apps</t>
  </si>
  <si>
    <t>Application Compatability</t>
  </si>
  <si>
    <t>MetaWatch</t>
  </si>
  <si>
    <t>MetaMux</t>
  </si>
  <si>
    <t>Sample Topologies</t>
  </si>
  <si>
    <t>Using the J2C ASIC</t>
  </si>
  <si>
    <t>FPGA Technology</t>
  </si>
  <si>
    <t>FPGA Technology Part 1</t>
  </si>
  <si>
    <t>FPGA Technology Part 2</t>
  </si>
  <si>
    <t>FPGA Technology Part 3</t>
  </si>
  <si>
    <t>FPGA Technology Part 4</t>
  </si>
  <si>
    <t>Advanced Timestamping</t>
  </si>
  <si>
    <t>Advanced Time Stamping</t>
  </si>
  <si>
    <t>Need Edits / Chop into two parts</t>
  </si>
</sst>
</file>

<file path=xl/styles.xml><?xml version="1.0" encoding="utf-8"?>
<styleSheet xmlns="http://schemas.openxmlformats.org/spreadsheetml/2006/main" xmlns:x14ac="http://schemas.microsoft.com/office/spreadsheetml/2009/9/ac" xmlns:mc="http://schemas.openxmlformats.org/markup-compatibility/2006">
  <fonts count="26">
    <font>
      <sz val="12.0"/>
      <color theme="1"/>
      <name val="Aptos Narrow"/>
      <scheme val="minor"/>
    </font>
    <font>
      <b/>
      <sz val="12.0"/>
      <color rgb="FF000000"/>
      <name val="Helvetica Neue"/>
    </font>
    <font>
      <sz val="12.0"/>
      <color rgb="FF000000"/>
      <name val="Helvetica Neue"/>
    </font>
    <font>
      <color theme="1"/>
      <name val="Arial"/>
    </font>
    <font>
      <sz val="12.0"/>
      <color theme="1"/>
      <name val="Helvetica Neue"/>
    </font>
    <font>
      <b/>
      <sz val="10.0"/>
      <color rgb="FF000000"/>
      <name val="Arial"/>
    </font>
    <font>
      <sz val="10.0"/>
      <color rgb="FF000000"/>
      <name val="Arial"/>
    </font>
    <font>
      <sz val="10.0"/>
      <color rgb="FF000000"/>
      <name val="Aptos Narrow"/>
    </font>
    <font>
      <b/>
      <sz val="10.0"/>
      <color rgb="FF000000"/>
      <name val="Aptos Narrow"/>
    </font>
    <font>
      <b/>
      <sz val="10.0"/>
      <color rgb="FF000000"/>
      <name val="Aptos Narrow"/>
      <scheme val="minor"/>
    </font>
    <font>
      <sz val="10.0"/>
      <color rgb="FF000000"/>
      <name val="Aptos Narrow"/>
      <scheme val="minor"/>
    </font>
    <font>
      <sz val="10.0"/>
      <color rgb="FF000000"/>
      <name val="&quot;Aptos Narrow&quot;"/>
    </font>
    <font>
      <b/>
      <color theme="1"/>
      <name val="Arial"/>
    </font>
    <font>
      <b/>
      <color theme="1"/>
      <name val="Aptos Narrow"/>
      <scheme val="minor"/>
    </font>
    <font>
      <color theme="1"/>
      <name val="Aptos Narrow"/>
      <scheme val="minor"/>
    </font>
    <font>
      <b/>
      <sz val="10.0"/>
      <color theme="1"/>
      <name val="Arial"/>
    </font>
    <font>
      <b/>
      <sz val="10.0"/>
      <color theme="1"/>
      <name val="Aptos Narrow"/>
      <scheme val="minor"/>
    </font>
    <font>
      <sz val="10.0"/>
      <color theme="1"/>
      <name val="Arial"/>
    </font>
    <font>
      <sz val="10.0"/>
      <color theme="1"/>
      <name val="Aptos Narrow"/>
      <scheme val="minor"/>
    </font>
    <font>
      <b/>
      <sz val="12.0"/>
      <color theme="1"/>
      <name val="Arial"/>
    </font>
    <font>
      <b/>
      <sz val="12.0"/>
      <color theme="1"/>
      <name val="Aptos Narrow"/>
    </font>
    <font>
      <sz val="12.0"/>
      <color theme="1"/>
      <name val="Aptos Narrow"/>
    </font>
    <font>
      <sz val="12.0"/>
      <color rgb="FFFFFFFF"/>
      <name val="Aptos Narrow"/>
    </font>
    <font>
      <b/>
      <sz val="12.0"/>
      <color rgb="FFFFFFFF"/>
      <name val="Aptos Narrow"/>
    </font>
    <font>
      <sz val="12.0"/>
      <color theme="1"/>
      <name val="Arial"/>
    </font>
    <font>
      <b/>
      <sz val="12.0"/>
      <color rgb="FF674EA7"/>
      <name val="Arial"/>
    </font>
  </fonts>
  <fills count="6">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000000"/>
        <bgColor rgb="FF000000"/>
      </patternFill>
    </fill>
    <fill>
      <patternFill patternType="solid">
        <fgColor rgb="FF00B0F0"/>
        <bgColor rgb="FF00B0F0"/>
      </patternFill>
    </fill>
  </fills>
  <borders count="2">
    <border/>
    <border>
      <left/>
      <right/>
      <top/>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center" readingOrder="0"/>
    </xf>
    <xf borderId="0" fillId="0" fontId="2" numFmtId="46" xfId="0" applyAlignment="1" applyFont="1" applyNumberFormat="1">
      <alignment horizontal="left" shrinkToFit="0" vertical="center" wrapText="0"/>
    </xf>
    <xf borderId="0" fillId="0" fontId="2" numFmtId="0" xfId="0" applyAlignment="1" applyFont="1">
      <alignment shrinkToFit="0" vertical="center" wrapText="0"/>
    </xf>
    <xf borderId="0" fillId="0" fontId="2" numFmtId="46" xfId="0" applyAlignment="1" applyFont="1" applyNumberFormat="1">
      <alignment horizontal="left" readingOrder="0" shrinkToFit="0" vertical="center" wrapText="0"/>
    </xf>
    <xf borderId="0" fillId="0" fontId="2" numFmtId="0" xfId="0" applyAlignment="1" applyFont="1">
      <alignment shrinkToFit="0" vertical="center" wrapText="0"/>
    </xf>
    <xf borderId="0" fillId="0" fontId="4"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2" numFmtId="0" xfId="0" applyAlignment="1" applyFont="1">
      <alignment horizontal="center" shrinkToFit="0" vertical="center" wrapText="0"/>
    </xf>
    <xf borderId="0" fillId="3" fontId="2" numFmtId="0" xfId="0" applyAlignment="1" applyFill="1" applyFont="1">
      <alignment horizontal="center" readingOrder="0" shrinkToFit="0" vertical="center" wrapText="0"/>
    </xf>
    <xf borderId="0" fillId="3" fontId="2" numFmtId="0" xfId="0" applyAlignment="1" applyFont="1">
      <alignment horizontal="left" readingOrder="0" shrinkToFit="0" vertical="center" wrapText="0"/>
    </xf>
    <xf borderId="0" fillId="3" fontId="2" numFmtId="46"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1" fillId="3" fontId="2" numFmtId="0" xfId="0" applyAlignment="1" applyBorder="1" applyFont="1">
      <alignment horizontal="left" readingOrder="0" shrinkToFit="0" vertical="center" wrapText="0"/>
    </xf>
    <xf borderId="1" fillId="3"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0"/>
    </xf>
    <xf borderId="0" fillId="0" fontId="4" numFmtId="46" xfId="0" applyAlignment="1" applyFont="1" applyNumberFormat="1">
      <alignment horizontal="left" readingOrder="0" shrinkToFit="0" vertical="center" wrapText="0"/>
    </xf>
    <xf borderId="0" fillId="0" fontId="4" numFmtId="46" xfId="0" applyAlignment="1" applyFont="1" applyNumberFormat="1">
      <alignment horizontal="left" shrinkToFit="0" vertical="center" wrapText="0"/>
    </xf>
    <xf borderId="0" fillId="0" fontId="4" numFmtId="0" xfId="0" applyAlignment="1" applyFont="1">
      <alignment horizontal="center" readingOrder="0" shrinkToFit="0" wrapText="0"/>
    </xf>
    <xf borderId="0" fillId="0" fontId="4" numFmtId="0" xfId="0" applyAlignment="1" applyFont="1">
      <alignment readingOrder="0" shrinkToFit="0" wrapText="0"/>
    </xf>
    <xf borderId="0" fillId="0" fontId="4" numFmtId="46" xfId="0" applyAlignment="1" applyFont="1" applyNumberFormat="1">
      <alignment horizontal="left" readingOrder="0" shrinkToFit="0" wrapText="0"/>
    </xf>
    <xf borderId="0" fillId="0" fontId="5" numFmtId="0" xfId="0" applyAlignment="1" applyFont="1">
      <alignment readingOrder="0" vertical="bottom"/>
    </xf>
    <xf borderId="0" fillId="0" fontId="5" numFmtId="0" xfId="0" applyAlignment="1" applyFont="1">
      <alignment horizontal="center" readingOrder="0" vertical="bottom"/>
    </xf>
    <xf borderId="0" fillId="0" fontId="5" numFmtId="0" xfId="0" applyAlignment="1" applyFont="1">
      <alignment readingOrder="0" shrinkToFit="0" vertical="bottom" wrapText="0"/>
    </xf>
    <xf borderId="0" fillId="0" fontId="6" numFmtId="0" xfId="0" applyAlignment="1" applyFont="1">
      <alignment readingOrder="0" vertical="bottom"/>
    </xf>
    <xf borderId="0" fillId="0" fontId="7" numFmtId="0" xfId="0" applyAlignment="1" applyFont="1">
      <alignment readingOrder="0" vertical="bottom"/>
    </xf>
    <xf borderId="0" fillId="0" fontId="6" numFmtId="0" xfId="0" applyAlignment="1" applyFont="1">
      <alignment horizontal="center" readingOrder="0" vertical="bottom"/>
    </xf>
    <xf borderId="0" fillId="0" fontId="7" numFmtId="0" xfId="0" applyAlignment="1" applyFont="1">
      <alignment vertical="bottom"/>
    </xf>
    <xf borderId="0" fillId="0" fontId="6" numFmtId="21" xfId="0" applyAlignment="1" applyFont="1" applyNumberFormat="1">
      <alignment horizontal="center" vertical="bottom"/>
    </xf>
    <xf borderId="0" fillId="0" fontId="6" numFmtId="0" xfId="0" applyAlignment="1" applyFont="1">
      <alignment vertical="bottom"/>
    </xf>
    <xf borderId="0" fillId="0" fontId="7" numFmtId="21" xfId="0" applyAlignment="1" applyFont="1" applyNumberFormat="1">
      <alignment horizontal="center" vertical="bottom"/>
    </xf>
    <xf borderId="0" fillId="0" fontId="8" numFmtId="21" xfId="0" applyAlignment="1" applyFont="1" applyNumberFormat="1">
      <alignment horizontal="center" vertical="bottom"/>
    </xf>
    <xf borderId="0" fillId="0" fontId="7" numFmtId="21" xfId="0" applyAlignment="1" applyFont="1" applyNumberFormat="1">
      <alignment vertical="bottom"/>
    </xf>
    <xf borderId="0" fillId="0" fontId="5" numFmtId="0" xfId="0" applyAlignment="1" applyFont="1">
      <alignment readingOrder="0"/>
    </xf>
    <xf borderId="0" fillId="0" fontId="9" numFmtId="0" xfId="0" applyAlignment="1" applyFont="1">
      <alignment readingOrder="0"/>
    </xf>
    <xf borderId="0" fillId="0" fontId="9" numFmtId="0" xfId="0" applyAlignment="1" applyFont="1">
      <alignment horizontal="center" readingOrder="0"/>
    </xf>
    <xf borderId="0" fillId="0" fontId="6" numFmtId="0" xfId="0" applyAlignment="1" applyFont="1">
      <alignment readingOrder="0"/>
    </xf>
    <xf borderId="0" fillId="0" fontId="10" numFmtId="0" xfId="0" applyAlignment="1" applyFont="1">
      <alignment readingOrder="0"/>
    </xf>
    <xf borderId="0" fillId="0" fontId="10" numFmtId="0" xfId="0" applyAlignment="1" applyFont="1">
      <alignment horizontal="center" readingOrder="0"/>
    </xf>
    <xf borderId="0" fillId="0" fontId="10" numFmtId="0" xfId="0" applyFont="1"/>
    <xf borderId="0" fillId="0" fontId="10" numFmtId="46" xfId="0" applyFont="1" applyNumberFormat="1"/>
    <xf borderId="0" fillId="3" fontId="5" numFmtId="0" xfId="0" applyAlignment="1" applyFont="1">
      <alignment horizontal="center" readingOrder="0" shrinkToFit="0" vertical="bottom" wrapText="0"/>
    </xf>
    <xf borderId="0" fillId="3" fontId="8" numFmtId="0" xfId="0" applyAlignment="1" applyFont="1">
      <alignment horizontal="center"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left" readingOrder="0" shrinkToFit="0" vertical="bottom" wrapText="0"/>
    </xf>
    <xf borderId="0" fillId="3" fontId="7" numFmtId="0" xfId="0" applyAlignment="1" applyFont="1">
      <alignment horizontal="center" readingOrder="0" shrinkToFit="0" vertical="bottom" wrapText="0"/>
    </xf>
    <xf borderId="0" fillId="3" fontId="7" numFmtId="46" xfId="0" applyAlignment="1" applyFont="1" applyNumberFormat="1">
      <alignment horizontal="right" readingOrder="0" shrinkToFit="0" vertical="bottom" wrapText="0"/>
    </xf>
    <xf borderId="1" fillId="3" fontId="6" numFmtId="0" xfId="0" applyAlignment="1" applyBorder="1" applyFont="1">
      <alignment horizontal="left" readingOrder="0" shrinkToFit="0" vertical="bottom" wrapText="0"/>
    </xf>
    <xf borderId="1" fillId="3" fontId="6" numFmtId="0" xfId="0" applyAlignment="1" applyBorder="1" applyFont="1">
      <alignment horizontal="center" readingOrder="0" shrinkToFit="0" vertical="bottom" wrapText="0"/>
    </xf>
    <xf borderId="1" fillId="3" fontId="7" numFmtId="0" xfId="0" applyAlignment="1" applyBorder="1" applyFont="1">
      <alignment horizontal="left" readingOrder="0" shrinkToFit="0" vertical="bottom" wrapText="0"/>
    </xf>
    <xf borderId="1" fillId="3" fontId="7" numFmtId="46" xfId="0" applyAlignment="1" applyBorder="1" applyFont="1" applyNumberFormat="1">
      <alignment horizontal="right" readingOrder="0" shrinkToFit="0" vertical="bottom" wrapText="0"/>
    </xf>
    <xf borderId="0" fillId="3" fontId="6" numFmtId="0" xfId="0" applyAlignment="1" applyFont="1">
      <alignment horizontal="center" readingOrder="0" shrinkToFit="0" vertical="bottom" wrapText="0"/>
    </xf>
    <xf borderId="0" fillId="3" fontId="7" numFmtId="46" xfId="0" applyAlignment="1" applyFont="1" applyNumberFormat="1">
      <alignment horizontal="right" readingOrder="0" shrinkToFit="0" wrapText="0"/>
    </xf>
    <xf borderId="0" fillId="3" fontId="7" numFmtId="0" xfId="0" applyAlignment="1" applyFont="1">
      <alignment horizontal="left" readingOrder="0" shrinkToFit="0" wrapText="0"/>
    </xf>
    <xf borderId="0" fillId="3" fontId="7" numFmtId="0" xfId="0" applyAlignment="1" applyFont="1">
      <alignment horizontal="center" readingOrder="0" shrinkToFit="0" wrapText="0"/>
    </xf>
    <xf borderId="0" fillId="3" fontId="6" numFmtId="0" xfId="0" applyAlignment="1" applyFont="1">
      <alignment horizontal="left" readingOrder="0" shrinkToFit="0" wrapText="0"/>
    </xf>
    <xf borderId="0" fillId="3" fontId="6" numFmtId="0" xfId="0" applyAlignment="1" applyFont="1">
      <alignment horizontal="center" readingOrder="0" shrinkToFit="0" wrapText="0"/>
    </xf>
    <xf borderId="0" fillId="3" fontId="10" numFmtId="0" xfId="0" applyAlignment="1" applyFont="1">
      <alignment horizontal="left" readingOrder="0" shrinkToFit="0" wrapText="0"/>
    </xf>
    <xf borderId="0" fillId="3" fontId="6" numFmtId="46" xfId="0" applyAlignment="1" applyFont="1" applyNumberFormat="1">
      <alignment horizontal="right" readingOrder="0" shrinkToFit="0" wrapText="0"/>
    </xf>
    <xf borderId="0" fillId="3" fontId="6" numFmtId="46" xfId="0" applyAlignment="1" applyFont="1" applyNumberFormat="1">
      <alignment horizontal="right" readingOrder="0" shrinkToFit="0" vertical="bottom" wrapText="0"/>
    </xf>
    <xf borderId="0" fillId="3" fontId="7" numFmtId="46" xfId="0" applyAlignment="1" applyFont="1" applyNumberFormat="1">
      <alignment horizontal="left" readingOrder="0" shrinkToFit="0" vertical="bottom" wrapText="0"/>
    </xf>
    <xf borderId="0" fillId="3" fontId="7" numFmtId="46" xfId="0" applyAlignment="1" applyFont="1" applyNumberFormat="1">
      <alignment horizontal="right" shrinkToFit="0" vertical="bottom" wrapText="0"/>
    </xf>
    <xf borderId="0" fillId="3" fontId="10" numFmtId="0" xfId="0" applyAlignment="1" applyFont="1">
      <alignment horizontal="center" readingOrder="0" shrinkToFit="0" wrapText="0"/>
    </xf>
    <xf borderId="0" fillId="3" fontId="11" numFmtId="0" xfId="0" applyAlignment="1" applyFont="1">
      <alignment horizontal="center" readingOrder="0" shrinkToFit="0" vertical="bottom" wrapText="0"/>
    </xf>
    <xf borderId="0" fillId="3" fontId="11" numFmtId="0" xfId="0" applyAlignment="1" applyFont="1">
      <alignment horizontal="left" readingOrder="0" shrinkToFit="0" vertical="bottom" wrapText="0"/>
    </xf>
    <xf borderId="0" fillId="3" fontId="11" numFmtId="46" xfId="0" applyAlignment="1" applyFont="1" applyNumberFormat="1">
      <alignment horizontal="right" readingOrder="0" shrinkToFit="0" vertical="bottom" wrapText="0"/>
    </xf>
    <xf borderId="0" fillId="3" fontId="11" numFmtId="21" xfId="0" applyAlignment="1" applyFont="1" applyNumberFormat="1">
      <alignment horizontal="right" readingOrder="0" shrinkToFit="0" vertical="bottom" wrapText="0"/>
    </xf>
    <xf borderId="1" fillId="3" fontId="7" numFmtId="0" xfId="0" applyAlignment="1" applyBorder="1" applyFont="1">
      <alignment horizontal="center" readingOrder="0" shrinkToFit="0" vertical="bottom" wrapText="0"/>
    </xf>
    <xf borderId="0" fillId="3" fontId="6" numFmtId="0" xfId="0" applyAlignment="1" applyFont="1">
      <alignment horizontal="center" shrinkToFit="0" vertical="bottom" wrapText="0"/>
    </xf>
    <xf borderId="0" fillId="0" fontId="12" numFmtId="0" xfId="0" applyAlignment="1" applyFont="1">
      <alignment horizontal="center" readingOrder="0"/>
    </xf>
    <xf borderId="0" fillId="0" fontId="13" numFmtId="0" xfId="0" applyAlignment="1" applyFont="1">
      <alignment horizontal="center" readingOrder="0"/>
    </xf>
    <xf borderId="0" fillId="0" fontId="3" numFmtId="0" xfId="0" applyAlignment="1" applyFont="1">
      <alignment readingOrder="0"/>
    </xf>
    <xf borderId="0" fillId="0" fontId="14" numFmtId="0" xfId="0" applyAlignment="1" applyFont="1">
      <alignment readingOrder="0"/>
    </xf>
    <xf borderId="0" fillId="0" fontId="14" numFmtId="0" xfId="0" applyAlignment="1" applyFont="1">
      <alignment horizontal="center" readingOrder="0"/>
    </xf>
    <xf borderId="0" fillId="0" fontId="14" numFmtId="21" xfId="0" applyAlignment="1" applyFont="1" applyNumberFormat="1">
      <alignment readingOrder="0"/>
    </xf>
    <xf borderId="0" fillId="0" fontId="14" numFmtId="0" xfId="0" applyAlignment="1" applyFont="1">
      <alignment horizontal="center"/>
    </xf>
    <xf borderId="0" fillId="0" fontId="15" numFmtId="0" xfId="0" applyAlignment="1" applyFont="1">
      <alignment horizontal="center" readingOrder="0"/>
    </xf>
    <xf borderId="0" fillId="0" fontId="16" numFmtId="0" xfId="0" applyAlignment="1" applyFont="1">
      <alignment horizontal="center" readingOrder="0"/>
    </xf>
    <xf borderId="0" fillId="0" fontId="17" numFmtId="0" xfId="0" applyAlignment="1" applyFont="1">
      <alignment readingOrder="0"/>
    </xf>
    <xf borderId="0" fillId="0" fontId="18" numFmtId="0" xfId="0" applyAlignment="1" applyFont="1">
      <alignment readingOrder="0"/>
    </xf>
    <xf borderId="0" fillId="0" fontId="18" numFmtId="0" xfId="0" applyAlignment="1" applyFont="1">
      <alignment horizontal="center" readingOrder="0"/>
    </xf>
    <xf borderId="0" fillId="0" fontId="18" numFmtId="21" xfId="0" applyAlignment="1" applyFont="1" applyNumberFormat="1">
      <alignment readingOrder="0"/>
    </xf>
    <xf borderId="0" fillId="0" fontId="18" numFmtId="0" xfId="0" applyFont="1"/>
    <xf borderId="0" fillId="0" fontId="18" numFmtId="0" xfId="0" applyAlignment="1" applyFont="1">
      <alignment horizontal="center"/>
    </xf>
    <xf borderId="0" fillId="3" fontId="15" numFmtId="0" xfId="0" applyAlignment="1" applyFont="1">
      <alignment horizontal="center" readingOrder="0"/>
    </xf>
    <xf borderId="0" fillId="3" fontId="16" numFmtId="0" xfId="0" applyAlignment="1" applyFont="1">
      <alignment horizontal="center" readingOrder="0"/>
    </xf>
    <xf borderId="0" fillId="0" fontId="18" numFmtId="20" xfId="0" applyAlignment="1" applyFont="1" applyNumberFormat="1">
      <alignment readingOrder="0"/>
    </xf>
    <xf borderId="0" fillId="0" fontId="13" numFmtId="0" xfId="0" applyAlignment="1" applyFont="1">
      <alignment readingOrder="0"/>
    </xf>
    <xf borderId="0" fillId="0" fontId="19" numFmtId="0" xfId="0" applyAlignment="1" applyFont="1">
      <alignment vertical="bottom"/>
    </xf>
    <xf borderId="0" fillId="0" fontId="20" numFmtId="0" xfId="0" applyAlignment="1" applyFont="1">
      <alignment vertical="bottom"/>
    </xf>
    <xf borderId="0" fillId="0" fontId="20" numFmtId="21" xfId="0" applyAlignment="1" applyFont="1" applyNumberFormat="1">
      <alignment horizontal="center" vertical="bottom"/>
    </xf>
    <xf borderId="0" fillId="0" fontId="20" numFmtId="0" xfId="0" applyAlignment="1" applyFont="1">
      <alignment horizontal="center" vertical="bottom"/>
    </xf>
    <xf borderId="0" fillId="0" fontId="21" numFmtId="0" xfId="0" applyAlignment="1" applyFont="1">
      <alignment vertical="bottom"/>
    </xf>
    <xf borderId="1" fillId="4" fontId="22" numFmtId="0" xfId="0" applyAlignment="1" applyBorder="1" applyFill="1" applyFont="1">
      <alignment vertical="bottom"/>
    </xf>
    <xf borderId="1" fillId="4" fontId="21" numFmtId="0" xfId="0" applyAlignment="1" applyBorder="1" applyFont="1">
      <alignment vertical="bottom"/>
    </xf>
    <xf borderId="1" fillId="4" fontId="21" numFmtId="21" xfId="0" applyAlignment="1" applyBorder="1" applyFont="1" applyNumberFormat="1">
      <alignment vertical="bottom"/>
    </xf>
    <xf borderId="1" fillId="4" fontId="23" numFmtId="46" xfId="0" applyAlignment="1" applyBorder="1" applyFont="1" applyNumberFormat="1">
      <alignment horizontal="right" vertical="bottom"/>
    </xf>
    <xf borderId="1" fillId="5" fontId="19" numFmtId="0" xfId="0" applyAlignment="1" applyBorder="1" applyFill="1" applyFont="1">
      <alignment vertical="bottom"/>
    </xf>
    <xf borderId="1" fillId="5" fontId="21" numFmtId="0" xfId="0" applyAlignment="1" applyBorder="1" applyFont="1">
      <alignment vertical="bottom"/>
    </xf>
    <xf borderId="1" fillId="5" fontId="21" numFmtId="21" xfId="0" applyAlignment="1" applyBorder="1" applyFont="1" applyNumberFormat="1">
      <alignment vertical="bottom"/>
    </xf>
    <xf borderId="1" fillId="5" fontId="20" numFmtId="21" xfId="0" applyAlignment="1" applyBorder="1" applyFont="1" applyNumberFormat="1">
      <alignment horizontal="right" vertical="bottom"/>
    </xf>
    <xf borderId="0" fillId="0" fontId="21" numFmtId="21" xfId="0" applyAlignment="1" applyFont="1" applyNumberFormat="1">
      <alignment vertical="bottom"/>
    </xf>
    <xf borderId="0" fillId="0" fontId="20" numFmtId="21" xfId="0" applyAlignment="1" applyFont="1" applyNumberFormat="1">
      <alignment horizontal="right" vertical="bottom"/>
    </xf>
    <xf borderId="0" fillId="0" fontId="24" numFmtId="0" xfId="0" applyAlignment="1" applyFont="1">
      <alignment vertical="bottom"/>
    </xf>
    <xf borderId="0" fillId="0" fontId="24" numFmtId="21" xfId="0" applyAlignment="1" applyFont="1" applyNumberFormat="1">
      <alignment horizontal="center" vertical="bottom"/>
    </xf>
    <xf borderId="0" fillId="3" fontId="24" numFmtId="0" xfId="0" applyAlignment="1" applyFont="1">
      <alignment vertical="bottom"/>
    </xf>
    <xf borderId="1" fillId="5" fontId="24" numFmtId="0" xfId="0" applyAlignment="1" applyBorder="1" applyFont="1">
      <alignment vertical="bottom"/>
    </xf>
    <xf borderId="1" fillId="5" fontId="19" numFmtId="0" xfId="0" applyAlignment="1" applyBorder="1" applyFont="1">
      <alignment horizontal="center" vertical="bottom"/>
    </xf>
    <xf borderId="0" fillId="0" fontId="24" numFmtId="0" xfId="0" applyAlignment="1" applyFont="1">
      <alignment horizontal="center" vertical="bottom"/>
    </xf>
    <xf borderId="0" fillId="0" fontId="25" numFmtId="21" xfId="0" applyAlignment="1" applyFont="1" applyNumberFormat="1">
      <alignment horizontal="center" vertical="bottom"/>
    </xf>
  </cellXfs>
  <cellStyles count="1">
    <cellStyle xfId="0" name="Normal" builtinId="0"/>
  </cellStyles>
  <dxfs count="1">
    <dxf>
      <font>
        <color rgb="FFFF00F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2.78"/>
    <col customWidth="1" min="2" max="2" width="18.33"/>
    <col customWidth="1" min="3" max="3" width="17.22"/>
    <col customWidth="1" min="4" max="4" width="23.22"/>
    <col customWidth="1" min="5" max="5" width="14.11"/>
    <col customWidth="1" min="6" max="6" width="32.67"/>
    <col customWidth="1" min="7" max="7" width="13.0"/>
    <col customWidth="1" min="8" max="9" width="46.56"/>
    <col customWidth="1" min="10" max="10" width="16.78"/>
    <col customWidth="1" min="11" max="11" width="42.0"/>
    <col customWidth="1" min="12" max="12" width="20.89"/>
  </cols>
  <sheetData>
    <row r="1" ht="17.25" customHeight="1">
      <c r="A1" s="1" t="s">
        <v>0</v>
      </c>
      <c r="B1" s="1" t="s">
        <v>1</v>
      </c>
      <c r="C1" s="1" t="s">
        <v>2</v>
      </c>
      <c r="D1" s="1" t="s">
        <v>3</v>
      </c>
      <c r="E1" s="1" t="s">
        <v>4</v>
      </c>
      <c r="F1" s="1" t="s">
        <v>5</v>
      </c>
      <c r="G1" s="1" t="s">
        <v>6</v>
      </c>
      <c r="H1" s="1" t="s">
        <v>7</v>
      </c>
      <c r="I1" s="1" t="s">
        <v>8</v>
      </c>
      <c r="J1" s="1" t="s">
        <v>9</v>
      </c>
      <c r="K1" s="1" t="s">
        <v>10</v>
      </c>
      <c r="L1" s="1" t="s">
        <v>11</v>
      </c>
    </row>
    <row r="2" ht="17.25" customHeight="1">
      <c r="A2" s="2">
        <v>1.0</v>
      </c>
      <c r="B2" s="3" t="s">
        <v>12</v>
      </c>
      <c r="C2" s="2">
        <v>1.0</v>
      </c>
      <c r="D2" s="3" t="s">
        <v>13</v>
      </c>
      <c r="E2" s="2">
        <v>1.0</v>
      </c>
      <c r="F2" s="3" t="s">
        <v>14</v>
      </c>
      <c r="G2" s="2">
        <v>1.0</v>
      </c>
      <c r="H2" s="4" t="s">
        <v>15</v>
      </c>
      <c r="I2" s="4" t="s">
        <v>16</v>
      </c>
      <c r="J2" s="5">
        <v>1.0</v>
      </c>
      <c r="K2" s="3" t="s">
        <v>17</v>
      </c>
      <c r="L2" s="6"/>
    </row>
    <row r="3" ht="17.25" customHeight="1">
      <c r="A3" s="2">
        <v>1.0</v>
      </c>
      <c r="B3" s="3" t="s">
        <v>12</v>
      </c>
      <c r="C3" s="2">
        <v>1.0</v>
      </c>
      <c r="D3" s="3" t="s">
        <v>13</v>
      </c>
      <c r="E3" s="2">
        <v>1.0</v>
      </c>
      <c r="F3" s="3" t="s">
        <v>14</v>
      </c>
      <c r="G3" s="2">
        <v>1.0</v>
      </c>
      <c r="H3" s="4" t="s">
        <v>15</v>
      </c>
      <c r="I3" s="4" t="s">
        <v>16</v>
      </c>
      <c r="J3" s="5">
        <v>2.0</v>
      </c>
      <c r="K3" s="3" t="s">
        <v>18</v>
      </c>
      <c r="L3" s="6"/>
    </row>
    <row r="4" ht="17.25" customHeight="1">
      <c r="A4" s="2">
        <v>1.0</v>
      </c>
      <c r="B4" s="3" t="s">
        <v>12</v>
      </c>
      <c r="C4" s="2">
        <v>1.0</v>
      </c>
      <c r="D4" s="3" t="s">
        <v>13</v>
      </c>
      <c r="E4" s="2">
        <v>1.0</v>
      </c>
      <c r="F4" s="3" t="s">
        <v>14</v>
      </c>
      <c r="G4" s="2">
        <v>1.0</v>
      </c>
      <c r="H4" s="4" t="s">
        <v>15</v>
      </c>
      <c r="I4" s="4" t="s">
        <v>16</v>
      </c>
      <c r="J4" s="5">
        <v>3.0</v>
      </c>
      <c r="K4" s="3" t="s">
        <v>19</v>
      </c>
      <c r="L4" s="6"/>
    </row>
    <row r="5" ht="17.25" customHeight="1">
      <c r="A5" s="2">
        <v>1.0</v>
      </c>
      <c r="B5" s="3" t="s">
        <v>12</v>
      </c>
      <c r="C5" s="2">
        <v>1.0</v>
      </c>
      <c r="D5" s="3" t="s">
        <v>13</v>
      </c>
      <c r="E5" s="2">
        <v>1.0</v>
      </c>
      <c r="F5" s="3" t="s">
        <v>14</v>
      </c>
      <c r="G5" s="2">
        <v>1.0</v>
      </c>
      <c r="H5" s="4" t="s">
        <v>15</v>
      </c>
      <c r="I5" s="4" t="s">
        <v>16</v>
      </c>
      <c r="J5" s="5">
        <v>4.0</v>
      </c>
      <c r="K5" s="3" t="s">
        <v>20</v>
      </c>
      <c r="L5" s="6"/>
    </row>
    <row r="6" ht="17.25" customHeight="1">
      <c r="A6" s="2">
        <v>1.0</v>
      </c>
      <c r="B6" s="3" t="s">
        <v>12</v>
      </c>
      <c r="C6" s="2">
        <v>1.0</v>
      </c>
      <c r="D6" s="3" t="s">
        <v>13</v>
      </c>
      <c r="E6" s="2">
        <v>1.0</v>
      </c>
      <c r="F6" s="3" t="s">
        <v>14</v>
      </c>
      <c r="G6" s="2">
        <v>2.0</v>
      </c>
      <c r="H6" s="7" t="s">
        <v>21</v>
      </c>
      <c r="I6" s="8" t="s">
        <v>22</v>
      </c>
      <c r="J6" s="2">
        <v>1.0</v>
      </c>
      <c r="K6" s="7" t="s">
        <v>23</v>
      </c>
      <c r="L6" s="6"/>
    </row>
    <row r="7" ht="17.25" customHeight="1">
      <c r="A7" s="2">
        <v>1.0</v>
      </c>
      <c r="B7" s="3" t="s">
        <v>12</v>
      </c>
      <c r="C7" s="2">
        <v>1.0</v>
      </c>
      <c r="D7" s="3" t="s">
        <v>13</v>
      </c>
      <c r="E7" s="2">
        <v>1.0</v>
      </c>
      <c r="F7" s="3" t="s">
        <v>14</v>
      </c>
      <c r="G7" s="2">
        <v>2.0</v>
      </c>
      <c r="H7" s="7" t="s">
        <v>21</v>
      </c>
      <c r="I7" s="8" t="s">
        <v>22</v>
      </c>
      <c r="J7" s="2">
        <v>2.0</v>
      </c>
      <c r="K7" s="7" t="s">
        <v>24</v>
      </c>
      <c r="L7" s="6"/>
    </row>
    <row r="8" ht="17.25" customHeight="1">
      <c r="A8" s="2">
        <v>1.0</v>
      </c>
      <c r="B8" s="3" t="s">
        <v>12</v>
      </c>
      <c r="C8" s="2">
        <v>1.0</v>
      </c>
      <c r="D8" s="3" t="s">
        <v>13</v>
      </c>
      <c r="E8" s="2">
        <v>1.0</v>
      </c>
      <c r="F8" s="3" t="s">
        <v>14</v>
      </c>
      <c r="G8" s="2">
        <v>3.0</v>
      </c>
      <c r="H8" s="7" t="s">
        <v>25</v>
      </c>
      <c r="I8" s="8" t="s">
        <v>26</v>
      </c>
      <c r="J8" s="2">
        <v>1.0</v>
      </c>
      <c r="K8" s="7" t="s">
        <v>27</v>
      </c>
      <c r="L8" s="6"/>
    </row>
    <row r="9" ht="17.25" customHeight="1">
      <c r="A9" s="2">
        <v>1.0</v>
      </c>
      <c r="B9" s="3" t="s">
        <v>12</v>
      </c>
      <c r="C9" s="2">
        <v>1.0</v>
      </c>
      <c r="D9" s="3" t="s">
        <v>13</v>
      </c>
      <c r="E9" s="2">
        <v>1.0</v>
      </c>
      <c r="F9" s="3" t="s">
        <v>14</v>
      </c>
      <c r="G9" s="2">
        <v>3.0</v>
      </c>
      <c r="H9" s="7" t="s">
        <v>25</v>
      </c>
      <c r="I9" s="8" t="s">
        <v>26</v>
      </c>
      <c r="J9" s="2">
        <v>2.0</v>
      </c>
      <c r="K9" s="7" t="s">
        <v>28</v>
      </c>
      <c r="L9" s="6"/>
    </row>
    <row r="10" ht="17.25" customHeight="1">
      <c r="A10" s="2">
        <v>1.0</v>
      </c>
      <c r="B10" s="3" t="s">
        <v>12</v>
      </c>
      <c r="C10" s="2">
        <v>1.0</v>
      </c>
      <c r="D10" s="3" t="s">
        <v>13</v>
      </c>
      <c r="E10" s="2">
        <v>1.0</v>
      </c>
      <c r="F10" s="3" t="s">
        <v>14</v>
      </c>
      <c r="G10" s="2">
        <v>4.0</v>
      </c>
      <c r="H10" s="7" t="s">
        <v>29</v>
      </c>
      <c r="I10" s="8" t="s">
        <v>30</v>
      </c>
      <c r="J10" s="2">
        <v>1.0</v>
      </c>
      <c r="K10" s="7" t="s">
        <v>31</v>
      </c>
      <c r="L10" s="6"/>
    </row>
    <row r="11" ht="17.25" customHeight="1">
      <c r="A11" s="2">
        <v>1.0</v>
      </c>
      <c r="B11" s="3" t="s">
        <v>12</v>
      </c>
      <c r="C11" s="2">
        <v>1.0</v>
      </c>
      <c r="D11" s="3" t="s">
        <v>13</v>
      </c>
      <c r="E11" s="2">
        <v>1.0</v>
      </c>
      <c r="F11" s="3" t="s">
        <v>14</v>
      </c>
      <c r="G11" s="2">
        <v>4.0</v>
      </c>
      <c r="H11" s="7" t="s">
        <v>29</v>
      </c>
      <c r="I11" s="8" t="s">
        <v>30</v>
      </c>
      <c r="J11" s="2">
        <v>2.0</v>
      </c>
      <c r="K11" s="7" t="s">
        <v>32</v>
      </c>
      <c r="L11" s="6"/>
    </row>
    <row r="12" ht="17.25" customHeight="1">
      <c r="A12" s="2">
        <v>1.0</v>
      </c>
      <c r="B12" s="3" t="s">
        <v>12</v>
      </c>
      <c r="C12" s="2">
        <v>1.0</v>
      </c>
      <c r="D12" s="3" t="s">
        <v>13</v>
      </c>
      <c r="E12" s="2">
        <v>1.0</v>
      </c>
      <c r="F12" s="3" t="s">
        <v>14</v>
      </c>
      <c r="G12" s="2">
        <v>4.0</v>
      </c>
      <c r="H12" s="7" t="s">
        <v>29</v>
      </c>
      <c r="I12" s="8" t="s">
        <v>30</v>
      </c>
      <c r="J12" s="2">
        <v>3.0</v>
      </c>
      <c r="K12" s="7" t="s">
        <v>33</v>
      </c>
      <c r="L12" s="6"/>
    </row>
    <row r="13" ht="17.25" customHeight="1">
      <c r="A13" s="2">
        <v>1.0</v>
      </c>
      <c r="B13" s="3" t="s">
        <v>12</v>
      </c>
      <c r="C13" s="2">
        <v>1.0</v>
      </c>
      <c r="D13" s="3" t="s">
        <v>13</v>
      </c>
      <c r="E13" s="2">
        <v>1.0</v>
      </c>
      <c r="F13" s="3" t="s">
        <v>14</v>
      </c>
      <c r="G13" s="2">
        <v>4.0</v>
      </c>
      <c r="H13" s="7" t="s">
        <v>29</v>
      </c>
      <c r="I13" s="8" t="s">
        <v>30</v>
      </c>
      <c r="J13" s="2">
        <v>4.0</v>
      </c>
      <c r="K13" s="7" t="s">
        <v>34</v>
      </c>
      <c r="L13" s="6"/>
    </row>
    <row r="14" ht="17.25" customHeight="1">
      <c r="A14" s="2">
        <v>1.0</v>
      </c>
      <c r="B14" s="3" t="s">
        <v>12</v>
      </c>
      <c r="C14" s="2">
        <v>1.0</v>
      </c>
      <c r="D14" s="3" t="s">
        <v>13</v>
      </c>
      <c r="E14" s="2">
        <v>1.0</v>
      </c>
      <c r="F14" s="3" t="s">
        <v>14</v>
      </c>
      <c r="G14" s="2">
        <v>4.0</v>
      </c>
      <c r="H14" s="7" t="s">
        <v>29</v>
      </c>
      <c r="I14" s="8" t="s">
        <v>30</v>
      </c>
      <c r="J14" s="2">
        <v>5.0</v>
      </c>
      <c r="K14" s="7" t="s">
        <v>35</v>
      </c>
      <c r="L14" s="6"/>
    </row>
    <row r="15" ht="17.25" customHeight="1">
      <c r="A15" s="2">
        <v>1.0</v>
      </c>
      <c r="B15" s="3" t="s">
        <v>12</v>
      </c>
      <c r="C15" s="2">
        <v>1.0</v>
      </c>
      <c r="D15" s="3" t="s">
        <v>13</v>
      </c>
      <c r="E15" s="2">
        <v>1.0</v>
      </c>
      <c r="F15" s="3" t="s">
        <v>14</v>
      </c>
      <c r="G15" s="2">
        <v>4.0</v>
      </c>
      <c r="H15" s="7" t="s">
        <v>29</v>
      </c>
      <c r="I15" s="8" t="s">
        <v>36</v>
      </c>
      <c r="J15" s="2">
        <v>6.0</v>
      </c>
      <c r="K15" s="7" t="s">
        <v>37</v>
      </c>
      <c r="L15" s="6"/>
    </row>
    <row r="16" ht="17.25" customHeight="1">
      <c r="A16" s="2">
        <v>1.0</v>
      </c>
      <c r="B16" s="3" t="s">
        <v>12</v>
      </c>
      <c r="C16" s="2">
        <v>1.0</v>
      </c>
      <c r="D16" s="3" t="s">
        <v>13</v>
      </c>
      <c r="E16" s="2">
        <v>1.0</v>
      </c>
      <c r="F16" s="3" t="s">
        <v>14</v>
      </c>
      <c r="G16" s="2">
        <v>5.0</v>
      </c>
      <c r="H16" s="7" t="s">
        <v>38</v>
      </c>
      <c r="I16" s="8" t="s">
        <v>36</v>
      </c>
      <c r="J16" s="2">
        <v>1.0</v>
      </c>
      <c r="K16" s="7" t="s">
        <v>39</v>
      </c>
      <c r="L16" s="6"/>
    </row>
    <row r="17" ht="17.25" customHeight="1">
      <c r="A17" s="2">
        <v>1.0</v>
      </c>
      <c r="B17" s="3" t="s">
        <v>12</v>
      </c>
      <c r="C17" s="2">
        <v>1.0</v>
      </c>
      <c r="D17" s="3" t="s">
        <v>13</v>
      </c>
      <c r="E17" s="2">
        <v>1.0</v>
      </c>
      <c r="F17" s="3" t="s">
        <v>14</v>
      </c>
      <c r="G17" s="2">
        <v>5.0</v>
      </c>
      <c r="H17" s="7" t="s">
        <v>38</v>
      </c>
      <c r="I17" s="8" t="s">
        <v>36</v>
      </c>
      <c r="J17" s="2">
        <v>2.0</v>
      </c>
      <c r="K17" s="7" t="s">
        <v>40</v>
      </c>
      <c r="L17" s="6"/>
    </row>
    <row r="18" ht="17.25" customHeight="1">
      <c r="A18" s="2">
        <v>1.0</v>
      </c>
      <c r="B18" s="3" t="s">
        <v>12</v>
      </c>
      <c r="C18" s="2">
        <v>1.0</v>
      </c>
      <c r="D18" s="3" t="s">
        <v>13</v>
      </c>
      <c r="E18" s="2">
        <v>1.0</v>
      </c>
      <c r="F18" s="3" t="s">
        <v>14</v>
      </c>
      <c r="G18" s="2">
        <v>5.0</v>
      </c>
      <c r="H18" s="7" t="s">
        <v>38</v>
      </c>
      <c r="I18" s="8" t="s">
        <v>36</v>
      </c>
      <c r="J18" s="2">
        <v>3.0</v>
      </c>
      <c r="K18" s="7" t="s">
        <v>41</v>
      </c>
      <c r="L18" s="6"/>
    </row>
    <row r="19" ht="17.25" customHeight="1">
      <c r="A19" s="2">
        <v>1.0</v>
      </c>
      <c r="B19" s="3" t="s">
        <v>12</v>
      </c>
      <c r="C19" s="2">
        <v>1.0</v>
      </c>
      <c r="D19" s="3" t="s">
        <v>13</v>
      </c>
      <c r="E19" s="2">
        <v>1.0</v>
      </c>
      <c r="F19" s="3" t="s">
        <v>14</v>
      </c>
      <c r="G19" s="2">
        <v>5.0</v>
      </c>
      <c r="H19" s="7" t="s">
        <v>38</v>
      </c>
      <c r="I19" s="8" t="s">
        <v>36</v>
      </c>
      <c r="J19" s="2">
        <v>4.0</v>
      </c>
      <c r="K19" s="7" t="s">
        <v>42</v>
      </c>
      <c r="L19" s="6"/>
    </row>
    <row r="20" ht="17.25" customHeight="1">
      <c r="A20" s="2">
        <v>1.0</v>
      </c>
      <c r="B20" s="3" t="s">
        <v>12</v>
      </c>
      <c r="C20" s="2">
        <v>1.0</v>
      </c>
      <c r="D20" s="3" t="s">
        <v>13</v>
      </c>
      <c r="E20" s="2">
        <v>1.0</v>
      </c>
      <c r="F20" s="3" t="s">
        <v>14</v>
      </c>
      <c r="G20" s="2">
        <v>5.0</v>
      </c>
      <c r="H20" s="7" t="s">
        <v>38</v>
      </c>
      <c r="I20" s="8" t="s">
        <v>43</v>
      </c>
      <c r="J20" s="2">
        <v>5.0</v>
      </c>
      <c r="K20" s="7" t="s">
        <v>44</v>
      </c>
      <c r="L20" s="6"/>
    </row>
    <row r="21" ht="17.25" customHeight="1">
      <c r="A21" s="2">
        <v>1.0</v>
      </c>
      <c r="B21" s="3" t="s">
        <v>12</v>
      </c>
      <c r="C21" s="2">
        <v>1.0</v>
      </c>
      <c r="D21" s="3" t="s">
        <v>13</v>
      </c>
      <c r="E21" s="2">
        <v>1.0</v>
      </c>
      <c r="F21" s="3" t="s">
        <v>14</v>
      </c>
      <c r="G21" s="2">
        <v>6.0</v>
      </c>
      <c r="H21" s="7" t="s">
        <v>45</v>
      </c>
      <c r="I21" s="8" t="s">
        <v>43</v>
      </c>
      <c r="J21" s="2">
        <v>1.0</v>
      </c>
      <c r="K21" s="7" t="s">
        <v>46</v>
      </c>
      <c r="L21" s="6"/>
    </row>
    <row r="22" ht="17.25" customHeight="1">
      <c r="A22" s="2">
        <v>1.0</v>
      </c>
      <c r="B22" s="3" t="s">
        <v>12</v>
      </c>
      <c r="C22" s="2">
        <v>1.0</v>
      </c>
      <c r="D22" s="3" t="s">
        <v>13</v>
      </c>
      <c r="E22" s="2">
        <v>1.0</v>
      </c>
      <c r="F22" s="3" t="s">
        <v>14</v>
      </c>
      <c r="G22" s="2">
        <v>6.0</v>
      </c>
      <c r="H22" s="7" t="s">
        <v>45</v>
      </c>
      <c r="I22" s="8" t="s">
        <v>47</v>
      </c>
      <c r="J22" s="2">
        <v>2.0</v>
      </c>
      <c r="K22" s="7" t="s">
        <v>48</v>
      </c>
      <c r="L22" s="6"/>
    </row>
    <row r="23" ht="17.25" customHeight="1">
      <c r="A23" s="2">
        <v>1.0</v>
      </c>
      <c r="B23" s="3" t="s">
        <v>12</v>
      </c>
      <c r="C23" s="2">
        <v>1.0</v>
      </c>
      <c r="D23" s="3" t="s">
        <v>13</v>
      </c>
      <c r="E23" s="2">
        <v>2.0</v>
      </c>
      <c r="F23" s="3" t="s">
        <v>49</v>
      </c>
      <c r="G23" s="2">
        <v>1.0</v>
      </c>
      <c r="H23" s="7" t="s">
        <v>50</v>
      </c>
      <c r="I23" s="4" t="s">
        <v>47</v>
      </c>
      <c r="J23" s="2">
        <v>1.0</v>
      </c>
      <c r="K23" s="7" t="s">
        <v>51</v>
      </c>
      <c r="L23" s="6"/>
    </row>
    <row r="24" ht="17.25" customHeight="1">
      <c r="A24" s="2">
        <v>1.0</v>
      </c>
      <c r="B24" s="3" t="s">
        <v>12</v>
      </c>
      <c r="C24" s="2">
        <v>1.0</v>
      </c>
      <c r="D24" s="3" t="s">
        <v>13</v>
      </c>
      <c r="E24" s="2">
        <v>2.0</v>
      </c>
      <c r="F24" s="3" t="s">
        <v>49</v>
      </c>
      <c r="G24" s="2">
        <v>1.0</v>
      </c>
      <c r="H24" s="7" t="s">
        <v>50</v>
      </c>
      <c r="I24" s="4" t="s">
        <v>47</v>
      </c>
      <c r="J24" s="2">
        <v>2.0</v>
      </c>
      <c r="K24" s="7" t="s">
        <v>52</v>
      </c>
      <c r="L24" s="6"/>
    </row>
    <row r="25" ht="17.25" customHeight="1">
      <c r="A25" s="2">
        <v>1.0</v>
      </c>
      <c r="B25" s="3" t="s">
        <v>12</v>
      </c>
      <c r="C25" s="2">
        <v>1.0</v>
      </c>
      <c r="D25" s="3" t="s">
        <v>13</v>
      </c>
      <c r="E25" s="2">
        <v>2.0</v>
      </c>
      <c r="F25" s="3" t="s">
        <v>49</v>
      </c>
      <c r="G25" s="2">
        <v>1.0</v>
      </c>
      <c r="H25" s="7" t="s">
        <v>50</v>
      </c>
      <c r="I25" s="4" t="s">
        <v>47</v>
      </c>
      <c r="J25" s="2">
        <v>3.0</v>
      </c>
      <c r="K25" s="7" t="s">
        <v>53</v>
      </c>
      <c r="L25" s="6"/>
    </row>
    <row r="26" ht="17.25" customHeight="1">
      <c r="A26" s="2">
        <v>1.0</v>
      </c>
      <c r="B26" s="3" t="s">
        <v>12</v>
      </c>
      <c r="C26" s="2">
        <v>1.0</v>
      </c>
      <c r="D26" s="3" t="s">
        <v>13</v>
      </c>
      <c r="E26" s="2">
        <v>2.0</v>
      </c>
      <c r="F26" s="3" t="s">
        <v>49</v>
      </c>
      <c r="G26" s="2">
        <v>1.0</v>
      </c>
      <c r="H26" s="7" t="s">
        <v>50</v>
      </c>
      <c r="I26" s="4" t="s">
        <v>47</v>
      </c>
      <c r="J26" s="2">
        <v>4.0</v>
      </c>
      <c r="K26" s="7" t="s">
        <v>54</v>
      </c>
      <c r="L26" s="6"/>
    </row>
    <row r="27" ht="17.25" customHeight="1">
      <c r="A27" s="2">
        <v>1.0</v>
      </c>
      <c r="B27" s="3" t="s">
        <v>12</v>
      </c>
      <c r="C27" s="2">
        <v>1.0</v>
      </c>
      <c r="D27" s="3" t="s">
        <v>13</v>
      </c>
      <c r="E27" s="2">
        <v>2.0</v>
      </c>
      <c r="F27" s="3" t="s">
        <v>49</v>
      </c>
      <c r="G27" s="2">
        <v>1.0</v>
      </c>
      <c r="H27" s="7" t="s">
        <v>50</v>
      </c>
      <c r="I27" s="4" t="s">
        <v>47</v>
      </c>
      <c r="J27" s="2">
        <v>5.0</v>
      </c>
      <c r="K27" s="7" t="s">
        <v>55</v>
      </c>
      <c r="L27" s="6"/>
    </row>
    <row r="28" ht="17.25" customHeight="1">
      <c r="A28" s="2">
        <v>1.0</v>
      </c>
      <c r="B28" s="3" t="s">
        <v>12</v>
      </c>
      <c r="C28" s="2">
        <v>1.0</v>
      </c>
      <c r="D28" s="3" t="s">
        <v>13</v>
      </c>
      <c r="E28" s="2">
        <v>2.0</v>
      </c>
      <c r="F28" s="3" t="s">
        <v>49</v>
      </c>
      <c r="G28" s="2">
        <v>1.0</v>
      </c>
      <c r="H28" s="7" t="s">
        <v>50</v>
      </c>
      <c r="I28" s="4" t="s">
        <v>47</v>
      </c>
      <c r="J28" s="2">
        <v>6.0</v>
      </c>
      <c r="K28" s="7" t="s">
        <v>56</v>
      </c>
      <c r="L28" s="6"/>
    </row>
    <row r="29" ht="17.25" customHeight="1">
      <c r="A29" s="2">
        <v>1.0</v>
      </c>
      <c r="B29" s="3" t="s">
        <v>12</v>
      </c>
      <c r="C29" s="2">
        <v>1.0</v>
      </c>
      <c r="D29" s="3" t="s">
        <v>13</v>
      </c>
      <c r="E29" s="2">
        <v>2.0</v>
      </c>
      <c r="F29" s="3" t="s">
        <v>49</v>
      </c>
      <c r="G29" s="2">
        <v>1.0</v>
      </c>
      <c r="H29" s="7" t="s">
        <v>50</v>
      </c>
      <c r="I29" s="4" t="s">
        <v>57</v>
      </c>
      <c r="J29" s="2">
        <v>7.0</v>
      </c>
      <c r="K29" s="7" t="s">
        <v>58</v>
      </c>
      <c r="L29" s="6"/>
    </row>
    <row r="30" ht="17.25" customHeight="1">
      <c r="A30" s="2">
        <v>1.0</v>
      </c>
      <c r="B30" s="3" t="s">
        <v>12</v>
      </c>
      <c r="C30" s="2">
        <v>1.0</v>
      </c>
      <c r="D30" s="3" t="s">
        <v>13</v>
      </c>
      <c r="E30" s="2">
        <v>2.0</v>
      </c>
      <c r="F30" s="3" t="s">
        <v>49</v>
      </c>
      <c r="G30" s="2">
        <v>2.0</v>
      </c>
      <c r="H30" s="7" t="s">
        <v>59</v>
      </c>
      <c r="I30" s="8" t="s">
        <v>57</v>
      </c>
      <c r="J30" s="2">
        <v>1.0</v>
      </c>
      <c r="K30" s="7" t="s">
        <v>60</v>
      </c>
      <c r="L30" s="6"/>
    </row>
    <row r="31" ht="17.25" customHeight="1">
      <c r="A31" s="2">
        <v>1.0</v>
      </c>
      <c r="B31" s="3" t="s">
        <v>12</v>
      </c>
      <c r="C31" s="2">
        <v>1.0</v>
      </c>
      <c r="D31" s="3" t="s">
        <v>13</v>
      </c>
      <c r="E31" s="2">
        <v>2.0</v>
      </c>
      <c r="F31" s="3" t="s">
        <v>49</v>
      </c>
      <c r="G31" s="2">
        <v>2.0</v>
      </c>
      <c r="H31" s="7" t="s">
        <v>59</v>
      </c>
      <c r="I31" s="8" t="s">
        <v>57</v>
      </c>
      <c r="J31" s="2">
        <v>2.0</v>
      </c>
      <c r="K31" s="7" t="s">
        <v>61</v>
      </c>
      <c r="L31" s="6"/>
    </row>
    <row r="32" ht="17.25" customHeight="1">
      <c r="A32" s="2">
        <v>1.0</v>
      </c>
      <c r="B32" s="3" t="s">
        <v>12</v>
      </c>
      <c r="C32" s="2">
        <v>1.0</v>
      </c>
      <c r="D32" s="3" t="s">
        <v>13</v>
      </c>
      <c r="E32" s="2">
        <v>2.0</v>
      </c>
      <c r="F32" s="3" t="s">
        <v>49</v>
      </c>
      <c r="G32" s="2">
        <v>2.0</v>
      </c>
      <c r="H32" s="7" t="s">
        <v>59</v>
      </c>
      <c r="I32" s="8" t="s">
        <v>57</v>
      </c>
      <c r="J32" s="2">
        <v>3.0</v>
      </c>
      <c r="K32" s="7" t="s">
        <v>62</v>
      </c>
      <c r="L32" s="6"/>
    </row>
    <row r="33" ht="17.25" customHeight="1">
      <c r="A33" s="2">
        <v>1.0</v>
      </c>
      <c r="B33" s="3" t="s">
        <v>12</v>
      </c>
      <c r="C33" s="2">
        <v>1.0</v>
      </c>
      <c r="D33" s="3" t="s">
        <v>13</v>
      </c>
      <c r="E33" s="2">
        <v>2.0</v>
      </c>
      <c r="F33" s="3" t="s">
        <v>49</v>
      </c>
      <c r="G33" s="2">
        <v>2.0</v>
      </c>
      <c r="H33" s="7" t="s">
        <v>59</v>
      </c>
      <c r="I33" s="8" t="s">
        <v>57</v>
      </c>
      <c r="J33" s="2">
        <v>4.0</v>
      </c>
      <c r="K33" s="7" t="s">
        <v>63</v>
      </c>
      <c r="L33" s="6"/>
    </row>
    <row r="34" ht="17.25" customHeight="1">
      <c r="A34" s="2">
        <v>1.0</v>
      </c>
      <c r="B34" s="3" t="s">
        <v>12</v>
      </c>
      <c r="C34" s="2">
        <v>1.0</v>
      </c>
      <c r="D34" s="3" t="s">
        <v>13</v>
      </c>
      <c r="E34" s="2">
        <v>2.0</v>
      </c>
      <c r="F34" s="3" t="s">
        <v>49</v>
      </c>
      <c r="G34" s="2">
        <v>2.0</v>
      </c>
      <c r="H34" s="7" t="s">
        <v>59</v>
      </c>
      <c r="I34" s="8" t="s">
        <v>57</v>
      </c>
      <c r="J34" s="2">
        <v>5.0</v>
      </c>
      <c r="K34" s="7" t="s">
        <v>64</v>
      </c>
      <c r="L34" s="6"/>
    </row>
    <row r="35" ht="17.25" customHeight="1">
      <c r="A35" s="2">
        <v>1.0</v>
      </c>
      <c r="B35" s="3" t="s">
        <v>12</v>
      </c>
      <c r="C35" s="2">
        <v>1.0</v>
      </c>
      <c r="D35" s="3" t="s">
        <v>13</v>
      </c>
      <c r="E35" s="2">
        <v>2.0</v>
      </c>
      <c r="F35" s="3" t="s">
        <v>49</v>
      </c>
      <c r="G35" s="2">
        <v>2.0</v>
      </c>
      <c r="H35" s="7" t="s">
        <v>59</v>
      </c>
      <c r="I35" s="8" t="s">
        <v>57</v>
      </c>
      <c r="J35" s="2">
        <v>6.0</v>
      </c>
      <c r="K35" s="7" t="s">
        <v>65</v>
      </c>
      <c r="L35" s="6"/>
    </row>
    <row r="36" ht="17.25" customHeight="1">
      <c r="A36" s="2">
        <v>1.0</v>
      </c>
      <c r="B36" s="3" t="s">
        <v>12</v>
      </c>
      <c r="C36" s="2">
        <v>1.0</v>
      </c>
      <c r="D36" s="3" t="s">
        <v>13</v>
      </c>
      <c r="E36" s="2">
        <v>2.0</v>
      </c>
      <c r="F36" s="3" t="s">
        <v>49</v>
      </c>
      <c r="G36" s="2">
        <v>2.0</v>
      </c>
      <c r="H36" s="7" t="s">
        <v>59</v>
      </c>
      <c r="I36" s="8" t="s">
        <v>57</v>
      </c>
      <c r="J36" s="2">
        <v>7.0</v>
      </c>
      <c r="K36" s="7" t="s">
        <v>66</v>
      </c>
      <c r="L36" s="6"/>
    </row>
    <row r="37" ht="17.25" customHeight="1">
      <c r="A37" s="2">
        <v>1.0</v>
      </c>
      <c r="B37" s="3" t="s">
        <v>12</v>
      </c>
      <c r="C37" s="2">
        <v>1.0</v>
      </c>
      <c r="D37" s="3" t="s">
        <v>13</v>
      </c>
      <c r="E37" s="2">
        <v>2.0</v>
      </c>
      <c r="F37" s="3" t="s">
        <v>49</v>
      </c>
      <c r="G37" s="2">
        <v>2.0</v>
      </c>
      <c r="H37" s="7" t="s">
        <v>59</v>
      </c>
      <c r="I37" s="8" t="s">
        <v>57</v>
      </c>
      <c r="J37" s="2">
        <v>8.0</v>
      </c>
      <c r="K37" s="7" t="s">
        <v>67</v>
      </c>
      <c r="L37" s="8"/>
    </row>
    <row r="38" ht="17.25" customHeight="1">
      <c r="A38" s="2">
        <v>1.0</v>
      </c>
      <c r="B38" s="3" t="s">
        <v>12</v>
      </c>
      <c r="C38" s="2">
        <v>1.0</v>
      </c>
      <c r="D38" s="3" t="s">
        <v>13</v>
      </c>
      <c r="E38" s="2">
        <v>2.0</v>
      </c>
      <c r="F38" s="3" t="s">
        <v>49</v>
      </c>
      <c r="G38" s="2">
        <v>2.0</v>
      </c>
      <c r="H38" s="7" t="s">
        <v>59</v>
      </c>
      <c r="I38" s="8" t="s">
        <v>57</v>
      </c>
      <c r="J38" s="2">
        <v>9.0</v>
      </c>
      <c r="K38" s="7" t="s">
        <v>68</v>
      </c>
      <c r="L38" s="8"/>
    </row>
    <row r="39" ht="17.25" customHeight="1">
      <c r="A39" s="2">
        <v>1.0</v>
      </c>
      <c r="B39" s="3" t="s">
        <v>12</v>
      </c>
      <c r="C39" s="2">
        <v>1.0</v>
      </c>
      <c r="D39" s="3" t="s">
        <v>13</v>
      </c>
      <c r="E39" s="2">
        <v>2.0</v>
      </c>
      <c r="F39" s="3" t="s">
        <v>49</v>
      </c>
      <c r="G39" s="2">
        <v>2.0</v>
      </c>
      <c r="H39" s="7" t="s">
        <v>59</v>
      </c>
      <c r="I39" s="8" t="s">
        <v>69</v>
      </c>
      <c r="J39" s="2">
        <v>10.0</v>
      </c>
      <c r="K39" s="7" t="s">
        <v>70</v>
      </c>
      <c r="L39" s="8"/>
    </row>
    <row r="40" ht="17.25" customHeight="1">
      <c r="A40" s="2">
        <v>1.0</v>
      </c>
      <c r="B40" s="3" t="s">
        <v>12</v>
      </c>
      <c r="C40" s="2">
        <v>1.0</v>
      </c>
      <c r="D40" s="3" t="s">
        <v>13</v>
      </c>
      <c r="E40" s="2">
        <v>3.0</v>
      </c>
      <c r="F40" s="3" t="s">
        <v>71</v>
      </c>
      <c r="G40" s="2">
        <v>1.0</v>
      </c>
      <c r="H40" s="7" t="s">
        <v>72</v>
      </c>
      <c r="I40" s="8" t="s">
        <v>69</v>
      </c>
      <c r="J40" s="2">
        <v>1.0</v>
      </c>
      <c r="K40" s="7" t="s">
        <v>73</v>
      </c>
      <c r="L40" s="6"/>
    </row>
    <row r="41" ht="17.25" customHeight="1">
      <c r="A41" s="2">
        <v>1.0</v>
      </c>
      <c r="B41" s="3" t="s">
        <v>12</v>
      </c>
      <c r="C41" s="2">
        <v>1.0</v>
      </c>
      <c r="D41" s="3" t="s">
        <v>13</v>
      </c>
      <c r="E41" s="2">
        <v>3.0</v>
      </c>
      <c r="F41" s="3" t="s">
        <v>71</v>
      </c>
      <c r="G41" s="2">
        <v>1.0</v>
      </c>
      <c r="H41" s="7" t="s">
        <v>72</v>
      </c>
      <c r="I41" s="8" t="s">
        <v>69</v>
      </c>
      <c r="J41" s="2">
        <v>2.0</v>
      </c>
      <c r="K41" s="7" t="s">
        <v>74</v>
      </c>
      <c r="L41" s="6"/>
    </row>
    <row r="42" ht="17.25" customHeight="1">
      <c r="A42" s="2">
        <v>1.0</v>
      </c>
      <c r="B42" s="3" t="s">
        <v>12</v>
      </c>
      <c r="C42" s="2">
        <v>1.0</v>
      </c>
      <c r="D42" s="3" t="s">
        <v>13</v>
      </c>
      <c r="E42" s="2">
        <v>3.0</v>
      </c>
      <c r="F42" s="3" t="s">
        <v>71</v>
      </c>
      <c r="G42" s="2">
        <v>1.0</v>
      </c>
      <c r="H42" s="7" t="s">
        <v>72</v>
      </c>
      <c r="I42" s="8" t="s">
        <v>75</v>
      </c>
      <c r="J42" s="2">
        <v>3.0</v>
      </c>
      <c r="K42" s="7" t="s">
        <v>76</v>
      </c>
      <c r="L42" s="8"/>
    </row>
    <row r="43" ht="17.25" customHeight="1">
      <c r="A43" s="2">
        <v>1.0</v>
      </c>
      <c r="B43" s="3" t="s">
        <v>12</v>
      </c>
      <c r="C43" s="2">
        <v>1.0</v>
      </c>
      <c r="D43" s="3" t="s">
        <v>13</v>
      </c>
      <c r="E43" s="2">
        <v>3.0</v>
      </c>
      <c r="F43" s="3" t="s">
        <v>71</v>
      </c>
      <c r="G43" s="2">
        <v>2.0</v>
      </c>
      <c r="H43" s="7" t="s">
        <v>77</v>
      </c>
      <c r="I43" s="8" t="s">
        <v>75</v>
      </c>
      <c r="J43" s="2">
        <v>1.0</v>
      </c>
      <c r="K43" s="7" t="s">
        <v>78</v>
      </c>
      <c r="L43" s="6"/>
    </row>
    <row r="44" ht="17.25" customHeight="1">
      <c r="A44" s="2">
        <v>1.0</v>
      </c>
      <c r="B44" s="3" t="s">
        <v>12</v>
      </c>
      <c r="C44" s="2">
        <v>1.0</v>
      </c>
      <c r="D44" s="3" t="s">
        <v>13</v>
      </c>
      <c r="E44" s="2">
        <v>3.0</v>
      </c>
      <c r="F44" s="3" t="s">
        <v>71</v>
      </c>
      <c r="G44" s="2">
        <v>2.0</v>
      </c>
      <c r="H44" s="7" t="s">
        <v>77</v>
      </c>
      <c r="I44" s="8" t="s">
        <v>75</v>
      </c>
      <c r="J44" s="2">
        <v>2.0</v>
      </c>
      <c r="K44" s="7" t="s">
        <v>79</v>
      </c>
      <c r="L44" s="6"/>
    </row>
    <row r="45" ht="17.25" customHeight="1">
      <c r="A45" s="2">
        <v>1.0</v>
      </c>
      <c r="B45" s="3" t="s">
        <v>12</v>
      </c>
      <c r="C45" s="2">
        <v>1.0</v>
      </c>
      <c r="D45" s="3" t="s">
        <v>13</v>
      </c>
      <c r="E45" s="2">
        <v>3.0</v>
      </c>
      <c r="F45" s="3" t="s">
        <v>71</v>
      </c>
      <c r="G45" s="2">
        <v>2.0</v>
      </c>
      <c r="H45" s="7" t="s">
        <v>77</v>
      </c>
      <c r="I45" s="8" t="s">
        <v>75</v>
      </c>
      <c r="J45" s="2">
        <v>3.0</v>
      </c>
      <c r="K45" s="7" t="s">
        <v>80</v>
      </c>
      <c r="L45" s="6"/>
    </row>
    <row r="46" ht="17.25" customHeight="1">
      <c r="A46" s="2">
        <v>1.0</v>
      </c>
      <c r="B46" s="3" t="s">
        <v>12</v>
      </c>
      <c r="C46" s="2">
        <v>1.0</v>
      </c>
      <c r="D46" s="3" t="s">
        <v>13</v>
      </c>
      <c r="E46" s="2">
        <v>3.0</v>
      </c>
      <c r="F46" s="3" t="s">
        <v>71</v>
      </c>
      <c r="G46" s="2">
        <v>2.0</v>
      </c>
      <c r="H46" s="7" t="s">
        <v>77</v>
      </c>
      <c r="I46" s="8" t="s">
        <v>75</v>
      </c>
      <c r="J46" s="2">
        <v>4.0</v>
      </c>
      <c r="K46" s="7" t="s">
        <v>81</v>
      </c>
      <c r="L46" s="6"/>
    </row>
    <row r="47" ht="17.25" customHeight="1">
      <c r="A47" s="2">
        <v>1.0</v>
      </c>
      <c r="B47" s="3" t="s">
        <v>12</v>
      </c>
      <c r="C47" s="2">
        <v>1.0</v>
      </c>
      <c r="D47" s="3" t="s">
        <v>13</v>
      </c>
      <c r="E47" s="2">
        <v>3.0</v>
      </c>
      <c r="F47" s="3" t="s">
        <v>71</v>
      </c>
      <c r="G47" s="2">
        <v>2.0</v>
      </c>
      <c r="H47" s="7" t="s">
        <v>77</v>
      </c>
      <c r="I47" s="8" t="s">
        <v>75</v>
      </c>
      <c r="J47" s="2">
        <v>5.0</v>
      </c>
      <c r="K47" s="7" t="s">
        <v>82</v>
      </c>
      <c r="L47" s="6"/>
    </row>
    <row r="48" ht="17.25" customHeight="1">
      <c r="A48" s="2">
        <v>1.0</v>
      </c>
      <c r="B48" s="3" t="s">
        <v>12</v>
      </c>
      <c r="C48" s="2">
        <v>1.0</v>
      </c>
      <c r="D48" s="3" t="s">
        <v>13</v>
      </c>
      <c r="E48" s="2">
        <v>3.0</v>
      </c>
      <c r="F48" s="3" t="s">
        <v>71</v>
      </c>
      <c r="G48" s="2">
        <v>2.0</v>
      </c>
      <c r="H48" s="7" t="s">
        <v>77</v>
      </c>
      <c r="I48" s="8" t="s">
        <v>75</v>
      </c>
      <c r="J48" s="2">
        <v>6.0</v>
      </c>
      <c r="K48" s="7" t="s">
        <v>83</v>
      </c>
      <c r="L48" s="6"/>
    </row>
    <row r="49" ht="17.25" customHeight="1">
      <c r="A49" s="2">
        <v>1.0</v>
      </c>
      <c r="B49" s="3" t="s">
        <v>12</v>
      </c>
      <c r="C49" s="2">
        <v>1.0</v>
      </c>
      <c r="D49" s="3" t="s">
        <v>13</v>
      </c>
      <c r="E49" s="2">
        <v>3.0</v>
      </c>
      <c r="F49" s="3" t="s">
        <v>71</v>
      </c>
      <c r="G49" s="2">
        <v>2.0</v>
      </c>
      <c r="H49" s="7" t="s">
        <v>77</v>
      </c>
      <c r="I49" s="8" t="s">
        <v>75</v>
      </c>
      <c r="J49" s="2">
        <v>7.0</v>
      </c>
      <c r="K49" s="7" t="s">
        <v>84</v>
      </c>
      <c r="L49" s="8"/>
    </row>
    <row r="50" ht="17.25" customHeight="1">
      <c r="A50" s="2">
        <v>1.0</v>
      </c>
      <c r="B50" s="3" t="s">
        <v>12</v>
      </c>
      <c r="C50" s="2">
        <v>1.0</v>
      </c>
      <c r="D50" s="3" t="s">
        <v>13</v>
      </c>
      <c r="E50" s="2">
        <v>3.0</v>
      </c>
      <c r="F50" s="3" t="s">
        <v>71</v>
      </c>
      <c r="G50" s="2">
        <v>2.0</v>
      </c>
      <c r="H50" s="7" t="s">
        <v>77</v>
      </c>
      <c r="I50" s="8" t="s">
        <v>75</v>
      </c>
      <c r="J50" s="2">
        <v>8.0</v>
      </c>
      <c r="K50" s="7" t="s">
        <v>85</v>
      </c>
      <c r="L50" s="8"/>
    </row>
    <row r="51" ht="17.25" customHeight="1">
      <c r="A51" s="2">
        <v>1.0</v>
      </c>
      <c r="B51" s="3" t="s">
        <v>12</v>
      </c>
      <c r="C51" s="2">
        <v>1.0</v>
      </c>
      <c r="D51" s="3" t="s">
        <v>13</v>
      </c>
      <c r="E51" s="2">
        <v>3.0</v>
      </c>
      <c r="F51" s="3" t="s">
        <v>71</v>
      </c>
      <c r="G51" s="2">
        <v>3.0</v>
      </c>
      <c r="H51" s="7" t="s">
        <v>86</v>
      </c>
      <c r="I51" s="8" t="s">
        <v>87</v>
      </c>
      <c r="J51" s="2">
        <v>1.0</v>
      </c>
      <c r="K51" s="7" t="s">
        <v>88</v>
      </c>
      <c r="L51" s="6"/>
    </row>
    <row r="52" ht="17.25" customHeight="1">
      <c r="A52" s="2">
        <v>1.0</v>
      </c>
      <c r="B52" s="3" t="s">
        <v>12</v>
      </c>
      <c r="C52" s="2">
        <v>1.0</v>
      </c>
      <c r="D52" s="3" t="s">
        <v>13</v>
      </c>
      <c r="E52" s="2">
        <v>3.0</v>
      </c>
      <c r="F52" s="3" t="s">
        <v>71</v>
      </c>
      <c r="G52" s="2">
        <v>3.0</v>
      </c>
      <c r="H52" s="7" t="s">
        <v>86</v>
      </c>
      <c r="I52" s="8" t="s">
        <v>87</v>
      </c>
      <c r="J52" s="2">
        <v>2.0</v>
      </c>
      <c r="K52" s="7" t="s">
        <v>89</v>
      </c>
      <c r="L52" s="6"/>
    </row>
    <row r="53" ht="17.25" customHeight="1">
      <c r="A53" s="2">
        <v>1.0</v>
      </c>
      <c r="B53" s="3" t="s">
        <v>12</v>
      </c>
      <c r="C53" s="2">
        <v>1.0</v>
      </c>
      <c r="D53" s="3" t="s">
        <v>13</v>
      </c>
      <c r="E53" s="2">
        <v>3.0</v>
      </c>
      <c r="F53" s="3" t="s">
        <v>71</v>
      </c>
      <c r="G53" s="2">
        <v>3.0</v>
      </c>
      <c r="H53" s="7" t="s">
        <v>86</v>
      </c>
      <c r="I53" s="8" t="s">
        <v>87</v>
      </c>
      <c r="J53" s="2">
        <v>3.0</v>
      </c>
      <c r="K53" s="7" t="s">
        <v>90</v>
      </c>
      <c r="L53" s="6"/>
    </row>
    <row r="54" ht="17.25" customHeight="1">
      <c r="A54" s="2">
        <v>1.0</v>
      </c>
      <c r="B54" s="3" t="s">
        <v>12</v>
      </c>
      <c r="C54" s="2">
        <v>1.0</v>
      </c>
      <c r="D54" s="3" t="s">
        <v>13</v>
      </c>
      <c r="E54" s="2">
        <v>3.0</v>
      </c>
      <c r="F54" s="3" t="s">
        <v>71</v>
      </c>
      <c r="G54" s="2">
        <v>3.0</v>
      </c>
      <c r="H54" s="7" t="s">
        <v>86</v>
      </c>
      <c r="I54" s="8" t="s">
        <v>87</v>
      </c>
      <c r="J54" s="2">
        <v>4.0</v>
      </c>
      <c r="K54" s="7" t="s">
        <v>91</v>
      </c>
      <c r="L54" s="8"/>
    </row>
    <row r="55" ht="17.25" customHeight="1">
      <c r="A55" s="2">
        <v>1.0</v>
      </c>
      <c r="B55" s="3" t="s">
        <v>12</v>
      </c>
      <c r="C55" s="2">
        <v>1.0</v>
      </c>
      <c r="D55" s="3" t="s">
        <v>13</v>
      </c>
      <c r="E55" s="2">
        <v>3.0</v>
      </c>
      <c r="F55" s="3" t="s">
        <v>71</v>
      </c>
      <c r="G55" s="2">
        <v>4.0</v>
      </c>
      <c r="H55" s="7" t="s">
        <v>92</v>
      </c>
      <c r="I55" s="8" t="s">
        <v>93</v>
      </c>
      <c r="J55" s="2">
        <v>1.0</v>
      </c>
      <c r="K55" s="7" t="s">
        <v>94</v>
      </c>
      <c r="L55" s="6"/>
    </row>
    <row r="56" ht="17.25" customHeight="1">
      <c r="A56" s="2">
        <v>1.0</v>
      </c>
      <c r="B56" s="3" t="s">
        <v>12</v>
      </c>
      <c r="C56" s="2">
        <v>1.0</v>
      </c>
      <c r="D56" s="3" t="s">
        <v>13</v>
      </c>
      <c r="E56" s="2">
        <v>3.0</v>
      </c>
      <c r="F56" s="3" t="s">
        <v>71</v>
      </c>
      <c r="G56" s="2">
        <v>4.0</v>
      </c>
      <c r="H56" s="7" t="s">
        <v>92</v>
      </c>
      <c r="I56" s="8" t="s">
        <v>93</v>
      </c>
      <c r="J56" s="2">
        <v>2.0</v>
      </c>
      <c r="K56" s="7" t="s">
        <v>95</v>
      </c>
      <c r="L56" s="6"/>
    </row>
    <row r="57" ht="17.25" customHeight="1">
      <c r="A57" s="2">
        <v>1.0</v>
      </c>
      <c r="B57" s="3" t="s">
        <v>12</v>
      </c>
      <c r="C57" s="2">
        <v>1.0</v>
      </c>
      <c r="D57" s="3" t="s">
        <v>13</v>
      </c>
      <c r="E57" s="2">
        <v>3.0</v>
      </c>
      <c r="F57" s="3" t="s">
        <v>71</v>
      </c>
      <c r="G57" s="2">
        <v>4.0</v>
      </c>
      <c r="H57" s="7" t="s">
        <v>92</v>
      </c>
      <c r="I57" s="8" t="s">
        <v>93</v>
      </c>
      <c r="J57" s="2">
        <v>3.0</v>
      </c>
      <c r="K57" s="7" t="s">
        <v>96</v>
      </c>
      <c r="L57" s="6"/>
    </row>
    <row r="58" ht="17.25" customHeight="1">
      <c r="A58" s="2">
        <v>1.0</v>
      </c>
      <c r="B58" s="3" t="s">
        <v>12</v>
      </c>
      <c r="C58" s="2">
        <v>1.0</v>
      </c>
      <c r="D58" s="3" t="s">
        <v>13</v>
      </c>
      <c r="E58" s="2">
        <v>3.0</v>
      </c>
      <c r="F58" s="3" t="s">
        <v>71</v>
      </c>
      <c r="G58" s="2">
        <v>4.0</v>
      </c>
      <c r="H58" s="7" t="s">
        <v>92</v>
      </c>
      <c r="I58" s="8" t="s">
        <v>93</v>
      </c>
      <c r="J58" s="2">
        <v>4.0</v>
      </c>
      <c r="K58" s="7" t="s">
        <v>97</v>
      </c>
      <c r="L58" s="8"/>
    </row>
    <row r="59" ht="17.25" customHeight="1">
      <c r="A59" s="2">
        <v>1.0</v>
      </c>
      <c r="B59" s="3" t="s">
        <v>12</v>
      </c>
      <c r="C59" s="2">
        <v>1.0</v>
      </c>
      <c r="D59" s="3" t="s">
        <v>13</v>
      </c>
      <c r="E59" s="2">
        <v>4.0</v>
      </c>
      <c r="F59" s="3" t="s">
        <v>98</v>
      </c>
      <c r="G59" s="2">
        <v>1.0</v>
      </c>
      <c r="H59" s="7" t="s">
        <v>99</v>
      </c>
      <c r="I59" s="8" t="s">
        <v>100</v>
      </c>
      <c r="J59" s="2">
        <v>1.0</v>
      </c>
      <c r="K59" s="7" t="s">
        <v>101</v>
      </c>
      <c r="L59" s="8"/>
    </row>
    <row r="60" ht="17.25" customHeight="1">
      <c r="A60" s="2">
        <v>1.0</v>
      </c>
      <c r="B60" s="3" t="s">
        <v>12</v>
      </c>
      <c r="C60" s="2">
        <v>1.0</v>
      </c>
      <c r="D60" s="3" t="s">
        <v>13</v>
      </c>
      <c r="E60" s="2">
        <v>4.0</v>
      </c>
      <c r="F60" s="3" t="s">
        <v>98</v>
      </c>
      <c r="G60" s="2">
        <v>2.0</v>
      </c>
      <c r="H60" s="7" t="s">
        <v>102</v>
      </c>
      <c r="I60" s="8" t="s">
        <v>103</v>
      </c>
      <c r="J60" s="2">
        <v>1.0</v>
      </c>
      <c r="K60" s="7" t="s">
        <v>104</v>
      </c>
      <c r="L60" s="6"/>
    </row>
    <row r="61" ht="17.25" customHeight="1">
      <c r="A61" s="2">
        <v>1.0</v>
      </c>
      <c r="B61" s="3" t="s">
        <v>12</v>
      </c>
      <c r="C61" s="2">
        <v>1.0</v>
      </c>
      <c r="D61" s="3" t="s">
        <v>13</v>
      </c>
      <c r="E61" s="2">
        <v>4.0</v>
      </c>
      <c r="F61" s="3" t="s">
        <v>98</v>
      </c>
      <c r="G61" s="2">
        <v>2.0</v>
      </c>
      <c r="H61" s="7" t="s">
        <v>102</v>
      </c>
      <c r="I61" s="8" t="s">
        <v>103</v>
      </c>
      <c r="J61" s="2">
        <v>2.0</v>
      </c>
      <c r="K61" s="7" t="s">
        <v>105</v>
      </c>
      <c r="L61" s="8"/>
    </row>
    <row r="62" ht="17.25" customHeight="1">
      <c r="A62" s="2">
        <v>1.0</v>
      </c>
      <c r="B62" s="3" t="s">
        <v>12</v>
      </c>
      <c r="C62" s="2">
        <v>1.0</v>
      </c>
      <c r="D62" s="3" t="s">
        <v>13</v>
      </c>
      <c r="E62" s="2">
        <v>4.0</v>
      </c>
      <c r="F62" s="3" t="s">
        <v>98</v>
      </c>
      <c r="G62" s="2">
        <v>2.0</v>
      </c>
      <c r="H62" s="7" t="s">
        <v>102</v>
      </c>
      <c r="I62" s="8" t="s">
        <v>103</v>
      </c>
      <c r="J62" s="2">
        <v>3.0</v>
      </c>
      <c r="K62" s="7" t="s">
        <v>106</v>
      </c>
      <c r="L62" s="6"/>
    </row>
    <row r="63" ht="17.25" customHeight="1">
      <c r="A63" s="2">
        <v>1.0</v>
      </c>
      <c r="B63" s="3" t="s">
        <v>12</v>
      </c>
      <c r="C63" s="2">
        <v>1.0</v>
      </c>
      <c r="D63" s="3" t="s">
        <v>13</v>
      </c>
      <c r="E63" s="2">
        <v>4.0</v>
      </c>
      <c r="F63" s="3" t="s">
        <v>98</v>
      </c>
      <c r="G63" s="2">
        <v>2.0</v>
      </c>
      <c r="H63" s="7" t="s">
        <v>102</v>
      </c>
      <c r="I63" s="8" t="s">
        <v>103</v>
      </c>
      <c r="J63" s="2">
        <v>4.0</v>
      </c>
      <c r="K63" s="7" t="s">
        <v>107</v>
      </c>
      <c r="L63" s="6"/>
    </row>
    <row r="64" ht="17.25" customHeight="1">
      <c r="A64" s="2">
        <v>1.0</v>
      </c>
      <c r="B64" s="3" t="s">
        <v>12</v>
      </c>
      <c r="C64" s="2">
        <v>1.0</v>
      </c>
      <c r="D64" s="3" t="s">
        <v>13</v>
      </c>
      <c r="E64" s="2">
        <v>4.0</v>
      </c>
      <c r="F64" s="3" t="s">
        <v>98</v>
      </c>
      <c r="G64" s="2">
        <v>2.0</v>
      </c>
      <c r="H64" s="7" t="s">
        <v>102</v>
      </c>
      <c r="I64" s="8" t="s">
        <v>103</v>
      </c>
      <c r="J64" s="2">
        <v>5.0</v>
      </c>
      <c r="K64" s="7" t="s">
        <v>108</v>
      </c>
      <c r="L64" s="6"/>
    </row>
    <row r="65" ht="17.25" customHeight="1">
      <c r="A65" s="2">
        <v>1.0</v>
      </c>
      <c r="B65" s="3" t="s">
        <v>12</v>
      </c>
      <c r="C65" s="2">
        <v>1.0</v>
      </c>
      <c r="D65" s="3" t="s">
        <v>13</v>
      </c>
      <c r="E65" s="2">
        <v>4.0</v>
      </c>
      <c r="F65" s="3" t="s">
        <v>98</v>
      </c>
      <c r="G65" s="2">
        <v>2.0</v>
      </c>
      <c r="H65" s="7" t="s">
        <v>102</v>
      </c>
      <c r="I65" s="8" t="s">
        <v>103</v>
      </c>
      <c r="J65" s="2">
        <v>6.0</v>
      </c>
      <c r="K65" s="7" t="s">
        <v>109</v>
      </c>
      <c r="L65" s="6"/>
    </row>
    <row r="66" ht="17.25" customHeight="1">
      <c r="A66" s="2">
        <v>1.0</v>
      </c>
      <c r="B66" s="3" t="s">
        <v>12</v>
      </c>
      <c r="C66" s="2">
        <v>1.0</v>
      </c>
      <c r="D66" s="3" t="s">
        <v>13</v>
      </c>
      <c r="E66" s="2">
        <v>4.0</v>
      </c>
      <c r="F66" s="3" t="s">
        <v>98</v>
      </c>
      <c r="G66" s="2">
        <v>2.0</v>
      </c>
      <c r="H66" s="7" t="s">
        <v>102</v>
      </c>
      <c r="I66" s="8" t="s">
        <v>103</v>
      </c>
      <c r="J66" s="2">
        <v>7.0</v>
      </c>
      <c r="K66" s="7" t="s">
        <v>110</v>
      </c>
      <c r="L66" s="8"/>
    </row>
    <row r="67" ht="17.25" customHeight="1">
      <c r="A67" s="2">
        <v>1.0</v>
      </c>
      <c r="B67" s="3" t="s">
        <v>12</v>
      </c>
      <c r="C67" s="2">
        <v>1.0</v>
      </c>
      <c r="D67" s="3" t="s">
        <v>13</v>
      </c>
      <c r="E67" s="2">
        <v>4.0</v>
      </c>
      <c r="F67" s="3" t="s">
        <v>98</v>
      </c>
      <c r="G67" s="2">
        <v>3.0</v>
      </c>
      <c r="H67" s="7" t="s">
        <v>111</v>
      </c>
      <c r="I67" s="8" t="s">
        <v>112</v>
      </c>
      <c r="J67" s="2">
        <v>1.0</v>
      </c>
      <c r="K67" s="7" t="s">
        <v>113</v>
      </c>
      <c r="L67" s="6"/>
    </row>
    <row r="68" ht="17.25" customHeight="1">
      <c r="A68" s="2">
        <v>1.0</v>
      </c>
      <c r="B68" s="3" t="s">
        <v>12</v>
      </c>
      <c r="C68" s="2">
        <v>1.0</v>
      </c>
      <c r="D68" s="3" t="s">
        <v>13</v>
      </c>
      <c r="E68" s="2">
        <v>4.0</v>
      </c>
      <c r="F68" s="3" t="s">
        <v>98</v>
      </c>
      <c r="G68" s="2">
        <v>3.0</v>
      </c>
      <c r="H68" s="7" t="s">
        <v>111</v>
      </c>
      <c r="I68" s="8" t="s">
        <v>112</v>
      </c>
      <c r="J68" s="2">
        <v>2.0</v>
      </c>
      <c r="K68" s="7" t="s">
        <v>114</v>
      </c>
      <c r="L68" s="6"/>
    </row>
    <row r="69" ht="17.25" customHeight="1">
      <c r="A69" s="2">
        <v>1.0</v>
      </c>
      <c r="B69" s="3" t="s">
        <v>12</v>
      </c>
      <c r="C69" s="2">
        <v>1.0</v>
      </c>
      <c r="D69" s="3" t="s">
        <v>13</v>
      </c>
      <c r="E69" s="2">
        <v>5.0</v>
      </c>
      <c r="F69" s="3" t="s">
        <v>115</v>
      </c>
      <c r="G69" s="2">
        <v>1.0</v>
      </c>
      <c r="H69" s="7" t="s">
        <v>116</v>
      </c>
      <c r="I69" s="8" t="s">
        <v>117</v>
      </c>
      <c r="J69" s="2">
        <v>1.0</v>
      </c>
      <c r="K69" s="7" t="s">
        <v>118</v>
      </c>
      <c r="L69" s="6"/>
    </row>
    <row r="70" ht="17.25" customHeight="1">
      <c r="A70" s="2">
        <v>1.0</v>
      </c>
      <c r="B70" s="3" t="s">
        <v>12</v>
      </c>
      <c r="C70" s="2">
        <v>1.0</v>
      </c>
      <c r="D70" s="3" t="s">
        <v>13</v>
      </c>
      <c r="E70" s="2">
        <v>5.0</v>
      </c>
      <c r="F70" s="3" t="s">
        <v>115</v>
      </c>
      <c r="G70" s="2">
        <v>1.0</v>
      </c>
      <c r="H70" s="7" t="s">
        <v>116</v>
      </c>
      <c r="I70" s="8" t="s">
        <v>117</v>
      </c>
      <c r="J70" s="2">
        <v>2.0</v>
      </c>
      <c r="K70" s="7" t="s">
        <v>119</v>
      </c>
      <c r="L70" s="6"/>
    </row>
    <row r="71" ht="17.25" customHeight="1">
      <c r="A71" s="2">
        <v>1.0</v>
      </c>
      <c r="B71" s="3" t="s">
        <v>12</v>
      </c>
      <c r="C71" s="2">
        <v>1.0</v>
      </c>
      <c r="D71" s="3" t="s">
        <v>13</v>
      </c>
      <c r="E71" s="2">
        <v>5.0</v>
      </c>
      <c r="F71" s="3" t="s">
        <v>115</v>
      </c>
      <c r="G71" s="2">
        <v>1.0</v>
      </c>
      <c r="H71" s="7" t="s">
        <v>116</v>
      </c>
      <c r="I71" s="8" t="s">
        <v>117</v>
      </c>
      <c r="J71" s="2">
        <v>3.0</v>
      </c>
      <c r="K71" s="7" t="s">
        <v>120</v>
      </c>
      <c r="L71" s="6"/>
    </row>
    <row r="72" ht="17.25" customHeight="1">
      <c r="A72" s="2">
        <v>1.0</v>
      </c>
      <c r="B72" s="3" t="s">
        <v>12</v>
      </c>
      <c r="C72" s="2">
        <v>1.0</v>
      </c>
      <c r="D72" s="3" t="s">
        <v>13</v>
      </c>
      <c r="E72" s="2">
        <v>5.0</v>
      </c>
      <c r="F72" s="3" t="s">
        <v>115</v>
      </c>
      <c r="G72" s="2">
        <v>1.0</v>
      </c>
      <c r="H72" s="7" t="s">
        <v>116</v>
      </c>
      <c r="I72" s="8" t="s">
        <v>117</v>
      </c>
      <c r="J72" s="2">
        <v>4.0</v>
      </c>
      <c r="K72" s="7" t="s">
        <v>121</v>
      </c>
      <c r="L72" s="6"/>
    </row>
    <row r="73" ht="17.25" customHeight="1">
      <c r="A73" s="2">
        <v>1.0</v>
      </c>
      <c r="B73" s="3" t="s">
        <v>12</v>
      </c>
      <c r="C73" s="2">
        <v>1.0</v>
      </c>
      <c r="D73" s="3" t="s">
        <v>13</v>
      </c>
      <c r="E73" s="2">
        <v>5.0</v>
      </c>
      <c r="F73" s="3" t="s">
        <v>115</v>
      </c>
      <c r="G73" s="2">
        <v>1.0</v>
      </c>
      <c r="H73" s="7" t="s">
        <v>116</v>
      </c>
      <c r="I73" s="8" t="s">
        <v>117</v>
      </c>
      <c r="J73" s="2">
        <v>5.0</v>
      </c>
      <c r="K73" s="7" t="s">
        <v>122</v>
      </c>
      <c r="L73" s="8"/>
    </row>
    <row r="74" ht="17.25" customHeight="1">
      <c r="A74" s="2">
        <v>1.0</v>
      </c>
      <c r="B74" s="3" t="s">
        <v>12</v>
      </c>
      <c r="C74" s="2">
        <v>1.0</v>
      </c>
      <c r="D74" s="3" t="s">
        <v>13</v>
      </c>
      <c r="E74" s="2">
        <v>5.0</v>
      </c>
      <c r="F74" s="3" t="s">
        <v>115</v>
      </c>
      <c r="G74" s="2">
        <v>1.0</v>
      </c>
      <c r="H74" s="7" t="s">
        <v>116</v>
      </c>
      <c r="I74" s="8" t="s">
        <v>117</v>
      </c>
      <c r="J74" s="2">
        <v>6.0</v>
      </c>
      <c r="K74" s="7" t="s">
        <v>123</v>
      </c>
      <c r="L74" s="8"/>
    </row>
    <row r="75" ht="17.25" customHeight="1">
      <c r="A75" s="2">
        <v>1.0</v>
      </c>
      <c r="B75" s="3" t="s">
        <v>12</v>
      </c>
      <c r="C75" s="2">
        <v>1.0</v>
      </c>
      <c r="D75" s="3" t="s">
        <v>13</v>
      </c>
      <c r="E75" s="2">
        <v>5.0</v>
      </c>
      <c r="F75" s="3" t="s">
        <v>115</v>
      </c>
      <c r="G75" s="2">
        <v>2.0</v>
      </c>
      <c r="H75" s="7" t="s">
        <v>124</v>
      </c>
      <c r="I75" s="8" t="s">
        <v>125</v>
      </c>
      <c r="J75" s="2">
        <v>1.0</v>
      </c>
      <c r="K75" s="7" t="s">
        <v>126</v>
      </c>
      <c r="L75" s="6"/>
    </row>
    <row r="76" ht="17.25" customHeight="1">
      <c r="A76" s="2">
        <v>1.0</v>
      </c>
      <c r="B76" s="3" t="s">
        <v>12</v>
      </c>
      <c r="C76" s="2">
        <v>1.0</v>
      </c>
      <c r="D76" s="3" t="s">
        <v>13</v>
      </c>
      <c r="E76" s="2">
        <v>5.0</v>
      </c>
      <c r="F76" s="3" t="s">
        <v>115</v>
      </c>
      <c r="G76" s="2">
        <v>2.0</v>
      </c>
      <c r="H76" s="7" t="s">
        <v>124</v>
      </c>
      <c r="I76" s="8" t="s">
        <v>125</v>
      </c>
      <c r="J76" s="2">
        <v>2.0</v>
      </c>
      <c r="K76" s="7" t="s">
        <v>127</v>
      </c>
      <c r="L76" s="6"/>
    </row>
    <row r="77" ht="17.25" customHeight="1">
      <c r="A77" s="2">
        <v>1.0</v>
      </c>
      <c r="B77" s="3" t="s">
        <v>12</v>
      </c>
      <c r="C77" s="2">
        <v>1.0</v>
      </c>
      <c r="D77" s="3" t="s">
        <v>13</v>
      </c>
      <c r="E77" s="2">
        <v>5.0</v>
      </c>
      <c r="F77" s="3" t="s">
        <v>115</v>
      </c>
      <c r="G77" s="2">
        <v>2.0</v>
      </c>
      <c r="H77" s="7" t="s">
        <v>124</v>
      </c>
      <c r="I77" s="8" t="s">
        <v>125</v>
      </c>
      <c r="J77" s="2">
        <v>3.0</v>
      </c>
      <c r="K77" s="7" t="s">
        <v>128</v>
      </c>
      <c r="L77" s="6"/>
    </row>
    <row r="78" ht="17.25" customHeight="1">
      <c r="A78" s="2">
        <v>1.0</v>
      </c>
      <c r="B78" s="3" t="s">
        <v>12</v>
      </c>
      <c r="C78" s="2">
        <v>1.0</v>
      </c>
      <c r="D78" s="3" t="s">
        <v>13</v>
      </c>
      <c r="E78" s="2">
        <v>5.0</v>
      </c>
      <c r="F78" s="3" t="s">
        <v>115</v>
      </c>
      <c r="G78" s="2">
        <v>3.0</v>
      </c>
      <c r="H78" s="3" t="s">
        <v>129</v>
      </c>
      <c r="I78" s="8" t="s">
        <v>130</v>
      </c>
      <c r="J78" s="2">
        <v>1.0</v>
      </c>
      <c r="K78" s="7" t="s">
        <v>131</v>
      </c>
      <c r="L78" s="6"/>
    </row>
    <row r="79" ht="17.25" customHeight="1">
      <c r="A79" s="2">
        <v>1.0</v>
      </c>
      <c r="B79" s="3" t="s">
        <v>12</v>
      </c>
      <c r="C79" s="2">
        <v>1.0</v>
      </c>
      <c r="D79" s="3" t="s">
        <v>13</v>
      </c>
      <c r="E79" s="2">
        <v>5.0</v>
      </c>
      <c r="F79" s="3" t="s">
        <v>115</v>
      </c>
      <c r="G79" s="2">
        <v>3.0</v>
      </c>
      <c r="H79" s="3" t="s">
        <v>129</v>
      </c>
      <c r="I79" s="8" t="s">
        <v>130</v>
      </c>
      <c r="J79" s="2">
        <v>2.0</v>
      </c>
      <c r="K79" s="7" t="s">
        <v>132</v>
      </c>
      <c r="L79" s="6"/>
    </row>
    <row r="80" ht="17.25" customHeight="1">
      <c r="A80" s="2">
        <v>1.0</v>
      </c>
      <c r="B80" s="3" t="s">
        <v>12</v>
      </c>
      <c r="C80" s="2">
        <v>1.0</v>
      </c>
      <c r="D80" s="3" t="s">
        <v>13</v>
      </c>
      <c r="E80" s="2">
        <v>5.0</v>
      </c>
      <c r="F80" s="3" t="s">
        <v>115</v>
      </c>
      <c r="G80" s="2">
        <v>3.0</v>
      </c>
      <c r="H80" s="3" t="s">
        <v>129</v>
      </c>
      <c r="I80" s="8" t="s">
        <v>130</v>
      </c>
      <c r="J80" s="2">
        <v>3.0</v>
      </c>
      <c r="K80" s="7" t="s">
        <v>133</v>
      </c>
      <c r="L80" s="8"/>
    </row>
    <row r="81" ht="17.25" customHeight="1">
      <c r="A81" s="2">
        <v>1.0</v>
      </c>
      <c r="B81" s="3" t="s">
        <v>12</v>
      </c>
      <c r="C81" s="2">
        <v>1.0</v>
      </c>
      <c r="D81" s="3" t="s">
        <v>13</v>
      </c>
      <c r="E81" s="2">
        <v>5.0</v>
      </c>
      <c r="F81" s="3" t="s">
        <v>115</v>
      </c>
      <c r="G81" s="2">
        <v>4.0</v>
      </c>
      <c r="H81" s="7" t="s">
        <v>134</v>
      </c>
      <c r="I81" s="6"/>
      <c r="J81" s="2">
        <v>1.0</v>
      </c>
      <c r="K81" s="7" t="s">
        <v>135</v>
      </c>
      <c r="L81" s="6"/>
    </row>
    <row r="82" ht="17.25" customHeight="1">
      <c r="A82" s="2">
        <v>1.0</v>
      </c>
      <c r="B82" s="3" t="s">
        <v>12</v>
      </c>
      <c r="C82" s="2">
        <v>1.0</v>
      </c>
      <c r="D82" s="3" t="s">
        <v>13</v>
      </c>
      <c r="E82" s="2">
        <v>5.0</v>
      </c>
      <c r="F82" s="3" t="s">
        <v>115</v>
      </c>
      <c r="G82" s="2">
        <v>4.0</v>
      </c>
      <c r="H82" s="7" t="s">
        <v>134</v>
      </c>
      <c r="I82" s="6"/>
      <c r="J82" s="2">
        <v>2.0</v>
      </c>
      <c r="K82" s="7" t="s">
        <v>136</v>
      </c>
      <c r="L82" s="6"/>
    </row>
    <row r="83" ht="17.25" customHeight="1">
      <c r="A83" s="2">
        <v>1.0</v>
      </c>
      <c r="B83" s="3" t="s">
        <v>12</v>
      </c>
      <c r="C83" s="2">
        <v>1.0</v>
      </c>
      <c r="D83" s="3" t="s">
        <v>13</v>
      </c>
      <c r="E83" s="2">
        <v>5.0</v>
      </c>
      <c r="F83" s="3" t="s">
        <v>115</v>
      </c>
      <c r="G83" s="2">
        <v>4.0</v>
      </c>
      <c r="H83" s="7" t="s">
        <v>134</v>
      </c>
      <c r="I83" s="6"/>
      <c r="J83" s="2">
        <v>3.0</v>
      </c>
      <c r="K83" s="7" t="s">
        <v>137</v>
      </c>
      <c r="L83" s="6"/>
    </row>
    <row r="84" ht="17.25" customHeight="1">
      <c r="A84" s="2">
        <v>1.0</v>
      </c>
      <c r="B84" s="3" t="s">
        <v>12</v>
      </c>
      <c r="C84" s="2">
        <v>1.0</v>
      </c>
      <c r="D84" s="3" t="s">
        <v>13</v>
      </c>
      <c r="E84" s="2">
        <v>5.0</v>
      </c>
      <c r="F84" s="3" t="s">
        <v>115</v>
      </c>
      <c r="G84" s="2">
        <v>4.0</v>
      </c>
      <c r="H84" s="7" t="s">
        <v>134</v>
      </c>
      <c r="I84" s="8"/>
      <c r="J84" s="2">
        <v>4.0</v>
      </c>
      <c r="K84" s="7" t="s">
        <v>138</v>
      </c>
      <c r="L84" s="8"/>
    </row>
    <row r="85">
      <c r="A85" s="2">
        <v>2.0</v>
      </c>
      <c r="B85" s="3" t="s">
        <v>139</v>
      </c>
      <c r="C85" s="2">
        <v>2.0</v>
      </c>
      <c r="D85" s="3" t="s">
        <v>140</v>
      </c>
      <c r="E85" s="2">
        <v>1.0</v>
      </c>
      <c r="F85" s="3" t="s">
        <v>141</v>
      </c>
      <c r="G85" s="2">
        <v>1.0</v>
      </c>
      <c r="H85" s="9" t="s">
        <v>142</v>
      </c>
      <c r="I85" s="8" t="s">
        <v>143</v>
      </c>
      <c r="J85" s="2">
        <v>1.0</v>
      </c>
      <c r="K85" s="9" t="s">
        <v>144</v>
      </c>
      <c r="L85" s="6"/>
    </row>
    <row r="86">
      <c r="A86" s="2">
        <v>2.0</v>
      </c>
      <c r="B86" s="3" t="s">
        <v>139</v>
      </c>
      <c r="C86" s="2">
        <v>2.0</v>
      </c>
      <c r="D86" s="3" t="s">
        <v>140</v>
      </c>
      <c r="E86" s="2">
        <v>1.0</v>
      </c>
      <c r="F86" s="3" t="s">
        <v>141</v>
      </c>
      <c r="G86" s="2">
        <v>1.0</v>
      </c>
      <c r="H86" s="9" t="s">
        <v>142</v>
      </c>
      <c r="I86" s="8" t="s">
        <v>143</v>
      </c>
      <c r="J86" s="2">
        <v>2.0</v>
      </c>
      <c r="K86" s="9" t="s">
        <v>145</v>
      </c>
      <c r="L86" s="6"/>
    </row>
    <row r="87">
      <c r="A87" s="2">
        <v>2.0</v>
      </c>
      <c r="B87" s="3" t="s">
        <v>139</v>
      </c>
      <c r="C87" s="2">
        <v>2.0</v>
      </c>
      <c r="D87" s="3" t="s">
        <v>140</v>
      </c>
      <c r="E87" s="2">
        <v>1.0</v>
      </c>
      <c r="F87" s="3" t="s">
        <v>141</v>
      </c>
      <c r="G87" s="2">
        <v>1.0</v>
      </c>
      <c r="H87" s="9" t="s">
        <v>142</v>
      </c>
      <c r="I87" s="8" t="s">
        <v>143</v>
      </c>
      <c r="J87" s="2">
        <v>3.0</v>
      </c>
      <c r="K87" s="9" t="s">
        <v>146</v>
      </c>
      <c r="L87" s="6"/>
    </row>
    <row r="88">
      <c r="A88" s="2">
        <v>2.0</v>
      </c>
      <c r="B88" s="3" t="s">
        <v>139</v>
      </c>
      <c r="C88" s="2">
        <v>2.0</v>
      </c>
      <c r="D88" s="3" t="s">
        <v>140</v>
      </c>
      <c r="E88" s="2">
        <v>2.0</v>
      </c>
      <c r="F88" s="3" t="s">
        <v>147</v>
      </c>
      <c r="G88" s="2">
        <v>1.0</v>
      </c>
      <c r="H88" s="9" t="s">
        <v>148</v>
      </c>
      <c r="I88" s="8" t="s">
        <v>149</v>
      </c>
      <c r="J88" s="2">
        <v>1.0</v>
      </c>
      <c r="K88" s="9" t="s">
        <v>150</v>
      </c>
      <c r="L88" s="6"/>
    </row>
    <row r="89">
      <c r="A89" s="2">
        <v>2.0</v>
      </c>
      <c r="B89" s="3" t="s">
        <v>139</v>
      </c>
      <c r="C89" s="2">
        <v>2.0</v>
      </c>
      <c r="D89" s="3" t="s">
        <v>140</v>
      </c>
      <c r="E89" s="2">
        <v>2.0</v>
      </c>
      <c r="F89" s="3" t="s">
        <v>147</v>
      </c>
      <c r="G89" s="2">
        <v>1.0</v>
      </c>
      <c r="H89" s="9" t="s">
        <v>148</v>
      </c>
      <c r="I89" s="8" t="s">
        <v>149</v>
      </c>
      <c r="J89" s="2">
        <v>2.0</v>
      </c>
      <c r="K89" s="9" t="s">
        <v>151</v>
      </c>
      <c r="L89" s="6"/>
    </row>
    <row r="90">
      <c r="A90" s="2">
        <v>2.0</v>
      </c>
      <c r="B90" s="3" t="s">
        <v>139</v>
      </c>
      <c r="C90" s="2">
        <v>2.0</v>
      </c>
      <c r="D90" s="3" t="s">
        <v>140</v>
      </c>
      <c r="E90" s="2">
        <v>2.0</v>
      </c>
      <c r="F90" s="3" t="s">
        <v>147</v>
      </c>
      <c r="G90" s="2">
        <v>1.0</v>
      </c>
      <c r="H90" s="9" t="s">
        <v>148</v>
      </c>
      <c r="I90" s="8" t="s">
        <v>149</v>
      </c>
      <c r="J90" s="2">
        <v>3.0</v>
      </c>
      <c r="K90" s="9" t="s">
        <v>152</v>
      </c>
      <c r="L90" s="6"/>
    </row>
    <row r="91">
      <c r="A91" s="2">
        <v>2.0</v>
      </c>
      <c r="B91" s="3" t="s">
        <v>139</v>
      </c>
      <c r="C91" s="2">
        <v>2.0</v>
      </c>
      <c r="D91" s="3" t="s">
        <v>140</v>
      </c>
      <c r="E91" s="2">
        <v>2.0</v>
      </c>
      <c r="F91" s="3" t="s">
        <v>147</v>
      </c>
      <c r="G91" s="2">
        <v>1.0</v>
      </c>
      <c r="H91" s="9" t="s">
        <v>148</v>
      </c>
      <c r="I91" s="8" t="s">
        <v>149</v>
      </c>
      <c r="J91" s="2">
        <v>4.0</v>
      </c>
      <c r="K91" s="9" t="s">
        <v>153</v>
      </c>
      <c r="L91" s="6"/>
    </row>
    <row r="92">
      <c r="A92" s="2">
        <v>2.0</v>
      </c>
      <c r="B92" s="3" t="s">
        <v>139</v>
      </c>
      <c r="C92" s="2">
        <v>2.0</v>
      </c>
      <c r="D92" s="3" t="s">
        <v>140</v>
      </c>
      <c r="E92" s="2">
        <v>2.0</v>
      </c>
      <c r="F92" s="3" t="s">
        <v>147</v>
      </c>
      <c r="G92" s="2">
        <v>2.0</v>
      </c>
      <c r="H92" s="9" t="s">
        <v>154</v>
      </c>
      <c r="I92" s="8" t="s">
        <v>155</v>
      </c>
      <c r="J92" s="2">
        <v>1.0</v>
      </c>
      <c r="K92" s="9" t="s">
        <v>156</v>
      </c>
      <c r="L92" s="6"/>
    </row>
    <row r="93">
      <c r="A93" s="2">
        <v>2.0</v>
      </c>
      <c r="B93" s="3" t="s">
        <v>139</v>
      </c>
      <c r="C93" s="2">
        <v>2.0</v>
      </c>
      <c r="D93" s="3" t="s">
        <v>140</v>
      </c>
      <c r="E93" s="2">
        <v>2.0</v>
      </c>
      <c r="F93" s="3" t="s">
        <v>147</v>
      </c>
      <c r="G93" s="2">
        <v>2.0</v>
      </c>
      <c r="H93" s="9" t="s">
        <v>154</v>
      </c>
      <c r="I93" s="8" t="s">
        <v>155</v>
      </c>
      <c r="J93" s="2">
        <v>2.0</v>
      </c>
      <c r="K93" s="9" t="s">
        <v>157</v>
      </c>
      <c r="L93" s="6"/>
    </row>
    <row r="94">
      <c r="A94" s="2">
        <v>2.0</v>
      </c>
      <c r="B94" s="3" t="s">
        <v>139</v>
      </c>
      <c r="C94" s="2">
        <v>2.0</v>
      </c>
      <c r="D94" s="3" t="s">
        <v>140</v>
      </c>
      <c r="E94" s="2">
        <v>2.0</v>
      </c>
      <c r="F94" s="3" t="s">
        <v>147</v>
      </c>
      <c r="G94" s="2">
        <v>2.0</v>
      </c>
      <c r="H94" s="9" t="s">
        <v>154</v>
      </c>
      <c r="I94" s="8" t="s">
        <v>155</v>
      </c>
      <c r="J94" s="2">
        <v>3.0</v>
      </c>
      <c r="K94" s="9" t="s">
        <v>158</v>
      </c>
      <c r="L94" s="6"/>
    </row>
    <row r="95">
      <c r="A95" s="2">
        <v>2.0</v>
      </c>
      <c r="B95" s="3" t="s">
        <v>139</v>
      </c>
      <c r="C95" s="2">
        <v>2.0</v>
      </c>
      <c r="D95" s="3" t="s">
        <v>140</v>
      </c>
      <c r="E95" s="2">
        <v>2.0</v>
      </c>
      <c r="F95" s="3" t="s">
        <v>147</v>
      </c>
      <c r="G95" s="2">
        <v>2.0</v>
      </c>
      <c r="H95" s="9" t="s">
        <v>154</v>
      </c>
      <c r="I95" s="8" t="s">
        <v>155</v>
      </c>
      <c r="J95" s="2">
        <v>4.0</v>
      </c>
      <c r="K95" s="9" t="s">
        <v>159</v>
      </c>
      <c r="L95" s="6"/>
    </row>
    <row r="96">
      <c r="A96" s="2">
        <v>2.0</v>
      </c>
      <c r="B96" s="3" t="s">
        <v>139</v>
      </c>
      <c r="C96" s="2">
        <v>2.0</v>
      </c>
      <c r="D96" s="3" t="s">
        <v>140</v>
      </c>
      <c r="E96" s="2">
        <v>2.0</v>
      </c>
      <c r="F96" s="3" t="s">
        <v>147</v>
      </c>
      <c r="G96" s="2">
        <v>2.0</v>
      </c>
      <c r="H96" s="9" t="s">
        <v>154</v>
      </c>
      <c r="I96" s="8" t="s">
        <v>155</v>
      </c>
      <c r="J96" s="10">
        <v>5.0</v>
      </c>
      <c r="K96" s="11" t="s">
        <v>160</v>
      </c>
      <c r="L96" s="8"/>
    </row>
    <row r="97">
      <c r="A97" s="2">
        <v>2.0</v>
      </c>
      <c r="B97" s="3" t="s">
        <v>139</v>
      </c>
      <c r="C97" s="2">
        <v>2.0</v>
      </c>
      <c r="D97" s="3" t="s">
        <v>140</v>
      </c>
      <c r="E97" s="2">
        <v>2.0</v>
      </c>
      <c r="F97" s="3" t="s">
        <v>147</v>
      </c>
      <c r="G97" s="2">
        <v>3.0</v>
      </c>
      <c r="H97" s="9" t="s">
        <v>161</v>
      </c>
      <c r="I97" s="8" t="s">
        <v>162</v>
      </c>
      <c r="J97" s="2">
        <v>1.0</v>
      </c>
      <c r="K97" s="9" t="s">
        <v>163</v>
      </c>
      <c r="L97" s="6"/>
    </row>
    <row r="98">
      <c r="A98" s="2">
        <v>2.0</v>
      </c>
      <c r="B98" s="3" t="s">
        <v>139</v>
      </c>
      <c r="C98" s="2">
        <v>2.0</v>
      </c>
      <c r="D98" s="3" t="s">
        <v>140</v>
      </c>
      <c r="E98" s="2">
        <v>2.0</v>
      </c>
      <c r="F98" s="3" t="s">
        <v>147</v>
      </c>
      <c r="G98" s="2">
        <v>3.0</v>
      </c>
      <c r="H98" s="9" t="s">
        <v>161</v>
      </c>
      <c r="I98" s="8" t="s">
        <v>162</v>
      </c>
      <c r="J98" s="2">
        <v>2.0</v>
      </c>
      <c r="K98" s="9" t="s">
        <v>164</v>
      </c>
      <c r="L98" s="6"/>
    </row>
    <row r="99">
      <c r="A99" s="2">
        <v>2.0</v>
      </c>
      <c r="B99" s="3" t="s">
        <v>139</v>
      </c>
      <c r="C99" s="2">
        <v>2.0</v>
      </c>
      <c r="D99" s="3" t="s">
        <v>140</v>
      </c>
      <c r="E99" s="2">
        <v>2.0</v>
      </c>
      <c r="F99" s="3" t="s">
        <v>147</v>
      </c>
      <c r="G99" s="2">
        <v>3.0</v>
      </c>
      <c r="H99" s="9" t="s">
        <v>161</v>
      </c>
      <c r="I99" s="8" t="s">
        <v>162</v>
      </c>
      <c r="J99" s="2">
        <v>3.0</v>
      </c>
      <c r="K99" s="9" t="s">
        <v>165</v>
      </c>
      <c r="L99" s="6"/>
    </row>
    <row r="100">
      <c r="A100" s="2">
        <v>2.0</v>
      </c>
      <c r="B100" s="3" t="s">
        <v>139</v>
      </c>
      <c r="C100" s="2">
        <v>2.0</v>
      </c>
      <c r="D100" s="3" t="s">
        <v>140</v>
      </c>
      <c r="E100" s="2">
        <v>2.0</v>
      </c>
      <c r="F100" s="3" t="s">
        <v>147</v>
      </c>
      <c r="G100" s="2">
        <v>4.0</v>
      </c>
      <c r="H100" s="9" t="s">
        <v>166</v>
      </c>
      <c r="I100" s="8" t="s">
        <v>167</v>
      </c>
      <c r="J100" s="2">
        <v>1.0</v>
      </c>
      <c r="K100" s="9" t="s">
        <v>168</v>
      </c>
      <c r="L100" s="6"/>
    </row>
    <row r="101">
      <c r="A101" s="2">
        <v>2.0</v>
      </c>
      <c r="B101" s="3" t="s">
        <v>139</v>
      </c>
      <c r="C101" s="2">
        <v>2.0</v>
      </c>
      <c r="D101" s="3" t="s">
        <v>140</v>
      </c>
      <c r="E101" s="2">
        <v>2.0</v>
      </c>
      <c r="F101" s="3" t="s">
        <v>147</v>
      </c>
      <c r="G101" s="2">
        <v>4.0</v>
      </c>
      <c r="H101" s="9" t="s">
        <v>166</v>
      </c>
      <c r="I101" s="8" t="s">
        <v>167</v>
      </c>
      <c r="J101" s="2">
        <v>2.0</v>
      </c>
      <c r="K101" s="9" t="s">
        <v>169</v>
      </c>
      <c r="L101" s="6"/>
    </row>
    <row r="102">
      <c r="A102" s="2">
        <v>2.0</v>
      </c>
      <c r="B102" s="3" t="s">
        <v>139</v>
      </c>
      <c r="C102" s="2">
        <v>2.0</v>
      </c>
      <c r="D102" s="3" t="s">
        <v>140</v>
      </c>
      <c r="E102" s="2">
        <v>2.0</v>
      </c>
      <c r="F102" s="3" t="s">
        <v>147</v>
      </c>
      <c r="G102" s="2">
        <v>4.0</v>
      </c>
      <c r="H102" s="9" t="s">
        <v>166</v>
      </c>
      <c r="I102" s="8" t="s">
        <v>167</v>
      </c>
      <c r="J102" s="2">
        <v>3.0</v>
      </c>
      <c r="K102" s="9" t="s">
        <v>170</v>
      </c>
      <c r="L102" s="8"/>
    </row>
    <row r="103">
      <c r="A103" s="2">
        <v>2.0</v>
      </c>
      <c r="B103" s="3" t="s">
        <v>139</v>
      </c>
      <c r="C103" s="2">
        <v>2.0</v>
      </c>
      <c r="D103" s="3" t="s">
        <v>140</v>
      </c>
      <c r="E103" s="2">
        <v>2.0</v>
      </c>
      <c r="F103" s="3" t="s">
        <v>147</v>
      </c>
      <c r="G103" s="2">
        <v>4.0</v>
      </c>
      <c r="H103" s="9" t="s">
        <v>166</v>
      </c>
      <c r="I103" s="8" t="s">
        <v>167</v>
      </c>
      <c r="J103" s="2">
        <v>4.0</v>
      </c>
      <c r="K103" s="9" t="s">
        <v>171</v>
      </c>
      <c r="L103" s="8"/>
    </row>
    <row r="104">
      <c r="A104" s="2">
        <v>2.0</v>
      </c>
      <c r="B104" s="3" t="s">
        <v>139</v>
      </c>
      <c r="C104" s="2">
        <v>2.0</v>
      </c>
      <c r="D104" s="3" t="s">
        <v>140</v>
      </c>
      <c r="E104" s="2">
        <v>2.0</v>
      </c>
      <c r="F104" s="3" t="s">
        <v>147</v>
      </c>
      <c r="G104" s="2">
        <v>5.0</v>
      </c>
      <c r="H104" s="9" t="s">
        <v>172</v>
      </c>
      <c r="I104" s="8" t="s">
        <v>173</v>
      </c>
      <c r="J104" s="2">
        <v>1.0</v>
      </c>
      <c r="K104" s="9" t="s">
        <v>174</v>
      </c>
      <c r="L104" s="6"/>
    </row>
    <row r="105">
      <c r="A105" s="2">
        <v>2.0</v>
      </c>
      <c r="B105" s="3" t="s">
        <v>139</v>
      </c>
      <c r="C105" s="2">
        <v>2.0</v>
      </c>
      <c r="D105" s="3" t="s">
        <v>140</v>
      </c>
      <c r="E105" s="2">
        <v>2.0</v>
      </c>
      <c r="F105" s="3" t="s">
        <v>147</v>
      </c>
      <c r="G105" s="2">
        <v>5.0</v>
      </c>
      <c r="H105" s="9" t="s">
        <v>172</v>
      </c>
      <c r="I105" s="8" t="s">
        <v>173</v>
      </c>
      <c r="J105" s="2">
        <v>2.0</v>
      </c>
      <c r="K105" s="9" t="s">
        <v>175</v>
      </c>
      <c r="L105" s="6"/>
    </row>
    <row r="106">
      <c r="A106" s="2">
        <v>2.0</v>
      </c>
      <c r="B106" s="3" t="s">
        <v>139</v>
      </c>
      <c r="C106" s="2">
        <v>2.0</v>
      </c>
      <c r="D106" s="3" t="s">
        <v>140</v>
      </c>
      <c r="E106" s="2">
        <v>2.0</v>
      </c>
      <c r="F106" s="3" t="s">
        <v>147</v>
      </c>
      <c r="G106" s="2">
        <v>5.0</v>
      </c>
      <c r="H106" s="9" t="s">
        <v>172</v>
      </c>
      <c r="I106" s="8" t="s">
        <v>173</v>
      </c>
      <c r="J106" s="2">
        <v>3.0</v>
      </c>
      <c r="K106" s="9" t="s">
        <v>176</v>
      </c>
      <c r="L106" s="6"/>
    </row>
    <row r="107">
      <c r="A107" s="2">
        <v>2.0</v>
      </c>
      <c r="B107" s="3" t="s">
        <v>139</v>
      </c>
      <c r="C107" s="2">
        <v>2.0</v>
      </c>
      <c r="D107" s="3" t="s">
        <v>140</v>
      </c>
      <c r="E107" s="2">
        <v>3.0</v>
      </c>
      <c r="F107" s="3" t="s">
        <v>177</v>
      </c>
      <c r="G107" s="2">
        <v>1.0</v>
      </c>
      <c r="H107" s="9" t="s">
        <v>178</v>
      </c>
      <c r="I107" s="8" t="s">
        <v>179</v>
      </c>
      <c r="J107" s="2">
        <v>1.0</v>
      </c>
      <c r="K107" s="9" t="s">
        <v>180</v>
      </c>
      <c r="L107" s="6"/>
    </row>
    <row r="108">
      <c r="A108" s="2">
        <v>2.0</v>
      </c>
      <c r="B108" s="3" t="s">
        <v>139</v>
      </c>
      <c r="C108" s="2">
        <v>2.0</v>
      </c>
      <c r="D108" s="3" t="s">
        <v>140</v>
      </c>
      <c r="E108" s="2">
        <v>3.0</v>
      </c>
      <c r="F108" s="3" t="s">
        <v>177</v>
      </c>
      <c r="G108" s="2">
        <v>1.0</v>
      </c>
      <c r="H108" s="9" t="s">
        <v>178</v>
      </c>
      <c r="I108" s="8" t="s">
        <v>179</v>
      </c>
      <c r="J108" s="2">
        <v>2.0</v>
      </c>
      <c r="K108" s="9" t="s">
        <v>181</v>
      </c>
      <c r="L108" s="6"/>
    </row>
    <row r="109">
      <c r="A109" s="2">
        <v>2.0</v>
      </c>
      <c r="B109" s="3" t="s">
        <v>139</v>
      </c>
      <c r="C109" s="2">
        <v>2.0</v>
      </c>
      <c r="D109" s="3" t="s">
        <v>140</v>
      </c>
      <c r="E109" s="2">
        <v>3.0</v>
      </c>
      <c r="F109" s="3" t="s">
        <v>177</v>
      </c>
      <c r="G109" s="2">
        <v>2.0</v>
      </c>
      <c r="H109" s="9" t="s">
        <v>182</v>
      </c>
      <c r="I109" s="8" t="s">
        <v>183</v>
      </c>
      <c r="J109" s="2">
        <v>1.0</v>
      </c>
      <c r="K109" s="9" t="s">
        <v>184</v>
      </c>
      <c r="L109" s="6"/>
    </row>
    <row r="110">
      <c r="A110" s="2">
        <v>2.0</v>
      </c>
      <c r="B110" s="3" t="s">
        <v>139</v>
      </c>
      <c r="C110" s="2">
        <v>2.0</v>
      </c>
      <c r="D110" s="3" t="s">
        <v>140</v>
      </c>
      <c r="E110" s="2">
        <v>3.0</v>
      </c>
      <c r="F110" s="3" t="s">
        <v>177</v>
      </c>
      <c r="G110" s="2">
        <v>2.0</v>
      </c>
      <c r="H110" s="9" t="s">
        <v>182</v>
      </c>
      <c r="I110" s="8" t="s">
        <v>183</v>
      </c>
      <c r="J110" s="2">
        <v>2.0</v>
      </c>
      <c r="K110" s="9" t="s">
        <v>185</v>
      </c>
      <c r="L110" s="6"/>
    </row>
    <row r="111">
      <c r="A111" s="2">
        <v>2.0</v>
      </c>
      <c r="B111" s="3" t="s">
        <v>139</v>
      </c>
      <c r="C111" s="2">
        <v>2.0</v>
      </c>
      <c r="D111" s="3" t="s">
        <v>140</v>
      </c>
      <c r="E111" s="2">
        <v>4.0</v>
      </c>
      <c r="F111" s="3" t="s">
        <v>186</v>
      </c>
      <c r="G111" s="2">
        <v>1.0</v>
      </c>
      <c r="H111" s="9" t="s">
        <v>187</v>
      </c>
      <c r="I111" s="8" t="s">
        <v>188</v>
      </c>
      <c r="J111" s="12">
        <v>1.0</v>
      </c>
      <c r="K111" s="9" t="s">
        <v>189</v>
      </c>
      <c r="L111" s="6"/>
    </row>
    <row r="112">
      <c r="A112" s="2">
        <v>2.0</v>
      </c>
      <c r="B112" s="3" t="s">
        <v>139</v>
      </c>
      <c r="C112" s="2">
        <v>2.0</v>
      </c>
      <c r="D112" s="3" t="s">
        <v>140</v>
      </c>
      <c r="E112" s="2">
        <v>4.0</v>
      </c>
      <c r="F112" s="3" t="s">
        <v>186</v>
      </c>
      <c r="G112" s="2">
        <v>1.0</v>
      </c>
      <c r="H112" s="9" t="s">
        <v>187</v>
      </c>
      <c r="I112" s="8" t="s">
        <v>188</v>
      </c>
      <c r="J112" s="12">
        <v>2.0</v>
      </c>
      <c r="K112" s="9" t="s">
        <v>190</v>
      </c>
      <c r="L112" s="6"/>
    </row>
    <row r="113">
      <c r="A113" s="2">
        <v>2.0</v>
      </c>
      <c r="B113" s="3" t="s">
        <v>139</v>
      </c>
      <c r="C113" s="2">
        <v>2.0</v>
      </c>
      <c r="D113" s="3" t="s">
        <v>140</v>
      </c>
      <c r="E113" s="2">
        <v>4.0</v>
      </c>
      <c r="F113" s="3" t="s">
        <v>186</v>
      </c>
      <c r="G113" s="2">
        <v>2.0</v>
      </c>
      <c r="H113" s="9" t="s">
        <v>191</v>
      </c>
      <c r="I113" s="8" t="s">
        <v>192</v>
      </c>
      <c r="J113" s="12">
        <v>1.0</v>
      </c>
      <c r="K113" s="9" t="s">
        <v>193</v>
      </c>
      <c r="L113" s="6"/>
    </row>
    <row r="114">
      <c r="A114" s="2">
        <v>2.0</v>
      </c>
      <c r="B114" s="3" t="s">
        <v>139</v>
      </c>
      <c r="C114" s="2">
        <v>2.0</v>
      </c>
      <c r="D114" s="3" t="s">
        <v>140</v>
      </c>
      <c r="E114" s="2">
        <v>5.0</v>
      </c>
      <c r="F114" s="3" t="s">
        <v>194</v>
      </c>
      <c r="G114" s="2">
        <v>1.0</v>
      </c>
      <c r="H114" s="9" t="s">
        <v>195</v>
      </c>
      <c r="I114" s="8" t="s">
        <v>196</v>
      </c>
      <c r="J114" s="12">
        <v>1.0</v>
      </c>
      <c r="K114" s="9" t="s">
        <v>197</v>
      </c>
      <c r="L114" s="6"/>
    </row>
    <row r="115">
      <c r="A115" s="2">
        <v>2.0</v>
      </c>
      <c r="B115" s="3" t="s">
        <v>139</v>
      </c>
      <c r="C115" s="2">
        <v>2.0</v>
      </c>
      <c r="D115" s="3" t="s">
        <v>140</v>
      </c>
      <c r="E115" s="2">
        <v>5.0</v>
      </c>
      <c r="F115" s="3" t="s">
        <v>194</v>
      </c>
      <c r="G115" s="2">
        <v>1.0</v>
      </c>
      <c r="H115" s="9" t="s">
        <v>195</v>
      </c>
      <c r="I115" s="8" t="s">
        <v>196</v>
      </c>
      <c r="J115" s="12">
        <v>2.0</v>
      </c>
      <c r="K115" s="9" t="s">
        <v>198</v>
      </c>
      <c r="L115" s="6"/>
    </row>
    <row r="116">
      <c r="A116" s="2">
        <v>2.0</v>
      </c>
      <c r="B116" s="3" t="s">
        <v>139</v>
      </c>
      <c r="C116" s="2">
        <v>2.0</v>
      </c>
      <c r="D116" s="3" t="s">
        <v>140</v>
      </c>
      <c r="E116" s="2">
        <v>5.0</v>
      </c>
      <c r="F116" s="3" t="s">
        <v>194</v>
      </c>
      <c r="G116" s="2">
        <v>1.0</v>
      </c>
      <c r="H116" s="9" t="s">
        <v>195</v>
      </c>
      <c r="I116" s="8" t="s">
        <v>196</v>
      </c>
      <c r="J116" s="12">
        <v>3.0</v>
      </c>
      <c r="K116" s="9" t="s">
        <v>199</v>
      </c>
      <c r="L116" s="6"/>
    </row>
    <row r="117">
      <c r="A117" s="2">
        <v>2.0</v>
      </c>
      <c r="B117" s="3" t="s">
        <v>139</v>
      </c>
      <c r="C117" s="2">
        <v>2.0</v>
      </c>
      <c r="D117" s="3" t="s">
        <v>140</v>
      </c>
      <c r="E117" s="2">
        <v>5.0</v>
      </c>
      <c r="F117" s="3" t="s">
        <v>194</v>
      </c>
      <c r="G117" s="2">
        <v>1.0</v>
      </c>
      <c r="H117" s="9" t="s">
        <v>195</v>
      </c>
      <c r="I117" s="8" t="s">
        <v>196</v>
      </c>
      <c r="J117" s="12">
        <v>4.0</v>
      </c>
      <c r="K117" s="9" t="s">
        <v>200</v>
      </c>
      <c r="L117" s="6"/>
    </row>
    <row r="118">
      <c r="A118" s="2">
        <v>2.0</v>
      </c>
      <c r="B118" s="3" t="s">
        <v>139</v>
      </c>
      <c r="C118" s="2">
        <v>2.0</v>
      </c>
      <c r="D118" s="3" t="s">
        <v>140</v>
      </c>
      <c r="E118" s="2">
        <v>5.0</v>
      </c>
      <c r="F118" s="3" t="s">
        <v>194</v>
      </c>
      <c r="G118" s="2">
        <v>2.0</v>
      </c>
      <c r="H118" s="9" t="s">
        <v>201</v>
      </c>
      <c r="I118" s="8" t="s">
        <v>202</v>
      </c>
      <c r="J118" s="12">
        <v>1.0</v>
      </c>
      <c r="K118" s="9" t="s">
        <v>203</v>
      </c>
      <c r="L118" s="6"/>
    </row>
    <row r="119">
      <c r="A119" s="2">
        <v>2.0</v>
      </c>
      <c r="B119" s="3" t="s">
        <v>139</v>
      </c>
      <c r="C119" s="2">
        <v>2.0</v>
      </c>
      <c r="D119" s="3" t="s">
        <v>140</v>
      </c>
      <c r="E119" s="2">
        <v>5.0</v>
      </c>
      <c r="F119" s="3" t="s">
        <v>194</v>
      </c>
      <c r="G119" s="2">
        <v>2.0</v>
      </c>
      <c r="H119" s="9" t="s">
        <v>201</v>
      </c>
      <c r="I119" s="8" t="s">
        <v>202</v>
      </c>
      <c r="J119" s="12">
        <v>2.0</v>
      </c>
      <c r="K119" s="9" t="s">
        <v>204</v>
      </c>
      <c r="L119" s="6"/>
    </row>
    <row r="120">
      <c r="A120" s="2">
        <v>2.0</v>
      </c>
      <c r="B120" s="3" t="s">
        <v>139</v>
      </c>
      <c r="C120" s="2">
        <v>2.0</v>
      </c>
      <c r="D120" s="3" t="s">
        <v>140</v>
      </c>
      <c r="E120" s="2">
        <v>5.0</v>
      </c>
      <c r="F120" s="3" t="s">
        <v>194</v>
      </c>
      <c r="G120" s="2">
        <v>3.0</v>
      </c>
      <c r="H120" s="9" t="s">
        <v>205</v>
      </c>
      <c r="I120" s="8" t="s">
        <v>206</v>
      </c>
      <c r="J120" s="12">
        <v>1.0</v>
      </c>
      <c r="K120" s="9" t="s">
        <v>207</v>
      </c>
      <c r="L120" s="6"/>
    </row>
    <row r="121">
      <c r="A121" s="2">
        <v>2.0</v>
      </c>
      <c r="B121" s="3" t="s">
        <v>139</v>
      </c>
      <c r="C121" s="2">
        <v>2.0</v>
      </c>
      <c r="D121" s="3" t="s">
        <v>140</v>
      </c>
      <c r="E121" s="2">
        <v>5.0</v>
      </c>
      <c r="F121" s="3" t="s">
        <v>194</v>
      </c>
      <c r="G121" s="2">
        <v>3.0</v>
      </c>
      <c r="H121" s="9" t="s">
        <v>205</v>
      </c>
      <c r="I121" s="8" t="s">
        <v>206</v>
      </c>
      <c r="J121" s="12">
        <v>2.0</v>
      </c>
      <c r="K121" s="9" t="s">
        <v>208</v>
      </c>
      <c r="L121" s="6"/>
    </row>
    <row r="122">
      <c r="A122" s="2">
        <v>2.0</v>
      </c>
      <c r="B122" s="3" t="s">
        <v>139</v>
      </c>
      <c r="C122" s="2">
        <v>2.0</v>
      </c>
      <c r="D122" s="3" t="s">
        <v>140</v>
      </c>
      <c r="E122" s="2">
        <v>5.0</v>
      </c>
      <c r="F122" s="3" t="s">
        <v>194</v>
      </c>
      <c r="G122" s="2">
        <v>3.0</v>
      </c>
      <c r="H122" s="9" t="s">
        <v>205</v>
      </c>
      <c r="I122" s="8" t="s">
        <v>206</v>
      </c>
      <c r="J122" s="12">
        <v>3.0</v>
      </c>
      <c r="K122" s="9" t="s">
        <v>209</v>
      </c>
      <c r="L122" s="6"/>
    </row>
    <row r="123">
      <c r="A123" s="2">
        <v>2.0</v>
      </c>
      <c r="B123" s="3" t="s">
        <v>139</v>
      </c>
      <c r="C123" s="2">
        <v>2.0</v>
      </c>
      <c r="D123" s="3" t="s">
        <v>140</v>
      </c>
      <c r="E123" s="2">
        <v>5.0</v>
      </c>
      <c r="F123" s="3" t="s">
        <v>194</v>
      </c>
      <c r="G123" s="2">
        <v>4.0</v>
      </c>
      <c r="H123" s="9" t="s">
        <v>210</v>
      </c>
      <c r="I123" s="8" t="s">
        <v>211</v>
      </c>
      <c r="J123" s="12">
        <v>1.0</v>
      </c>
      <c r="K123" s="9" t="s">
        <v>212</v>
      </c>
      <c r="L123" s="6"/>
    </row>
    <row r="124">
      <c r="A124" s="2">
        <v>2.0</v>
      </c>
      <c r="B124" s="3" t="s">
        <v>139</v>
      </c>
      <c r="C124" s="2">
        <v>2.0</v>
      </c>
      <c r="D124" s="3" t="s">
        <v>140</v>
      </c>
      <c r="E124" s="2">
        <v>5.0</v>
      </c>
      <c r="F124" s="3" t="s">
        <v>194</v>
      </c>
      <c r="G124" s="2">
        <v>4.0</v>
      </c>
      <c r="H124" s="9" t="s">
        <v>210</v>
      </c>
      <c r="I124" s="8" t="s">
        <v>211</v>
      </c>
      <c r="J124" s="12">
        <v>2.0</v>
      </c>
      <c r="K124" s="9" t="s">
        <v>213</v>
      </c>
      <c r="L124" s="6"/>
    </row>
    <row r="125">
      <c r="A125" s="2">
        <v>2.0</v>
      </c>
      <c r="B125" s="3" t="s">
        <v>139</v>
      </c>
      <c r="C125" s="2">
        <v>2.0</v>
      </c>
      <c r="D125" s="3" t="s">
        <v>140</v>
      </c>
      <c r="E125" s="2">
        <v>5.0</v>
      </c>
      <c r="F125" s="3" t="s">
        <v>194</v>
      </c>
      <c r="G125" s="2">
        <v>4.0</v>
      </c>
      <c r="H125" s="9" t="s">
        <v>210</v>
      </c>
      <c r="I125" s="8" t="s">
        <v>211</v>
      </c>
      <c r="J125" s="12">
        <v>3.0</v>
      </c>
      <c r="K125" s="9" t="s">
        <v>214</v>
      </c>
      <c r="L125" s="6"/>
    </row>
    <row r="126">
      <c r="A126" s="2">
        <v>2.0</v>
      </c>
      <c r="B126" s="3" t="s">
        <v>139</v>
      </c>
      <c r="C126" s="2">
        <v>2.0</v>
      </c>
      <c r="D126" s="3" t="s">
        <v>140</v>
      </c>
      <c r="E126" s="2">
        <v>5.0</v>
      </c>
      <c r="F126" s="3" t="s">
        <v>194</v>
      </c>
      <c r="G126" s="2">
        <v>5.0</v>
      </c>
      <c r="H126" s="9" t="s">
        <v>215</v>
      </c>
      <c r="I126" s="8" t="s">
        <v>216</v>
      </c>
      <c r="J126" s="12">
        <v>1.0</v>
      </c>
      <c r="K126" s="9" t="s">
        <v>217</v>
      </c>
      <c r="L126" s="6"/>
    </row>
    <row r="127">
      <c r="A127" s="2">
        <v>2.0</v>
      </c>
      <c r="B127" s="3" t="s">
        <v>139</v>
      </c>
      <c r="C127" s="2">
        <v>2.0</v>
      </c>
      <c r="D127" s="3" t="s">
        <v>140</v>
      </c>
      <c r="E127" s="2">
        <v>5.0</v>
      </c>
      <c r="F127" s="3" t="s">
        <v>194</v>
      </c>
      <c r="G127" s="2">
        <v>5.0</v>
      </c>
      <c r="H127" s="9" t="s">
        <v>215</v>
      </c>
      <c r="I127" s="8" t="s">
        <v>216</v>
      </c>
      <c r="J127" s="12">
        <v>2.0</v>
      </c>
      <c r="K127" s="9" t="s">
        <v>218</v>
      </c>
      <c r="L127" s="8"/>
    </row>
    <row r="128">
      <c r="A128" s="2">
        <v>2.0</v>
      </c>
      <c r="B128" s="3" t="s">
        <v>139</v>
      </c>
      <c r="C128" s="2">
        <v>2.0</v>
      </c>
      <c r="D128" s="3" t="s">
        <v>140</v>
      </c>
      <c r="E128" s="2">
        <v>6.0</v>
      </c>
      <c r="F128" s="3" t="s">
        <v>219</v>
      </c>
      <c r="G128" s="2">
        <v>1.0</v>
      </c>
      <c r="H128" s="9" t="s">
        <v>220</v>
      </c>
      <c r="I128" s="8" t="s">
        <v>221</v>
      </c>
      <c r="J128" s="12">
        <v>1.0</v>
      </c>
      <c r="K128" s="9" t="s">
        <v>222</v>
      </c>
      <c r="L128" s="6"/>
    </row>
    <row r="129">
      <c r="A129" s="2">
        <v>2.0</v>
      </c>
      <c r="B129" s="3" t="s">
        <v>139</v>
      </c>
      <c r="C129" s="2">
        <v>2.0</v>
      </c>
      <c r="D129" s="3" t="s">
        <v>140</v>
      </c>
      <c r="E129" s="2">
        <v>6.0</v>
      </c>
      <c r="F129" s="3" t="s">
        <v>219</v>
      </c>
      <c r="G129" s="2">
        <v>1.0</v>
      </c>
      <c r="H129" s="9" t="s">
        <v>220</v>
      </c>
      <c r="I129" s="8" t="s">
        <v>221</v>
      </c>
      <c r="J129" s="12">
        <v>2.0</v>
      </c>
      <c r="K129" s="9" t="s">
        <v>223</v>
      </c>
      <c r="L129" s="6"/>
    </row>
    <row r="130">
      <c r="A130" s="2">
        <v>2.0</v>
      </c>
      <c r="B130" s="3" t="s">
        <v>139</v>
      </c>
      <c r="C130" s="2">
        <v>2.0</v>
      </c>
      <c r="D130" s="3" t="s">
        <v>140</v>
      </c>
      <c r="E130" s="2">
        <v>6.0</v>
      </c>
      <c r="F130" s="3" t="s">
        <v>219</v>
      </c>
      <c r="G130" s="2">
        <v>2.0</v>
      </c>
      <c r="H130" s="9" t="s">
        <v>224</v>
      </c>
      <c r="I130" s="8" t="s">
        <v>225</v>
      </c>
      <c r="J130" s="12">
        <v>1.0</v>
      </c>
      <c r="K130" s="9" t="s">
        <v>226</v>
      </c>
      <c r="L130" s="6"/>
    </row>
    <row r="131">
      <c r="A131" s="2">
        <v>2.0</v>
      </c>
      <c r="B131" s="3" t="s">
        <v>139</v>
      </c>
      <c r="C131" s="2">
        <v>2.0</v>
      </c>
      <c r="D131" s="3" t="s">
        <v>140</v>
      </c>
      <c r="E131" s="2">
        <v>6.0</v>
      </c>
      <c r="F131" s="3" t="s">
        <v>219</v>
      </c>
      <c r="G131" s="2">
        <v>2.0</v>
      </c>
      <c r="H131" s="9" t="s">
        <v>224</v>
      </c>
      <c r="I131" s="8" t="s">
        <v>225</v>
      </c>
      <c r="J131" s="12">
        <v>2.0</v>
      </c>
      <c r="K131" s="9" t="s">
        <v>227</v>
      </c>
      <c r="L131" s="6"/>
    </row>
    <row r="132">
      <c r="A132" s="2">
        <v>2.0</v>
      </c>
      <c r="B132" s="3" t="s">
        <v>139</v>
      </c>
      <c r="C132" s="2">
        <v>2.0</v>
      </c>
      <c r="D132" s="3" t="s">
        <v>140</v>
      </c>
      <c r="E132" s="2">
        <v>6.0</v>
      </c>
      <c r="F132" s="3" t="s">
        <v>219</v>
      </c>
      <c r="G132" s="2">
        <v>2.0</v>
      </c>
      <c r="H132" s="9" t="s">
        <v>224</v>
      </c>
      <c r="I132" s="8" t="s">
        <v>225</v>
      </c>
      <c r="J132" s="12">
        <v>3.0</v>
      </c>
      <c r="K132" s="9" t="s">
        <v>228</v>
      </c>
      <c r="L132" s="6"/>
    </row>
    <row r="133">
      <c r="A133" s="2">
        <v>2.0</v>
      </c>
      <c r="B133" s="3" t="s">
        <v>139</v>
      </c>
      <c r="C133" s="2">
        <v>2.0</v>
      </c>
      <c r="D133" s="3" t="s">
        <v>140</v>
      </c>
      <c r="E133" s="2">
        <v>6.0</v>
      </c>
      <c r="F133" s="3" t="s">
        <v>219</v>
      </c>
      <c r="G133" s="2">
        <v>2.0</v>
      </c>
      <c r="H133" s="9" t="s">
        <v>224</v>
      </c>
      <c r="I133" s="8" t="s">
        <v>225</v>
      </c>
      <c r="J133" s="12">
        <v>4.0</v>
      </c>
      <c r="K133" s="9" t="s">
        <v>229</v>
      </c>
      <c r="L133" s="6"/>
    </row>
    <row r="134">
      <c r="A134" s="2">
        <v>2.0</v>
      </c>
      <c r="B134" s="3" t="s">
        <v>139</v>
      </c>
      <c r="C134" s="2">
        <v>2.0</v>
      </c>
      <c r="D134" s="3" t="s">
        <v>140</v>
      </c>
      <c r="E134" s="2">
        <v>6.0</v>
      </c>
      <c r="F134" s="3" t="s">
        <v>219</v>
      </c>
      <c r="G134" s="2">
        <v>2.0</v>
      </c>
      <c r="H134" s="9" t="s">
        <v>224</v>
      </c>
      <c r="I134" s="8" t="s">
        <v>225</v>
      </c>
      <c r="J134" s="12">
        <v>5.0</v>
      </c>
      <c r="K134" s="9" t="s">
        <v>230</v>
      </c>
      <c r="L134" s="6"/>
    </row>
    <row r="135">
      <c r="A135" s="2">
        <v>2.0</v>
      </c>
      <c r="B135" s="3" t="s">
        <v>139</v>
      </c>
      <c r="C135" s="2">
        <v>2.0</v>
      </c>
      <c r="D135" s="3" t="s">
        <v>140</v>
      </c>
      <c r="E135" s="2">
        <v>6.0</v>
      </c>
      <c r="F135" s="3" t="s">
        <v>219</v>
      </c>
      <c r="G135" s="2">
        <v>2.0</v>
      </c>
      <c r="H135" s="9" t="s">
        <v>224</v>
      </c>
      <c r="I135" s="8" t="s">
        <v>225</v>
      </c>
      <c r="J135" s="2">
        <v>6.0</v>
      </c>
      <c r="K135" s="3" t="s">
        <v>231</v>
      </c>
      <c r="L135" s="8"/>
    </row>
    <row r="136">
      <c r="A136" s="2">
        <v>2.0</v>
      </c>
      <c r="B136" s="3" t="s">
        <v>139</v>
      </c>
      <c r="C136" s="2">
        <v>2.0</v>
      </c>
      <c r="D136" s="3" t="s">
        <v>140</v>
      </c>
      <c r="E136" s="2">
        <v>6.0</v>
      </c>
      <c r="F136" s="3" t="s">
        <v>219</v>
      </c>
      <c r="G136" s="2">
        <v>3.0</v>
      </c>
      <c r="H136" s="9" t="s">
        <v>232</v>
      </c>
      <c r="I136" s="8" t="s">
        <v>233</v>
      </c>
      <c r="J136" s="12">
        <v>1.0</v>
      </c>
      <c r="K136" s="9" t="s">
        <v>234</v>
      </c>
      <c r="L136" s="6"/>
    </row>
    <row r="137">
      <c r="A137" s="2">
        <v>2.0</v>
      </c>
      <c r="B137" s="3" t="s">
        <v>139</v>
      </c>
      <c r="C137" s="2">
        <v>2.0</v>
      </c>
      <c r="D137" s="3" t="s">
        <v>140</v>
      </c>
      <c r="E137" s="2">
        <v>6.0</v>
      </c>
      <c r="F137" s="3" t="s">
        <v>219</v>
      </c>
      <c r="G137" s="2">
        <v>3.0</v>
      </c>
      <c r="H137" s="9" t="s">
        <v>232</v>
      </c>
      <c r="I137" s="8" t="s">
        <v>233</v>
      </c>
      <c r="J137" s="12">
        <v>2.0</v>
      </c>
      <c r="K137" s="9" t="s">
        <v>235</v>
      </c>
      <c r="L137" s="6"/>
    </row>
    <row r="138">
      <c r="A138" s="2">
        <v>2.0</v>
      </c>
      <c r="B138" s="3" t="s">
        <v>139</v>
      </c>
      <c r="C138" s="2">
        <v>2.0</v>
      </c>
      <c r="D138" s="3" t="s">
        <v>140</v>
      </c>
      <c r="E138" s="2">
        <v>6.0</v>
      </c>
      <c r="F138" s="3" t="s">
        <v>219</v>
      </c>
      <c r="G138" s="2">
        <v>4.0</v>
      </c>
      <c r="H138" s="9" t="s">
        <v>236</v>
      </c>
      <c r="I138" s="8" t="s">
        <v>237</v>
      </c>
      <c r="J138" s="12">
        <v>1.0</v>
      </c>
      <c r="K138" s="9" t="s">
        <v>238</v>
      </c>
      <c r="L138" s="6"/>
    </row>
    <row r="139">
      <c r="A139" s="2">
        <v>2.0</v>
      </c>
      <c r="B139" s="3" t="s">
        <v>139</v>
      </c>
      <c r="C139" s="2">
        <v>2.0</v>
      </c>
      <c r="D139" s="3" t="s">
        <v>140</v>
      </c>
      <c r="E139" s="2">
        <v>6.0</v>
      </c>
      <c r="F139" s="3" t="s">
        <v>219</v>
      </c>
      <c r="G139" s="2">
        <v>4.0</v>
      </c>
      <c r="H139" s="9" t="s">
        <v>236</v>
      </c>
      <c r="I139" s="8" t="s">
        <v>237</v>
      </c>
      <c r="J139" s="12">
        <v>2.0</v>
      </c>
      <c r="K139" s="9" t="s">
        <v>239</v>
      </c>
      <c r="L139" s="6"/>
    </row>
    <row r="140">
      <c r="A140" s="2">
        <v>2.0</v>
      </c>
      <c r="B140" s="3" t="s">
        <v>139</v>
      </c>
      <c r="C140" s="2">
        <v>2.0</v>
      </c>
      <c r="D140" s="3" t="s">
        <v>140</v>
      </c>
      <c r="E140" s="2">
        <v>6.0</v>
      </c>
      <c r="F140" s="3" t="s">
        <v>219</v>
      </c>
      <c r="G140" s="2">
        <v>5.0</v>
      </c>
      <c r="H140" s="9" t="s">
        <v>240</v>
      </c>
      <c r="I140" s="8" t="s">
        <v>241</v>
      </c>
      <c r="J140" s="12">
        <v>1.0</v>
      </c>
      <c r="K140" s="9" t="s">
        <v>242</v>
      </c>
      <c r="L140" s="6"/>
    </row>
    <row r="141">
      <c r="A141" s="2">
        <v>2.0</v>
      </c>
      <c r="B141" s="3" t="s">
        <v>139</v>
      </c>
      <c r="C141" s="2">
        <v>2.0</v>
      </c>
      <c r="D141" s="3" t="s">
        <v>140</v>
      </c>
      <c r="E141" s="2">
        <v>7.0</v>
      </c>
      <c r="F141" s="3" t="s">
        <v>243</v>
      </c>
      <c r="G141" s="2">
        <v>1.0</v>
      </c>
      <c r="H141" s="9" t="s">
        <v>244</v>
      </c>
      <c r="I141" s="8" t="s">
        <v>245</v>
      </c>
      <c r="J141" s="12">
        <v>1.0</v>
      </c>
      <c r="K141" s="9" t="s">
        <v>246</v>
      </c>
      <c r="L141" s="6"/>
    </row>
    <row r="142">
      <c r="A142" s="2">
        <v>2.0</v>
      </c>
      <c r="B142" s="3" t="s">
        <v>139</v>
      </c>
      <c r="C142" s="2">
        <v>2.0</v>
      </c>
      <c r="D142" s="3" t="s">
        <v>140</v>
      </c>
      <c r="E142" s="2">
        <v>7.0</v>
      </c>
      <c r="F142" s="3" t="s">
        <v>243</v>
      </c>
      <c r="G142" s="2">
        <v>1.0</v>
      </c>
      <c r="H142" s="9" t="s">
        <v>244</v>
      </c>
      <c r="I142" s="8" t="s">
        <v>245</v>
      </c>
      <c r="J142" s="12">
        <v>2.0</v>
      </c>
      <c r="K142" s="9" t="s">
        <v>247</v>
      </c>
      <c r="L142" s="6"/>
    </row>
    <row r="143">
      <c r="A143" s="2">
        <v>2.0</v>
      </c>
      <c r="B143" s="3" t="s">
        <v>139</v>
      </c>
      <c r="C143" s="2">
        <v>2.0</v>
      </c>
      <c r="D143" s="3" t="s">
        <v>140</v>
      </c>
      <c r="E143" s="2">
        <v>7.0</v>
      </c>
      <c r="F143" s="3" t="s">
        <v>243</v>
      </c>
      <c r="G143" s="2">
        <v>1.0</v>
      </c>
      <c r="H143" s="9" t="s">
        <v>244</v>
      </c>
      <c r="I143" s="8" t="s">
        <v>245</v>
      </c>
      <c r="J143" s="12">
        <v>3.0</v>
      </c>
      <c r="K143" s="9" t="s">
        <v>248</v>
      </c>
      <c r="L143" s="6"/>
    </row>
    <row r="144">
      <c r="A144" s="2">
        <v>2.0</v>
      </c>
      <c r="B144" s="3" t="s">
        <v>139</v>
      </c>
      <c r="C144" s="2">
        <v>2.0</v>
      </c>
      <c r="D144" s="3" t="s">
        <v>140</v>
      </c>
      <c r="E144" s="2">
        <v>7.0</v>
      </c>
      <c r="F144" s="3" t="s">
        <v>243</v>
      </c>
      <c r="G144" s="2">
        <v>1.0</v>
      </c>
      <c r="H144" s="9" t="s">
        <v>244</v>
      </c>
      <c r="I144" s="8" t="s">
        <v>245</v>
      </c>
      <c r="J144" s="12">
        <v>4.0</v>
      </c>
      <c r="K144" s="9" t="s">
        <v>249</v>
      </c>
      <c r="L144" s="6"/>
    </row>
    <row r="145">
      <c r="A145" s="2">
        <v>2.0</v>
      </c>
      <c r="B145" s="3" t="s">
        <v>139</v>
      </c>
      <c r="C145" s="2">
        <v>2.0</v>
      </c>
      <c r="D145" s="3" t="s">
        <v>140</v>
      </c>
      <c r="E145" s="2">
        <v>7.0</v>
      </c>
      <c r="F145" s="3" t="s">
        <v>243</v>
      </c>
      <c r="G145" s="2">
        <v>1.0</v>
      </c>
      <c r="H145" s="9" t="s">
        <v>244</v>
      </c>
      <c r="I145" s="8" t="s">
        <v>245</v>
      </c>
      <c r="J145" s="12">
        <v>5.0</v>
      </c>
      <c r="K145" s="9" t="s">
        <v>250</v>
      </c>
      <c r="L145" s="6"/>
    </row>
    <row r="146">
      <c r="A146" s="2">
        <v>2.0</v>
      </c>
      <c r="B146" s="3" t="s">
        <v>139</v>
      </c>
      <c r="C146" s="2">
        <v>2.0</v>
      </c>
      <c r="D146" s="3" t="s">
        <v>140</v>
      </c>
      <c r="E146" s="2">
        <v>7.0</v>
      </c>
      <c r="F146" s="3" t="s">
        <v>243</v>
      </c>
      <c r="G146" s="2">
        <v>1.0</v>
      </c>
      <c r="H146" s="9" t="s">
        <v>244</v>
      </c>
      <c r="I146" s="8" t="s">
        <v>245</v>
      </c>
      <c r="J146" s="12">
        <v>6.0</v>
      </c>
      <c r="K146" s="9" t="s">
        <v>251</v>
      </c>
      <c r="L146" s="6"/>
    </row>
    <row r="147">
      <c r="A147" s="2">
        <v>2.0</v>
      </c>
      <c r="B147" s="3" t="s">
        <v>139</v>
      </c>
      <c r="C147" s="2">
        <v>2.0</v>
      </c>
      <c r="D147" s="3" t="s">
        <v>140</v>
      </c>
      <c r="E147" s="2">
        <v>7.0</v>
      </c>
      <c r="F147" s="3" t="s">
        <v>243</v>
      </c>
      <c r="G147" s="2">
        <v>1.0</v>
      </c>
      <c r="H147" s="9" t="s">
        <v>244</v>
      </c>
      <c r="I147" s="8" t="s">
        <v>245</v>
      </c>
      <c r="J147" s="12">
        <v>7.0</v>
      </c>
      <c r="K147" s="9" t="s">
        <v>252</v>
      </c>
      <c r="L147" s="6"/>
    </row>
    <row r="148">
      <c r="A148" s="2">
        <v>2.0</v>
      </c>
      <c r="B148" s="3" t="s">
        <v>139</v>
      </c>
      <c r="C148" s="2">
        <v>2.0</v>
      </c>
      <c r="D148" s="3" t="s">
        <v>140</v>
      </c>
      <c r="E148" s="2">
        <v>7.0</v>
      </c>
      <c r="F148" s="3" t="s">
        <v>243</v>
      </c>
      <c r="G148" s="2">
        <v>1.0</v>
      </c>
      <c r="H148" s="9" t="s">
        <v>244</v>
      </c>
      <c r="I148" s="8" t="s">
        <v>245</v>
      </c>
      <c r="J148" s="12">
        <v>8.0</v>
      </c>
      <c r="K148" s="9" t="s">
        <v>253</v>
      </c>
      <c r="L148" s="6"/>
    </row>
    <row r="149">
      <c r="A149" s="2">
        <v>2.0</v>
      </c>
      <c r="B149" s="3" t="s">
        <v>139</v>
      </c>
      <c r="C149" s="2">
        <v>2.0</v>
      </c>
      <c r="D149" s="3" t="s">
        <v>140</v>
      </c>
      <c r="E149" s="2">
        <v>7.0</v>
      </c>
      <c r="F149" s="3" t="s">
        <v>243</v>
      </c>
      <c r="G149" s="2">
        <v>2.0</v>
      </c>
      <c r="H149" s="9" t="s">
        <v>254</v>
      </c>
      <c r="I149" s="8" t="s">
        <v>255</v>
      </c>
      <c r="J149" s="12">
        <v>1.0</v>
      </c>
      <c r="K149" s="9" t="s">
        <v>256</v>
      </c>
      <c r="L149" s="6"/>
    </row>
    <row r="150">
      <c r="A150" s="2">
        <v>2.0</v>
      </c>
      <c r="B150" s="3" t="s">
        <v>139</v>
      </c>
      <c r="C150" s="2">
        <v>2.0</v>
      </c>
      <c r="D150" s="3" t="s">
        <v>140</v>
      </c>
      <c r="E150" s="2">
        <v>7.0</v>
      </c>
      <c r="F150" s="3" t="s">
        <v>243</v>
      </c>
      <c r="G150" s="2">
        <v>2.0</v>
      </c>
      <c r="H150" s="9" t="s">
        <v>254</v>
      </c>
      <c r="I150" s="8" t="s">
        <v>255</v>
      </c>
      <c r="J150" s="12">
        <v>2.0</v>
      </c>
      <c r="K150" s="9" t="s">
        <v>257</v>
      </c>
      <c r="L150" s="6"/>
    </row>
    <row r="151">
      <c r="A151" s="2">
        <v>2.0</v>
      </c>
      <c r="B151" s="3" t="s">
        <v>139</v>
      </c>
      <c r="C151" s="2">
        <v>2.0</v>
      </c>
      <c r="D151" s="3" t="s">
        <v>140</v>
      </c>
      <c r="E151" s="2">
        <v>7.0</v>
      </c>
      <c r="F151" s="3" t="s">
        <v>243</v>
      </c>
      <c r="G151" s="2">
        <v>2.0</v>
      </c>
      <c r="H151" s="9" t="s">
        <v>254</v>
      </c>
      <c r="I151" s="8" t="s">
        <v>255</v>
      </c>
      <c r="J151" s="12">
        <v>3.0</v>
      </c>
      <c r="K151" s="9" t="s">
        <v>258</v>
      </c>
      <c r="L151" s="6"/>
    </row>
    <row r="152">
      <c r="A152" s="2">
        <v>2.0</v>
      </c>
      <c r="B152" s="3" t="s">
        <v>139</v>
      </c>
      <c r="C152" s="2">
        <v>2.0</v>
      </c>
      <c r="D152" s="3" t="s">
        <v>140</v>
      </c>
      <c r="E152" s="2">
        <v>7.0</v>
      </c>
      <c r="F152" s="3" t="s">
        <v>243</v>
      </c>
      <c r="G152" s="2">
        <v>2.0</v>
      </c>
      <c r="H152" s="9" t="s">
        <v>254</v>
      </c>
      <c r="I152" s="8" t="s">
        <v>255</v>
      </c>
      <c r="J152" s="12">
        <v>4.0</v>
      </c>
      <c r="K152" s="9" t="s">
        <v>259</v>
      </c>
      <c r="L152" s="6"/>
    </row>
    <row r="153">
      <c r="A153" s="2">
        <v>2.0</v>
      </c>
      <c r="B153" s="3" t="s">
        <v>139</v>
      </c>
      <c r="C153" s="2">
        <v>2.0</v>
      </c>
      <c r="D153" s="3" t="s">
        <v>140</v>
      </c>
      <c r="E153" s="2">
        <v>7.0</v>
      </c>
      <c r="F153" s="3" t="s">
        <v>243</v>
      </c>
      <c r="G153" s="2">
        <v>2.0</v>
      </c>
      <c r="H153" s="9" t="s">
        <v>254</v>
      </c>
      <c r="I153" s="8" t="s">
        <v>255</v>
      </c>
      <c r="J153" s="12">
        <v>5.0</v>
      </c>
      <c r="K153" s="9" t="s">
        <v>260</v>
      </c>
      <c r="L153" s="8"/>
    </row>
    <row r="154">
      <c r="A154" s="2">
        <v>2.0</v>
      </c>
      <c r="B154" s="3" t="s">
        <v>139</v>
      </c>
      <c r="C154" s="2">
        <v>2.0</v>
      </c>
      <c r="D154" s="3" t="s">
        <v>140</v>
      </c>
      <c r="E154" s="2">
        <v>7.0</v>
      </c>
      <c r="F154" s="3" t="s">
        <v>243</v>
      </c>
      <c r="G154" s="2">
        <v>3.0</v>
      </c>
      <c r="H154" s="9" t="s">
        <v>261</v>
      </c>
      <c r="I154" s="8" t="s">
        <v>262</v>
      </c>
      <c r="J154" s="12">
        <v>1.0</v>
      </c>
      <c r="K154" s="9" t="s">
        <v>263</v>
      </c>
      <c r="L154" s="6"/>
    </row>
    <row r="155">
      <c r="A155" s="2">
        <v>2.0</v>
      </c>
      <c r="B155" s="3" t="s">
        <v>139</v>
      </c>
      <c r="C155" s="2">
        <v>2.0</v>
      </c>
      <c r="D155" s="3" t="s">
        <v>140</v>
      </c>
      <c r="E155" s="2">
        <v>7.0</v>
      </c>
      <c r="F155" s="3" t="s">
        <v>243</v>
      </c>
      <c r="G155" s="2">
        <v>3.0</v>
      </c>
      <c r="H155" s="9" t="s">
        <v>261</v>
      </c>
      <c r="I155" s="8" t="s">
        <v>262</v>
      </c>
      <c r="J155" s="12">
        <v>2.0</v>
      </c>
      <c r="K155" s="9" t="s">
        <v>264</v>
      </c>
      <c r="L155" s="6"/>
    </row>
    <row r="156">
      <c r="A156" s="2">
        <v>2.0</v>
      </c>
      <c r="B156" s="3" t="s">
        <v>139</v>
      </c>
      <c r="C156" s="2">
        <v>2.0</v>
      </c>
      <c r="D156" s="3" t="s">
        <v>140</v>
      </c>
      <c r="E156" s="2">
        <v>7.0</v>
      </c>
      <c r="F156" s="3" t="s">
        <v>243</v>
      </c>
      <c r="G156" s="2">
        <v>3.0</v>
      </c>
      <c r="H156" s="9" t="s">
        <v>261</v>
      </c>
      <c r="I156" s="8" t="s">
        <v>262</v>
      </c>
      <c r="J156" s="12">
        <v>3.0</v>
      </c>
      <c r="K156" s="9" t="s">
        <v>265</v>
      </c>
      <c r="L156" s="6"/>
    </row>
    <row r="157">
      <c r="A157" s="2">
        <v>2.0</v>
      </c>
      <c r="B157" s="3" t="s">
        <v>139</v>
      </c>
      <c r="C157" s="2">
        <v>2.0</v>
      </c>
      <c r="D157" s="3" t="s">
        <v>140</v>
      </c>
      <c r="E157" s="2">
        <v>7.0</v>
      </c>
      <c r="F157" s="3" t="s">
        <v>243</v>
      </c>
      <c r="G157" s="2">
        <v>3.0</v>
      </c>
      <c r="H157" s="9" t="s">
        <v>261</v>
      </c>
      <c r="I157" s="8" t="s">
        <v>262</v>
      </c>
      <c r="J157" s="12">
        <v>4.0</v>
      </c>
      <c r="K157" s="9" t="s">
        <v>266</v>
      </c>
      <c r="L157" s="6"/>
    </row>
    <row r="158">
      <c r="A158" s="2">
        <v>2.0</v>
      </c>
      <c r="B158" s="3" t="s">
        <v>139</v>
      </c>
      <c r="C158" s="2">
        <v>2.0</v>
      </c>
      <c r="D158" s="3" t="s">
        <v>140</v>
      </c>
      <c r="E158" s="2">
        <v>7.0</v>
      </c>
      <c r="F158" s="3" t="s">
        <v>243</v>
      </c>
      <c r="G158" s="2">
        <v>3.0</v>
      </c>
      <c r="H158" s="9" t="s">
        <v>261</v>
      </c>
      <c r="I158" s="8" t="s">
        <v>262</v>
      </c>
      <c r="J158" s="12">
        <v>5.0</v>
      </c>
      <c r="K158" s="9" t="s">
        <v>267</v>
      </c>
      <c r="L158" s="8"/>
    </row>
    <row r="159">
      <c r="A159" s="2">
        <v>2.0</v>
      </c>
      <c r="B159" s="3" t="s">
        <v>139</v>
      </c>
      <c r="C159" s="2">
        <v>2.0</v>
      </c>
      <c r="D159" s="3" t="s">
        <v>140</v>
      </c>
      <c r="E159" s="2">
        <v>7.0</v>
      </c>
      <c r="F159" s="3" t="s">
        <v>243</v>
      </c>
      <c r="G159" s="2">
        <v>4.0</v>
      </c>
      <c r="H159" s="9" t="s">
        <v>268</v>
      </c>
      <c r="I159" s="8" t="s">
        <v>269</v>
      </c>
      <c r="J159" s="12">
        <v>1.0</v>
      </c>
      <c r="K159" s="9" t="s">
        <v>270</v>
      </c>
      <c r="L159" s="6"/>
    </row>
    <row r="160">
      <c r="A160" s="2">
        <v>2.0</v>
      </c>
      <c r="B160" s="3" t="s">
        <v>139</v>
      </c>
      <c r="C160" s="2">
        <v>2.0</v>
      </c>
      <c r="D160" s="3" t="s">
        <v>140</v>
      </c>
      <c r="E160" s="2">
        <v>7.0</v>
      </c>
      <c r="F160" s="3" t="s">
        <v>243</v>
      </c>
      <c r="G160" s="2">
        <v>4.0</v>
      </c>
      <c r="H160" s="9" t="s">
        <v>268</v>
      </c>
      <c r="I160" s="8" t="s">
        <v>269</v>
      </c>
      <c r="J160" s="12">
        <v>2.0</v>
      </c>
      <c r="K160" s="9" t="s">
        <v>271</v>
      </c>
      <c r="L160" s="6"/>
    </row>
    <row r="161">
      <c r="A161" s="2">
        <v>2.0</v>
      </c>
      <c r="B161" s="3" t="s">
        <v>139</v>
      </c>
      <c r="C161" s="2">
        <v>2.0</v>
      </c>
      <c r="D161" s="3" t="s">
        <v>140</v>
      </c>
      <c r="E161" s="2">
        <v>7.0</v>
      </c>
      <c r="F161" s="3" t="s">
        <v>243</v>
      </c>
      <c r="G161" s="2">
        <v>5.0</v>
      </c>
      <c r="H161" s="9" t="s">
        <v>272</v>
      </c>
      <c r="I161" s="8" t="s">
        <v>273</v>
      </c>
      <c r="J161" s="12">
        <v>1.0</v>
      </c>
      <c r="K161" s="9" t="s">
        <v>274</v>
      </c>
      <c r="L161" s="6"/>
    </row>
    <row r="162">
      <c r="A162" s="2">
        <v>2.0</v>
      </c>
      <c r="B162" s="3" t="s">
        <v>139</v>
      </c>
      <c r="C162" s="2">
        <v>2.0</v>
      </c>
      <c r="D162" s="3" t="s">
        <v>140</v>
      </c>
      <c r="E162" s="2">
        <v>7.0</v>
      </c>
      <c r="F162" s="3" t="s">
        <v>243</v>
      </c>
      <c r="G162" s="2">
        <v>5.0</v>
      </c>
      <c r="H162" s="9" t="s">
        <v>272</v>
      </c>
      <c r="I162" s="8" t="s">
        <v>273</v>
      </c>
      <c r="J162" s="12">
        <v>2.0</v>
      </c>
      <c r="K162" s="9" t="s">
        <v>275</v>
      </c>
      <c r="L162" s="8"/>
    </row>
    <row r="163">
      <c r="A163" s="2">
        <v>2.0</v>
      </c>
      <c r="B163" s="3" t="s">
        <v>139</v>
      </c>
      <c r="C163" s="2">
        <v>1.0</v>
      </c>
      <c r="D163" s="3" t="s">
        <v>276</v>
      </c>
      <c r="E163" s="2">
        <v>1.0</v>
      </c>
      <c r="F163" s="4" t="s">
        <v>277</v>
      </c>
      <c r="G163" s="2">
        <v>1.0</v>
      </c>
      <c r="H163" s="9" t="s">
        <v>278</v>
      </c>
      <c r="I163" s="8" t="s">
        <v>279</v>
      </c>
      <c r="J163" s="12">
        <v>1.0</v>
      </c>
      <c r="K163" s="9" t="s">
        <v>280</v>
      </c>
      <c r="L163" s="6"/>
    </row>
    <row r="164">
      <c r="A164" s="2">
        <v>2.0</v>
      </c>
      <c r="B164" s="3" t="s">
        <v>139</v>
      </c>
      <c r="C164" s="2">
        <v>1.0</v>
      </c>
      <c r="D164" s="3" t="s">
        <v>276</v>
      </c>
      <c r="E164" s="2">
        <v>1.0</v>
      </c>
      <c r="F164" s="4" t="s">
        <v>277</v>
      </c>
      <c r="G164" s="2">
        <v>1.0</v>
      </c>
      <c r="H164" s="9" t="s">
        <v>278</v>
      </c>
      <c r="I164" s="8" t="s">
        <v>279</v>
      </c>
      <c r="J164" s="12">
        <v>2.0</v>
      </c>
      <c r="K164" s="9" t="s">
        <v>137</v>
      </c>
      <c r="L164" s="6"/>
    </row>
    <row r="165">
      <c r="A165" s="2">
        <v>2.0</v>
      </c>
      <c r="B165" s="3" t="s">
        <v>139</v>
      </c>
      <c r="C165" s="2">
        <v>1.0</v>
      </c>
      <c r="D165" s="3" t="s">
        <v>276</v>
      </c>
      <c r="E165" s="2">
        <v>1.0</v>
      </c>
      <c r="F165" s="4" t="s">
        <v>277</v>
      </c>
      <c r="G165" s="2">
        <v>1.0</v>
      </c>
      <c r="H165" s="9" t="s">
        <v>278</v>
      </c>
      <c r="I165" s="8" t="s">
        <v>279</v>
      </c>
      <c r="J165" s="12">
        <v>3.0</v>
      </c>
      <c r="K165" s="9" t="s">
        <v>281</v>
      </c>
      <c r="L165" s="6"/>
    </row>
    <row r="166">
      <c r="A166" s="2">
        <v>2.0</v>
      </c>
      <c r="B166" s="3" t="s">
        <v>139</v>
      </c>
      <c r="C166" s="2">
        <v>1.0</v>
      </c>
      <c r="D166" s="3" t="s">
        <v>276</v>
      </c>
      <c r="E166" s="2">
        <v>1.0</v>
      </c>
      <c r="F166" s="4" t="s">
        <v>277</v>
      </c>
      <c r="G166" s="2">
        <v>2.0</v>
      </c>
      <c r="H166" s="9" t="s">
        <v>282</v>
      </c>
      <c r="I166" s="8" t="s">
        <v>283</v>
      </c>
      <c r="J166" s="12">
        <v>1.0</v>
      </c>
      <c r="K166" s="9" t="s">
        <v>284</v>
      </c>
      <c r="L166" s="6"/>
    </row>
    <row r="167">
      <c r="A167" s="2">
        <v>2.0</v>
      </c>
      <c r="B167" s="3" t="s">
        <v>139</v>
      </c>
      <c r="C167" s="2">
        <v>1.0</v>
      </c>
      <c r="D167" s="3" t="s">
        <v>276</v>
      </c>
      <c r="E167" s="2">
        <v>1.0</v>
      </c>
      <c r="F167" s="4" t="s">
        <v>277</v>
      </c>
      <c r="G167" s="2">
        <v>2.0</v>
      </c>
      <c r="H167" s="9" t="s">
        <v>282</v>
      </c>
      <c r="I167" s="8" t="s">
        <v>283</v>
      </c>
      <c r="J167" s="12">
        <v>2.0</v>
      </c>
      <c r="K167" s="9" t="s">
        <v>285</v>
      </c>
      <c r="L167" s="6"/>
    </row>
    <row r="168">
      <c r="A168" s="2">
        <v>2.0</v>
      </c>
      <c r="B168" s="3" t="s">
        <v>139</v>
      </c>
      <c r="C168" s="2">
        <v>1.0</v>
      </c>
      <c r="D168" s="3" t="s">
        <v>276</v>
      </c>
      <c r="E168" s="2">
        <v>1.0</v>
      </c>
      <c r="F168" s="4" t="s">
        <v>277</v>
      </c>
      <c r="G168" s="2">
        <v>2.0</v>
      </c>
      <c r="H168" s="9" t="s">
        <v>282</v>
      </c>
      <c r="I168" s="8" t="s">
        <v>283</v>
      </c>
      <c r="J168" s="12">
        <v>3.0</v>
      </c>
      <c r="K168" s="9" t="s">
        <v>286</v>
      </c>
      <c r="L168" s="6"/>
    </row>
    <row r="169">
      <c r="A169" s="2">
        <v>2.0</v>
      </c>
      <c r="B169" s="3" t="s">
        <v>139</v>
      </c>
      <c r="C169" s="2">
        <v>1.0</v>
      </c>
      <c r="D169" s="3" t="s">
        <v>276</v>
      </c>
      <c r="E169" s="2">
        <v>1.0</v>
      </c>
      <c r="F169" s="4" t="s">
        <v>277</v>
      </c>
      <c r="G169" s="2">
        <v>2.0</v>
      </c>
      <c r="H169" s="9" t="s">
        <v>282</v>
      </c>
      <c r="I169" s="8" t="s">
        <v>283</v>
      </c>
      <c r="J169" s="12">
        <v>4.0</v>
      </c>
      <c r="K169" s="9" t="s">
        <v>287</v>
      </c>
      <c r="L169" s="6"/>
    </row>
    <row r="170">
      <c r="A170" s="2">
        <v>2.0</v>
      </c>
      <c r="B170" s="3" t="s">
        <v>139</v>
      </c>
      <c r="C170" s="2">
        <v>1.0</v>
      </c>
      <c r="D170" s="3" t="s">
        <v>276</v>
      </c>
      <c r="E170" s="2">
        <v>1.0</v>
      </c>
      <c r="F170" s="4" t="s">
        <v>277</v>
      </c>
      <c r="G170" s="2">
        <v>2.0</v>
      </c>
      <c r="H170" s="9" t="s">
        <v>282</v>
      </c>
      <c r="I170" s="8" t="s">
        <v>283</v>
      </c>
      <c r="J170" s="12">
        <v>5.0</v>
      </c>
      <c r="K170" s="9" t="s">
        <v>288</v>
      </c>
      <c r="L170" s="6"/>
    </row>
    <row r="171">
      <c r="A171" s="2">
        <v>2.0</v>
      </c>
      <c r="B171" s="3" t="s">
        <v>139</v>
      </c>
      <c r="C171" s="2">
        <v>1.0</v>
      </c>
      <c r="D171" s="3" t="s">
        <v>276</v>
      </c>
      <c r="E171" s="2">
        <v>1.0</v>
      </c>
      <c r="F171" s="4" t="s">
        <v>277</v>
      </c>
      <c r="G171" s="2">
        <v>2.0</v>
      </c>
      <c r="H171" s="9" t="s">
        <v>282</v>
      </c>
      <c r="I171" s="8" t="s">
        <v>283</v>
      </c>
      <c r="J171" s="12">
        <v>6.0</v>
      </c>
      <c r="K171" s="9" t="s">
        <v>289</v>
      </c>
      <c r="L171" s="6"/>
    </row>
    <row r="172">
      <c r="A172" s="2">
        <v>2.0</v>
      </c>
      <c r="B172" s="3" t="s">
        <v>139</v>
      </c>
      <c r="C172" s="2">
        <v>1.0</v>
      </c>
      <c r="D172" s="3" t="s">
        <v>276</v>
      </c>
      <c r="E172" s="2">
        <v>1.0</v>
      </c>
      <c r="F172" s="4" t="s">
        <v>277</v>
      </c>
      <c r="G172" s="2">
        <v>2.0</v>
      </c>
      <c r="H172" s="9" t="s">
        <v>282</v>
      </c>
      <c r="I172" s="8" t="s">
        <v>283</v>
      </c>
      <c r="J172" s="12">
        <v>7.0</v>
      </c>
      <c r="K172" s="9" t="s">
        <v>290</v>
      </c>
      <c r="L172" s="6"/>
    </row>
    <row r="173">
      <c r="A173" s="2">
        <v>2.0</v>
      </c>
      <c r="B173" s="3" t="s">
        <v>139</v>
      </c>
      <c r="C173" s="2">
        <v>1.0</v>
      </c>
      <c r="D173" s="3" t="s">
        <v>276</v>
      </c>
      <c r="E173" s="2">
        <v>1.0</v>
      </c>
      <c r="F173" s="4" t="s">
        <v>277</v>
      </c>
      <c r="G173" s="2">
        <v>2.0</v>
      </c>
      <c r="H173" s="9" t="s">
        <v>282</v>
      </c>
      <c r="I173" s="8" t="s">
        <v>291</v>
      </c>
      <c r="J173" s="12">
        <v>8.0</v>
      </c>
      <c r="K173" s="9" t="s">
        <v>292</v>
      </c>
      <c r="L173" s="8"/>
    </row>
    <row r="174">
      <c r="A174" s="2">
        <v>2.0</v>
      </c>
      <c r="B174" s="3" t="s">
        <v>139</v>
      </c>
      <c r="C174" s="2">
        <v>1.0</v>
      </c>
      <c r="D174" s="3" t="s">
        <v>276</v>
      </c>
      <c r="E174" s="2">
        <v>2.0</v>
      </c>
      <c r="F174" s="4" t="s">
        <v>293</v>
      </c>
      <c r="G174" s="2">
        <v>1.0</v>
      </c>
      <c r="H174" s="9" t="s">
        <v>294</v>
      </c>
      <c r="I174" s="8" t="s">
        <v>295</v>
      </c>
      <c r="J174" s="12">
        <v>1.0</v>
      </c>
      <c r="K174" s="9" t="s">
        <v>296</v>
      </c>
      <c r="L174" s="6"/>
    </row>
    <row r="175">
      <c r="A175" s="2">
        <v>2.0</v>
      </c>
      <c r="B175" s="3" t="s">
        <v>139</v>
      </c>
      <c r="C175" s="2">
        <v>1.0</v>
      </c>
      <c r="D175" s="3" t="s">
        <v>276</v>
      </c>
      <c r="E175" s="2">
        <v>2.0</v>
      </c>
      <c r="F175" s="4" t="s">
        <v>293</v>
      </c>
      <c r="G175" s="2">
        <v>2.0</v>
      </c>
      <c r="H175" s="9" t="s">
        <v>297</v>
      </c>
      <c r="I175" s="8" t="s">
        <v>295</v>
      </c>
      <c r="J175" s="12">
        <v>1.0</v>
      </c>
      <c r="K175" s="9" t="s">
        <v>298</v>
      </c>
      <c r="L175" s="6"/>
    </row>
    <row r="176">
      <c r="A176" s="2">
        <v>2.0</v>
      </c>
      <c r="B176" s="3" t="s">
        <v>139</v>
      </c>
      <c r="C176" s="2">
        <v>1.0</v>
      </c>
      <c r="D176" s="3" t="s">
        <v>276</v>
      </c>
      <c r="E176" s="2">
        <v>2.0</v>
      </c>
      <c r="F176" s="4" t="s">
        <v>293</v>
      </c>
      <c r="G176" s="2">
        <v>2.0</v>
      </c>
      <c r="H176" s="9" t="s">
        <v>297</v>
      </c>
      <c r="I176" s="8" t="s">
        <v>295</v>
      </c>
      <c r="J176" s="12">
        <v>2.0</v>
      </c>
      <c r="K176" s="9" t="s">
        <v>299</v>
      </c>
      <c r="L176" s="6"/>
    </row>
    <row r="177">
      <c r="A177" s="2">
        <v>2.0</v>
      </c>
      <c r="B177" s="3" t="s">
        <v>139</v>
      </c>
      <c r="C177" s="2">
        <v>1.0</v>
      </c>
      <c r="D177" s="3" t="s">
        <v>276</v>
      </c>
      <c r="E177" s="2">
        <v>2.0</v>
      </c>
      <c r="F177" s="4" t="s">
        <v>293</v>
      </c>
      <c r="G177" s="2">
        <v>2.0</v>
      </c>
      <c r="H177" s="9" t="s">
        <v>297</v>
      </c>
      <c r="I177" s="8" t="s">
        <v>295</v>
      </c>
      <c r="J177" s="12">
        <v>3.0</v>
      </c>
      <c r="K177" s="9" t="s">
        <v>300</v>
      </c>
      <c r="L177" s="6"/>
    </row>
    <row r="178">
      <c r="A178" s="2">
        <v>2.0</v>
      </c>
      <c r="B178" s="3" t="s">
        <v>139</v>
      </c>
      <c r="C178" s="2">
        <v>1.0</v>
      </c>
      <c r="D178" s="3" t="s">
        <v>276</v>
      </c>
      <c r="E178" s="2">
        <v>2.0</v>
      </c>
      <c r="F178" s="4" t="s">
        <v>293</v>
      </c>
      <c r="G178" s="2">
        <v>2.0</v>
      </c>
      <c r="H178" s="9" t="s">
        <v>297</v>
      </c>
      <c r="I178" s="8" t="s">
        <v>295</v>
      </c>
      <c r="J178" s="12">
        <v>4.0</v>
      </c>
      <c r="K178" s="9" t="s">
        <v>301</v>
      </c>
      <c r="L178" s="6"/>
    </row>
    <row r="179">
      <c r="A179" s="2">
        <v>2.0</v>
      </c>
      <c r="B179" s="3" t="s">
        <v>139</v>
      </c>
      <c r="C179" s="2">
        <v>1.0</v>
      </c>
      <c r="D179" s="3" t="s">
        <v>276</v>
      </c>
      <c r="E179" s="2">
        <v>2.0</v>
      </c>
      <c r="F179" s="4" t="s">
        <v>293</v>
      </c>
      <c r="G179" s="2">
        <v>2.0</v>
      </c>
      <c r="H179" s="9" t="s">
        <v>297</v>
      </c>
      <c r="I179" s="8" t="s">
        <v>295</v>
      </c>
      <c r="J179" s="12">
        <v>5.0</v>
      </c>
      <c r="K179" s="9" t="s">
        <v>302</v>
      </c>
      <c r="L179" s="6"/>
    </row>
    <row r="180">
      <c r="A180" s="2">
        <v>2.0</v>
      </c>
      <c r="B180" s="3" t="s">
        <v>139</v>
      </c>
      <c r="C180" s="2">
        <v>1.0</v>
      </c>
      <c r="D180" s="3" t="s">
        <v>276</v>
      </c>
      <c r="E180" s="2">
        <v>2.0</v>
      </c>
      <c r="F180" s="4" t="s">
        <v>293</v>
      </c>
      <c r="G180" s="2">
        <v>2.0</v>
      </c>
      <c r="H180" s="9" t="s">
        <v>297</v>
      </c>
      <c r="I180" s="8" t="s">
        <v>295</v>
      </c>
      <c r="J180" s="12">
        <v>6.0</v>
      </c>
      <c r="K180" s="9" t="s">
        <v>303</v>
      </c>
      <c r="L180" s="6"/>
    </row>
    <row r="181">
      <c r="A181" s="2">
        <v>2.0</v>
      </c>
      <c r="B181" s="3" t="s">
        <v>139</v>
      </c>
      <c r="C181" s="2">
        <v>1.0</v>
      </c>
      <c r="D181" s="3" t="s">
        <v>276</v>
      </c>
      <c r="E181" s="2">
        <v>2.0</v>
      </c>
      <c r="F181" s="4" t="s">
        <v>293</v>
      </c>
      <c r="G181" s="2">
        <v>2.0</v>
      </c>
      <c r="H181" s="9" t="s">
        <v>297</v>
      </c>
      <c r="I181" s="8" t="s">
        <v>295</v>
      </c>
      <c r="J181" s="12">
        <v>7.0</v>
      </c>
      <c r="K181" s="9" t="s">
        <v>304</v>
      </c>
      <c r="L181" s="8"/>
    </row>
    <row r="182">
      <c r="A182" s="2">
        <v>2.0</v>
      </c>
      <c r="B182" s="3" t="s">
        <v>139</v>
      </c>
      <c r="C182" s="2">
        <v>1.0</v>
      </c>
      <c r="D182" s="3" t="s">
        <v>276</v>
      </c>
      <c r="E182" s="2">
        <v>2.0</v>
      </c>
      <c r="F182" s="4" t="s">
        <v>293</v>
      </c>
      <c r="G182" s="2">
        <v>2.0</v>
      </c>
      <c r="H182" s="9" t="s">
        <v>297</v>
      </c>
      <c r="I182" s="8" t="s">
        <v>295</v>
      </c>
      <c r="J182" s="12">
        <v>8.0</v>
      </c>
      <c r="K182" s="9" t="s">
        <v>305</v>
      </c>
      <c r="L182" s="6"/>
    </row>
    <row r="183">
      <c r="A183" s="2">
        <v>2.0</v>
      </c>
      <c r="B183" s="3" t="s">
        <v>139</v>
      </c>
      <c r="C183" s="2">
        <v>1.0</v>
      </c>
      <c r="D183" s="3" t="s">
        <v>276</v>
      </c>
      <c r="E183" s="2">
        <v>2.0</v>
      </c>
      <c r="F183" s="4" t="s">
        <v>293</v>
      </c>
      <c r="G183" s="2">
        <v>2.0</v>
      </c>
      <c r="H183" s="9" t="s">
        <v>297</v>
      </c>
      <c r="I183" s="8" t="s">
        <v>295</v>
      </c>
      <c r="J183" s="12">
        <v>9.0</v>
      </c>
      <c r="K183" s="9" t="s">
        <v>306</v>
      </c>
      <c r="L183" s="6"/>
    </row>
    <row r="184">
      <c r="A184" s="2">
        <v>2.0</v>
      </c>
      <c r="B184" s="3" t="s">
        <v>139</v>
      </c>
      <c r="C184" s="2">
        <v>1.0</v>
      </c>
      <c r="D184" s="3" t="s">
        <v>276</v>
      </c>
      <c r="E184" s="2">
        <v>2.0</v>
      </c>
      <c r="F184" s="4" t="s">
        <v>293</v>
      </c>
      <c r="G184" s="2">
        <v>2.0</v>
      </c>
      <c r="H184" s="9" t="s">
        <v>297</v>
      </c>
      <c r="I184" s="8" t="s">
        <v>295</v>
      </c>
      <c r="J184" s="12">
        <v>10.0</v>
      </c>
      <c r="K184" s="9" t="s">
        <v>307</v>
      </c>
      <c r="L184" s="8"/>
    </row>
    <row r="185">
      <c r="A185" s="2">
        <v>2.0</v>
      </c>
      <c r="B185" s="3" t="s">
        <v>139</v>
      </c>
      <c r="C185" s="2">
        <v>1.0</v>
      </c>
      <c r="D185" s="3" t="s">
        <v>276</v>
      </c>
      <c r="E185" s="2">
        <v>2.0</v>
      </c>
      <c r="F185" s="4" t="s">
        <v>293</v>
      </c>
      <c r="G185" s="2">
        <v>2.0</v>
      </c>
      <c r="H185" s="9" t="s">
        <v>297</v>
      </c>
      <c r="I185" s="8" t="s">
        <v>295</v>
      </c>
      <c r="J185" s="12">
        <v>11.0</v>
      </c>
      <c r="K185" s="9" t="s">
        <v>308</v>
      </c>
      <c r="L185" s="8"/>
    </row>
    <row r="186">
      <c r="A186" s="2">
        <v>2.0</v>
      </c>
      <c r="B186" s="3" t="s">
        <v>139</v>
      </c>
      <c r="C186" s="2">
        <v>1.0</v>
      </c>
      <c r="D186" s="3" t="s">
        <v>276</v>
      </c>
      <c r="E186" s="2">
        <v>2.0</v>
      </c>
      <c r="F186" s="4" t="s">
        <v>293</v>
      </c>
      <c r="G186" s="2">
        <v>2.0</v>
      </c>
      <c r="H186" s="9" t="s">
        <v>297</v>
      </c>
      <c r="I186" s="8" t="s">
        <v>309</v>
      </c>
      <c r="J186" s="12">
        <v>12.0</v>
      </c>
      <c r="K186" s="9" t="s">
        <v>310</v>
      </c>
      <c r="L186" s="6"/>
    </row>
    <row r="187">
      <c r="A187" s="2">
        <v>2.0</v>
      </c>
      <c r="B187" s="3" t="s">
        <v>139</v>
      </c>
      <c r="C187" s="2">
        <v>1.0</v>
      </c>
      <c r="D187" s="3" t="s">
        <v>276</v>
      </c>
      <c r="E187" s="2">
        <v>2.0</v>
      </c>
      <c r="F187" s="4" t="s">
        <v>293</v>
      </c>
      <c r="G187" s="2">
        <v>2.0</v>
      </c>
      <c r="H187" s="9" t="s">
        <v>297</v>
      </c>
      <c r="I187" s="8" t="s">
        <v>309</v>
      </c>
      <c r="J187" s="12">
        <v>13.0</v>
      </c>
      <c r="K187" s="9" t="s">
        <v>311</v>
      </c>
      <c r="L187" s="6"/>
    </row>
    <row r="188">
      <c r="A188" s="2">
        <v>2.0</v>
      </c>
      <c r="B188" s="3" t="s">
        <v>139</v>
      </c>
      <c r="C188" s="2">
        <v>1.0</v>
      </c>
      <c r="D188" s="3" t="s">
        <v>276</v>
      </c>
      <c r="E188" s="2">
        <v>2.0</v>
      </c>
      <c r="F188" s="4" t="s">
        <v>293</v>
      </c>
      <c r="G188" s="2">
        <v>3.0</v>
      </c>
      <c r="H188" s="9" t="s">
        <v>312</v>
      </c>
      <c r="I188" s="8" t="s">
        <v>309</v>
      </c>
      <c r="J188" s="12">
        <v>1.0</v>
      </c>
      <c r="K188" s="9" t="s">
        <v>313</v>
      </c>
      <c r="L188" s="6"/>
    </row>
    <row r="189">
      <c r="A189" s="2">
        <v>2.0</v>
      </c>
      <c r="B189" s="3" t="s">
        <v>139</v>
      </c>
      <c r="C189" s="2">
        <v>1.0</v>
      </c>
      <c r="D189" s="3" t="s">
        <v>276</v>
      </c>
      <c r="E189" s="2">
        <v>2.0</v>
      </c>
      <c r="F189" s="4" t="s">
        <v>293</v>
      </c>
      <c r="G189" s="2">
        <v>3.0</v>
      </c>
      <c r="H189" s="9" t="s">
        <v>312</v>
      </c>
      <c r="I189" s="8" t="s">
        <v>314</v>
      </c>
      <c r="J189" s="12">
        <v>2.0</v>
      </c>
      <c r="K189" s="9" t="s">
        <v>315</v>
      </c>
      <c r="L189" s="6"/>
    </row>
    <row r="190">
      <c r="A190" s="2">
        <v>2.0</v>
      </c>
      <c r="B190" s="3" t="s">
        <v>139</v>
      </c>
      <c r="C190" s="2">
        <v>1.0</v>
      </c>
      <c r="D190" s="3" t="s">
        <v>276</v>
      </c>
      <c r="E190" s="2">
        <v>2.0</v>
      </c>
      <c r="F190" s="4" t="s">
        <v>293</v>
      </c>
      <c r="G190" s="2">
        <v>3.0</v>
      </c>
      <c r="H190" s="9" t="s">
        <v>312</v>
      </c>
      <c r="I190" s="8" t="s">
        <v>314</v>
      </c>
      <c r="J190" s="12">
        <v>3.0</v>
      </c>
      <c r="K190" s="9" t="s">
        <v>316</v>
      </c>
      <c r="L190" s="6"/>
    </row>
    <row r="191">
      <c r="A191" s="2">
        <v>2.0</v>
      </c>
      <c r="B191" s="3" t="s">
        <v>139</v>
      </c>
      <c r="C191" s="2">
        <v>1.0</v>
      </c>
      <c r="D191" s="3" t="s">
        <v>276</v>
      </c>
      <c r="E191" s="2">
        <v>3.0</v>
      </c>
      <c r="F191" s="4" t="s">
        <v>317</v>
      </c>
      <c r="G191" s="2">
        <v>1.0</v>
      </c>
      <c r="H191" s="9" t="s">
        <v>318</v>
      </c>
      <c r="I191" s="8" t="s">
        <v>314</v>
      </c>
      <c r="J191" s="12">
        <v>1.0</v>
      </c>
      <c r="K191" s="9" t="s">
        <v>319</v>
      </c>
      <c r="L191" s="6"/>
    </row>
    <row r="192">
      <c r="A192" s="2">
        <v>2.0</v>
      </c>
      <c r="B192" s="3" t="s">
        <v>139</v>
      </c>
      <c r="C192" s="2">
        <v>1.0</v>
      </c>
      <c r="D192" s="3" t="s">
        <v>276</v>
      </c>
      <c r="E192" s="2">
        <v>3.0</v>
      </c>
      <c r="F192" s="4" t="s">
        <v>317</v>
      </c>
      <c r="G192" s="2">
        <v>1.0</v>
      </c>
      <c r="H192" s="9" t="s">
        <v>318</v>
      </c>
      <c r="I192" s="8" t="s">
        <v>314</v>
      </c>
      <c r="J192" s="12">
        <v>2.0</v>
      </c>
      <c r="K192" s="9" t="s">
        <v>320</v>
      </c>
      <c r="L192" s="6"/>
    </row>
    <row r="193">
      <c r="A193" s="2">
        <v>2.0</v>
      </c>
      <c r="B193" s="3" t="s">
        <v>139</v>
      </c>
      <c r="C193" s="2">
        <v>1.0</v>
      </c>
      <c r="D193" s="3" t="s">
        <v>276</v>
      </c>
      <c r="E193" s="2">
        <v>3.0</v>
      </c>
      <c r="F193" s="4" t="s">
        <v>317</v>
      </c>
      <c r="G193" s="2">
        <v>1.0</v>
      </c>
      <c r="H193" s="9" t="s">
        <v>318</v>
      </c>
      <c r="I193" s="8" t="s">
        <v>314</v>
      </c>
      <c r="J193" s="12">
        <v>3.0</v>
      </c>
      <c r="K193" s="9" t="s">
        <v>321</v>
      </c>
      <c r="L193" s="6"/>
    </row>
    <row r="194">
      <c r="A194" s="2">
        <v>2.0</v>
      </c>
      <c r="B194" s="3" t="s">
        <v>139</v>
      </c>
      <c r="C194" s="2">
        <v>1.0</v>
      </c>
      <c r="D194" s="3" t="s">
        <v>276</v>
      </c>
      <c r="E194" s="2">
        <v>3.0</v>
      </c>
      <c r="F194" s="4" t="s">
        <v>317</v>
      </c>
      <c r="G194" s="2">
        <v>1.0</v>
      </c>
      <c r="H194" s="9" t="s">
        <v>318</v>
      </c>
      <c r="I194" s="8" t="s">
        <v>322</v>
      </c>
      <c r="J194" s="12">
        <v>4.0</v>
      </c>
      <c r="K194" s="9" t="s">
        <v>323</v>
      </c>
      <c r="L194" s="8"/>
    </row>
    <row r="195">
      <c r="A195" s="2">
        <v>2.0</v>
      </c>
      <c r="B195" s="3" t="s">
        <v>139</v>
      </c>
      <c r="C195" s="2">
        <v>1.0</v>
      </c>
      <c r="D195" s="3" t="s">
        <v>276</v>
      </c>
      <c r="E195" s="2">
        <v>3.0</v>
      </c>
      <c r="F195" s="4" t="s">
        <v>317</v>
      </c>
      <c r="G195" s="2">
        <v>1.0</v>
      </c>
      <c r="H195" s="9" t="s">
        <v>318</v>
      </c>
      <c r="I195" s="8" t="s">
        <v>322</v>
      </c>
      <c r="J195" s="12">
        <v>5.0</v>
      </c>
      <c r="K195" s="9" t="s">
        <v>324</v>
      </c>
      <c r="L195" s="8"/>
    </row>
    <row r="196">
      <c r="A196" s="2">
        <v>2.0</v>
      </c>
      <c r="B196" s="3" t="s">
        <v>139</v>
      </c>
      <c r="C196" s="2">
        <v>1.0</v>
      </c>
      <c r="D196" s="3" t="s">
        <v>276</v>
      </c>
      <c r="E196" s="2">
        <v>3.0</v>
      </c>
      <c r="F196" s="4" t="s">
        <v>317</v>
      </c>
      <c r="G196" s="2">
        <v>2.0</v>
      </c>
      <c r="H196" s="9" t="s">
        <v>325</v>
      </c>
      <c r="I196" s="8" t="s">
        <v>322</v>
      </c>
      <c r="J196" s="12">
        <v>1.0</v>
      </c>
      <c r="K196" s="9" t="s">
        <v>326</v>
      </c>
      <c r="L196" s="6"/>
    </row>
    <row r="197">
      <c r="A197" s="2">
        <v>2.0</v>
      </c>
      <c r="B197" s="3" t="s">
        <v>139</v>
      </c>
      <c r="C197" s="2">
        <v>1.0</v>
      </c>
      <c r="D197" s="3" t="s">
        <v>276</v>
      </c>
      <c r="E197" s="2">
        <v>3.0</v>
      </c>
      <c r="F197" s="4" t="s">
        <v>317</v>
      </c>
      <c r="G197" s="2">
        <v>2.0</v>
      </c>
      <c r="H197" s="9" t="s">
        <v>325</v>
      </c>
      <c r="I197" s="8" t="s">
        <v>322</v>
      </c>
      <c r="J197" s="12">
        <v>2.0</v>
      </c>
      <c r="K197" s="9" t="s">
        <v>327</v>
      </c>
      <c r="L197" s="6"/>
    </row>
    <row r="198">
      <c r="A198" s="2">
        <v>2.0</v>
      </c>
      <c r="B198" s="3" t="s">
        <v>139</v>
      </c>
      <c r="C198" s="2">
        <v>1.0</v>
      </c>
      <c r="D198" s="3" t="s">
        <v>276</v>
      </c>
      <c r="E198" s="2">
        <v>3.0</v>
      </c>
      <c r="F198" s="4" t="s">
        <v>317</v>
      </c>
      <c r="G198" s="2">
        <v>2.0</v>
      </c>
      <c r="H198" s="9" t="s">
        <v>325</v>
      </c>
      <c r="I198" s="8" t="s">
        <v>322</v>
      </c>
      <c r="J198" s="12">
        <v>3.0</v>
      </c>
      <c r="K198" s="9" t="s">
        <v>328</v>
      </c>
      <c r="L198" s="6"/>
    </row>
    <row r="199">
      <c r="A199" s="2">
        <v>2.0</v>
      </c>
      <c r="B199" s="3" t="s">
        <v>139</v>
      </c>
      <c r="C199" s="2">
        <v>1.0</v>
      </c>
      <c r="D199" s="3" t="s">
        <v>276</v>
      </c>
      <c r="E199" s="2">
        <v>3.0</v>
      </c>
      <c r="F199" s="4" t="s">
        <v>317</v>
      </c>
      <c r="G199" s="2">
        <v>2.0</v>
      </c>
      <c r="H199" s="9" t="s">
        <v>325</v>
      </c>
      <c r="I199" s="8" t="s">
        <v>322</v>
      </c>
      <c r="J199" s="12">
        <v>4.0</v>
      </c>
      <c r="K199" s="9" t="s">
        <v>329</v>
      </c>
      <c r="L199" s="6"/>
    </row>
    <row r="200">
      <c r="A200" s="2">
        <v>2.0</v>
      </c>
      <c r="B200" s="3" t="s">
        <v>139</v>
      </c>
      <c r="C200" s="2">
        <v>1.0</v>
      </c>
      <c r="D200" s="3" t="s">
        <v>276</v>
      </c>
      <c r="E200" s="2">
        <v>3.0</v>
      </c>
      <c r="F200" s="4" t="s">
        <v>317</v>
      </c>
      <c r="G200" s="2">
        <v>2.0</v>
      </c>
      <c r="H200" s="9" t="s">
        <v>325</v>
      </c>
      <c r="I200" s="8" t="s">
        <v>273</v>
      </c>
      <c r="J200" s="12">
        <v>5.0</v>
      </c>
      <c r="K200" s="9" t="s">
        <v>330</v>
      </c>
      <c r="L200" s="6"/>
    </row>
    <row r="201">
      <c r="A201" s="2">
        <v>2.0</v>
      </c>
      <c r="B201" s="3" t="s">
        <v>139</v>
      </c>
      <c r="C201" s="2">
        <v>1.0</v>
      </c>
      <c r="D201" s="3" t="s">
        <v>276</v>
      </c>
      <c r="E201" s="2">
        <v>3.0</v>
      </c>
      <c r="F201" s="4" t="s">
        <v>317</v>
      </c>
      <c r="G201" s="2">
        <v>2.0</v>
      </c>
      <c r="H201" s="9" t="s">
        <v>325</v>
      </c>
      <c r="I201" s="8" t="s">
        <v>273</v>
      </c>
      <c r="J201" s="12">
        <v>6.0</v>
      </c>
      <c r="K201" s="9" t="s">
        <v>331</v>
      </c>
      <c r="L201" s="6"/>
    </row>
    <row r="202">
      <c r="A202" s="2">
        <v>2.0</v>
      </c>
      <c r="B202" s="3" t="s">
        <v>139</v>
      </c>
      <c r="C202" s="2">
        <v>1.0</v>
      </c>
      <c r="D202" s="3" t="s">
        <v>276</v>
      </c>
      <c r="E202" s="2">
        <v>3.0</v>
      </c>
      <c r="F202" s="4" t="s">
        <v>317</v>
      </c>
      <c r="G202" s="2">
        <v>3.0</v>
      </c>
      <c r="H202" s="9" t="s">
        <v>272</v>
      </c>
      <c r="I202" s="8" t="s">
        <v>273</v>
      </c>
      <c r="J202" s="12">
        <v>1.0</v>
      </c>
      <c r="K202" s="9" t="s">
        <v>332</v>
      </c>
      <c r="L202" s="6"/>
    </row>
    <row r="203">
      <c r="A203" s="2">
        <v>2.0</v>
      </c>
      <c r="B203" s="3" t="s">
        <v>139</v>
      </c>
      <c r="C203" s="2">
        <v>1.0</v>
      </c>
      <c r="D203" s="3" t="s">
        <v>276</v>
      </c>
      <c r="E203" s="2">
        <v>3.0</v>
      </c>
      <c r="F203" s="4" t="s">
        <v>317</v>
      </c>
      <c r="G203" s="2">
        <v>3.0</v>
      </c>
      <c r="H203" s="9" t="s">
        <v>272</v>
      </c>
      <c r="I203" s="8" t="s">
        <v>333</v>
      </c>
      <c r="J203" s="12">
        <v>2.0</v>
      </c>
      <c r="K203" s="9" t="s">
        <v>274</v>
      </c>
      <c r="L203" s="6"/>
    </row>
    <row r="204">
      <c r="A204" s="2">
        <v>2.0</v>
      </c>
      <c r="B204" s="3" t="s">
        <v>139</v>
      </c>
      <c r="C204" s="2">
        <v>1.0</v>
      </c>
      <c r="D204" s="3" t="s">
        <v>276</v>
      </c>
      <c r="E204" s="2">
        <v>3.0</v>
      </c>
      <c r="F204" s="4" t="s">
        <v>317</v>
      </c>
      <c r="G204" s="2">
        <v>3.0</v>
      </c>
      <c r="H204" s="9" t="s">
        <v>272</v>
      </c>
      <c r="I204" s="8" t="s">
        <v>333</v>
      </c>
      <c r="J204" s="12">
        <v>3.0</v>
      </c>
      <c r="K204" s="9" t="s">
        <v>275</v>
      </c>
      <c r="L204" s="8"/>
    </row>
    <row r="205">
      <c r="A205" s="2">
        <v>2.0</v>
      </c>
      <c r="B205" s="3" t="s">
        <v>139</v>
      </c>
      <c r="C205" s="2">
        <v>1.0</v>
      </c>
      <c r="D205" s="3" t="s">
        <v>276</v>
      </c>
      <c r="E205" s="2">
        <v>4.0</v>
      </c>
      <c r="F205" s="4" t="s">
        <v>334</v>
      </c>
      <c r="G205" s="2">
        <v>1.0</v>
      </c>
      <c r="H205" s="9" t="s">
        <v>335</v>
      </c>
      <c r="I205" s="8" t="s">
        <v>333</v>
      </c>
      <c r="J205" s="12">
        <v>1.0</v>
      </c>
      <c r="K205" s="9" t="s">
        <v>336</v>
      </c>
      <c r="L205" s="6"/>
    </row>
    <row r="206">
      <c r="A206" s="2">
        <v>2.0</v>
      </c>
      <c r="B206" s="3" t="s">
        <v>139</v>
      </c>
      <c r="C206" s="2">
        <v>1.0</v>
      </c>
      <c r="D206" s="3" t="s">
        <v>276</v>
      </c>
      <c r="E206" s="2">
        <v>4.0</v>
      </c>
      <c r="F206" s="4" t="s">
        <v>334</v>
      </c>
      <c r="G206" s="2">
        <v>1.0</v>
      </c>
      <c r="H206" s="9" t="s">
        <v>335</v>
      </c>
      <c r="I206" s="8" t="s">
        <v>333</v>
      </c>
      <c r="J206" s="12">
        <v>2.0</v>
      </c>
      <c r="K206" s="9" t="s">
        <v>337</v>
      </c>
      <c r="L206" s="6"/>
    </row>
    <row r="207">
      <c r="A207" s="2">
        <v>2.0</v>
      </c>
      <c r="B207" s="3" t="s">
        <v>139</v>
      </c>
      <c r="C207" s="2">
        <v>1.0</v>
      </c>
      <c r="D207" s="3" t="s">
        <v>276</v>
      </c>
      <c r="E207" s="2">
        <v>4.0</v>
      </c>
      <c r="F207" s="4" t="s">
        <v>334</v>
      </c>
      <c r="G207" s="2">
        <v>1.0</v>
      </c>
      <c r="H207" s="9" t="s">
        <v>335</v>
      </c>
      <c r="I207" s="8" t="s">
        <v>338</v>
      </c>
      <c r="J207" s="12">
        <v>3.0</v>
      </c>
      <c r="K207" s="9" t="s">
        <v>339</v>
      </c>
      <c r="L207" s="6"/>
    </row>
    <row r="208">
      <c r="A208" s="2">
        <v>2.0</v>
      </c>
      <c r="B208" s="3" t="s">
        <v>139</v>
      </c>
      <c r="C208" s="2">
        <v>1.0</v>
      </c>
      <c r="D208" s="3" t="s">
        <v>276</v>
      </c>
      <c r="E208" s="2">
        <v>4.0</v>
      </c>
      <c r="F208" s="4" t="s">
        <v>334</v>
      </c>
      <c r="G208" s="2">
        <v>1.0</v>
      </c>
      <c r="H208" s="9" t="s">
        <v>335</v>
      </c>
      <c r="I208" s="8" t="s">
        <v>338</v>
      </c>
      <c r="J208" s="12">
        <v>4.0</v>
      </c>
      <c r="K208" s="9" t="s">
        <v>340</v>
      </c>
      <c r="L208" s="6"/>
    </row>
    <row r="209">
      <c r="A209" s="2">
        <v>2.0</v>
      </c>
      <c r="B209" s="3" t="s">
        <v>139</v>
      </c>
      <c r="C209" s="2">
        <v>1.0</v>
      </c>
      <c r="D209" s="3" t="s">
        <v>276</v>
      </c>
      <c r="E209" s="2">
        <v>4.0</v>
      </c>
      <c r="F209" s="4" t="s">
        <v>334</v>
      </c>
      <c r="G209" s="2">
        <v>2.0</v>
      </c>
      <c r="H209" s="9" t="s">
        <v>341</v>
      </c>
      <c r="I209" s="8" t="s">
        <v>338</v>
      </c>
      <c r="J209" s="12">
        <v>1.0</v>
      </c>
      <c r="K209" s="9" t="s">
        <v>342</v>
      </c>
      <c r="L209" s="6"/>
    </row>
    <row r="210">
      <c r="A210" s="2">
        <v>2.0</v>
      </c>
      <c r="B210" s="3" t="s">
        <v>139</v>
      </c>
      <c r="C210" s="2">
        <v>1.0</v>
      </c>
      <c r="D210" s="3" t="s">
        <v>276</v>
      </c>
      <c r="E210" s="2">
        <v>4.0</v>
      </c>
      <c r="F210" s="4" t="s">
        <v>334</v>
      </c>
      <c r="G210" s="2">
        <v>2.0</v>
      </c>
      <c r="H210" s="9" t="s">
        <v>341</v>
      </c>
      <c r="I210" s="8" t="s">
        <v>338</v>
      </c>
      <c r="J210" s="12">
        <v>2.0</v>
      </c>
      <c r="K210" s="9" t="s">
        <v>343</v>
      </c>
      <c r="L210" s="6"/>
    </row>
    <row r="211">
      <c r="A211" s="2">
        <v>2.0</v>
      </c>
      <c r="B211" s="3" t="s">
        <v>139</v>
      </c>
      <c r="C211" s="2">
        <v>1.0</v>
      </c>
      <c r="D211" s="3" t="s">
        <v>276</v>
      </c>
      <c r="E211" s="2">
        <v>4.0</v>
      </c>
      <c r="F211" s="4" t="s">
        <v>334</v>
      </c>
      <c r="G211" s="2">
        <v>2.0</v>
      </c>
      <c r="H211" s="9" t="s">
        <v>341</v>
      </c>
      <c r="I211" s="8" t="s">
        <v>338</v>
      </c>
      <c r="J211" s="12">
        <v>3.0</v>
      </c>
      <c r="K211" s="9" t="s">
        <v>344</v>
      </c>
      <c r="L211" s="6"/>
    </row>
    <row r="212">
      <c r="A212" s="2">
        <v>2.0</v>
      </c>
      <c r="B212" s="3" t="s">
        <v>139</v>
      </c>
      <c r="C212" s="2">
        <v>1.0</v>
      </c>
      <c r="D212" s="3" t="s">
        <v>276</v>
      </c>
      <c r="E212" s="2">
        <v>4.0</v>
      </c>
      <c r="F212" s="4" t="s">
        <v>334</v>
      </c>
      <c r="G212" s="2">
        <v>2.0</v>
      </c>
      <c r="H212" s="9" t="s">
        <v>341</v>
      </c>
      <c r="I212" s="8" t="s">
        <v>345</v>
      </c>
      <c r="J212" s="12">
        <v>4.0</v>
      </c>
      <c r="K212" s="9" t="s">
        <v>346</v>
      </c>
      <c r="L212" s="6"/>
    </row>
    <row r="213">
      <c r="A213" s="2">
        <v>2.0</v>
      </c>
      <c r="B213" s="3" t="s">
        <v>139</v>
      </c>
      <c r="C213" s="2">
        <v>1.0</v>
      </c>
      <c r="D213" s="3" t="s">
        <v>276</v>
      </c>
      <c r="E213" s="2">
        <v>4.0</v>
      </c>
      <c r="F213" s="4" t="s">
        <v>334</v>
      </c>
      <c r="G213" s="2">
        <v>2.0</v>
      </c>
      <c r="H213" s="9" t="s">
        <v>341</v>
      </c>
      <c r="I213" s="8" t="s">
        <v>345</v>
      </c>
      <c r="J213" s="12">
        <v>5.0</v>
      </c>
      <c r="K213" s="9" t="s">
        <v>347</v>
      </c>
      <c r="L213" s="6"/>
    </row>
    <row r="214">
      <c r="A214" s="2">
        <v>2.0</v>
      </c>
      <c r="B214" s="3" t="s">
        <v>139</v>
      </c>
      <c r="C214" s="2">
        <v>1.0</v>
      </c>
      <c r="D214" s="3" t="s">
        <v>276</v>
      </c>
      <c r="E214" s="2">
        <v>4.0</v>
      </c>
      <c r="F214" s="4" t="s">
        <v>334</v>
      </c>
      <c r="G214" s="2">
        <v>3.0</v>
      </c>
      <c r="H214" s="9" t="s">
        <v>348</v>
      </c>
      <c r="I214" s="8" t="s">
        <v>345</v>
      </c>
      <c r="J214" s="12">
        <v>1.0</v>
      </c>
      <c r="K214" s="9" t="s">
        <v>348</v>
      </c>
      <c r="L214" s="6"/>
    </row>
    <row r="215">
      <c r="A215" s="2">
        <v>2.0</v>
      </c>
      <c r="B215" s="3" t="s">
        <v>139</v>
      </c>
      <c r="C215" s="2">
        <v>1.0</v>
      </c>
      <c r="D215" s="3" t="s">
        <v>276</v>
      </c>
      <c r="E215" s="2">
        <v>4.0</v>
      </c>
      <c r="F215" s="4" t="s">
        <v>334</v>
      </c>
      <c r="G215" s="2">
        <v>3.0</v>
      </c>
      <c r="H215" s="9" t="s">
        <v>348</v>
      </c>
      <c r="I215" s="8" t="s">
        <v>345</v>
      </c>
      <c r="J215" s="12">
        <v>2.0</v>
      </c>
      <c r="K215" s="9" t="s">
        <v>349</v>
      </c>
      <c r="L215" s="6"/>
    </row>
    <row r="216">
      <c r="A216" s="2">
        <v>2.0</v>
      </c>
      <c r="B216" s="3" t="s">
        <v>139</v>
      </c>
      <c r="C216" s="2">
        <v>1.0</v>
      </c>
      <c r="D216" s="3" t="s">
        <v>276</v>
      </c>
      <c r="E216" s="2">
        <v>4.0</v>
      </c>
      <c r="F216" s="4" t="s">
        <v>334</v>
      </c>
      <c r="G216" s="2">
        <v>3.0</v>
      </c>
      <c r="H216" s="9" t="s">
        <v>348</v>
      </c>
      <c r="I216" s="8" t="s">
        <v>350</v>
      </c>
      <c r="J216" s="12">
        <v>3.0</v>
      </c>
      <c r="K216" s="9" t="s">
        <v>351</v>
      </c>
      <c r="L216" s="6"/>
    </row>
    <row r="217">
      <c r="A217" s="2">
        <v>2.0</v>
      </c>
      <c r="B217" s="3" t="s">
        <v>139</v>
      </c>
      <c r="C217" s="2">
        <v>1.0</v>
      </c>
      <c r="D217" s="3" t="s">
        <v>276</v>
      </c>
      <c r="E217" s="2">
        <v>4.0</v>
      </c>
      <c r="F217" s="4" t="s">
        <v>334</v>
      </c>
      <c r="G217" s="2">
        <v>3.0</v>
      </c>
      <c r="H217" s="9" t="s">
        <v>348</v>
      </c>
      <c r="I217" s="8" t="s">
        <v>350</v>
      </c>
      <c r="J217" s="12">
        <v>4.0</v>
      </c>
      <c r="K217" s="9" t="s">
        <v>352</v>
      </c>
      <c r="L217" s="8"/>
    </row>
    <row r="218">
      <c r="A218" s="2">
        <v>2.0</v>
      </c>
      <c r="B218" s="3" t="s">
        <v>139</v>
      </c>
      <c r="C218" s="2">
        <v>1.0</v>
      </c>
      <c r="D218" s="3" t="s">
        <v>276</v>
      </c>
      <c r="E218" s="2">
        <v>4.0</v>
      </c>
      <c r="F218" s="4" t="s">
        <v>334</v>
      </c>
      <c r="G218" s="2">
        <v>4.0</v>
      </c>
      <c r="H218" s="9" t="s">
        <v>353</v>
      </c>
      <c r="I218" s="8" t="s">
        <v>350</v>
      </c>
      <c r="J218" s="12">
        <v>1.0</v>
      </c>
      <c r="K218" s="9" t="s">
        <v>354</v>
      </c>
      <c r="L218" s="6"/>
    </row>
    <row r="219">
      <c r="A219" s="2">
        <v>2.0</v>
      </c>
      <c r="B219" s="3" t="s">
        <v>139</v>
      </c>
      <c r="C219" s="2">
        <v>1.0</v>
      </c>
      <c r="D219" s="3" t="s">
        <v>276</v>
      </c>
      <c r="E219" s="2">
        <v>4.0</v>
      </c>
      <c r="F219" s="4" t="s">
        <v>334</v>
      </c>
      <c r="G219" s="2">
        <v>4.0</v>
      </c>
      <c r="H219" s="9" t="s">
        <v>353</v>
      </c>
      <c r="I219" s="8" t="s">
        <v>350</v>
      </c>
      <c r="J219" s="12">
        <v>2.0</v>
      </c>
      <c r="K219" s="9" t="s">
        <v>355</v>
      </c>
      <c r="L219" s="6"/>
    </row>
    <row r="220">
      <c r="A220" s="2">
        <v>2.0</v>
      </c>
      <c r="B220" s="3" t="s">
        <v>139</v>
      </c>
      <c r="C220" s="2">
        <v>1.0</v>
      </c>
      <c r="D220" s="3" t="s">
        <v>276</v>
      </c>
      <c r="E220" s="2">
        <v>4.0</v>
      </c>
      <c r="F220" s="4" t="s">
        <v>334</v>
      </c>
      <c r="G220" s="2">
        <v>4.0</v>
      </c>
      <c r="H220" s="9" t="s">
        <v>353</v>
      </c>
      <c r="I220" s="8" t="s">
        <v>350</v>
      </c>
      <c r="J220" s="12">
        <v>3.0</v>
      </c>
      <c r="K220" s="9" t="s">
        <v>356</v>
      </c>
      <c r="L220" s="6"/>
    </row>
    <row r="221">
      <c r="A221" s="2">
        <v>2.0</v>
      </c>
      <c r="B221" s="3" t="s">
        <v>139</v>
      </c>
      <c r="C221" s="2">
        <v>1.0</v>
      </c>
      <c r="D221" s="3" t="s">
        <v>276</v>
      </c>
      <c r="E221" s="2">
        <v>4.0</v>
      </c>
      <c r="F221" s="4" t="s">
        <v>334</v>
      </c>
      <c r="G221" s="2">
        <v>4.0</v>
      </c>
      <c r="H221" s="9" t="s">
        <v>353</v>
      </c>
      <c r="I221" s="8" t="s">
        <v>350</v>
      </c>
      <c r="J221" s="12">
        <v>4.0</v>
      </c>
      <c r="K221" s="9" t="s">
        <v>357</v>
      </c>
      <c r="L221" s="6"/>
    </row>
    <row r="222">
      <c r="A222" s="2">
        <v>2.0</v>
      </c>
      <c r="B222" s="3" t="s">
        <v>139</v>
      </c>
      <c r="C222" s="2">
        <v>1.0</v>
      </c>
      <c r="D222" s="3" t="s">
        <v>276</v>
      </c>
      <c r="E222" s="2">
        <v>4.0</v>
      </c>
      <c r="F222" s="4" t="s">
        <v>334</v>
      </c>
      <c r="G222" s="2">
        <v>4.0</v>
      </c>
      <c r="H222" s="9" t="s">
        <v>353</v>
      </c>
      <c r="I222" s="8" t="s">
        <v>358</v>
      </c>
      <c r="J222" s="12">
        <v>5.0</v>
      </c>
      <c r="K222" s="9" t="s">
        <v>359</v>
      </c>
      <c r="L222" s="6"/>
    </row>
    <row r="223">
      <c r="A223" s="2">
        <v>2.0</v>
      </c>
      <c r="B223" s="3" t="s">
        <v>139</v>
      </c>
      <c r="C223" s="2">
        <v>1.0</v>
      </c>
      <c r="D223" s="3" t="s">
        <v>276</v>
      </c>
      <c r="E223" s="2">
        <v>4.0</v>
      </c>
      <c r="F223" s="4" t="s">
        <v>334</v>
      </c>
      <c r="G223" s="2">
        <v>4.0</v>
      </c>
      <c r="H223" s="9" t="s">
        <v>353</v>
      </c>
      <c r="I223" s="8" t="s">
        <v>358</v>
      </c>
      <c r="J223" s="12">
        <v>6.0</v>
      </c>
      <c r="K223" s="9" t="s">
        <v>360</v>
      </c>
      <c r="L223" s="8"/>
    </row>
    <row r="224">
      <c r="A224" s="2">
        <v>2.0</v>
      </c>
      <c r="B224" s="3" t="s">
        <v>139</v>
      </c>
      <c r="C224" s="2">
        <v>1.0</v>
      </c>
      <c r="D224" s="3" t="s">
        <v>276</v>
      </c>
      <c r="E224" s="2">
        <v>5.0</v>
      </c>
      <c r="F224" s="4" t="s">
        <v>361</v>
      </c>
      <c r="G224" s="2">
        <v>1.0</v>
      </c>
      <c r="H224" s="9" t="s">
        <v>362</v>
      </c>
      <c r="I224" s="8" t="s">
        <v>358</v>
      </c>
      <c r="J224" s="12">
        <v>1.0</v>
      </c>
      <c r="K224" s="9" t="s">
        <v>363</v>
      </c>
      <c r="L224" s="6"/>
    </row>
    <row r="225">
      <c r="A225" s="2">
        <v>2.0</v>
      </c>
      <c r="B225" s="3" t="s">
        <v>139</v>
      </c>
      <c r="C225" s="2">
        <v>1.0</v>
      </c>
      <c r="D225" s="3" t="s">
        <v>276</v>
      </c>
      <c r="E225" s="2">
        <v>5.0</v>
      </c>
      <c r="F225" s="4" t="s">
        <v>361</v>
      </c>
      <c r="G225" s="2">
        <v>1.0</v>
      </c>
      <c r="H225" s="9" t="s">
        <v>362</v>
      </c>
      <c r="I225" s="8" t="s">
        <v>358</v>
      </c>
      <c r="J225" s="12">
        <v>2.0</v>
      </c>
      <c r="K225" s="9" t="s">
        <v>364</v>
      </c>
      <c r="L225" s="6"/>
    </row>
    <row r="226">
      <c r="A226" s="2">
        <v>2.0</v>
      </c>
      <c r="B226" s="3" t="s">
        <v>139</v>
      </c>
      <c r="C226" s="2">
        <v>1.0</v>
      </c>
      <c r="D226" s="3" t="s">
        <v>276</v>
      </c>
      <c r="E226" s="2">
        <v>5.0</v>
      </c>
      <c r="F226" s="4" t="s">
        <v>361</v>
      </c>
      <c r="G226" s="2">
        <v>1.0</v>
      </c>
      <c r="H226" s="9" t="s">
        <v>362</v>
      </c>
      <c r="I226" s="8" t="s">
        <v>365</v>
      </c>
      <c r="J226" s="12">
        <v>3.0</v>
      </c>
      <c r="K226" s="9" t="s">
        <v>366</v>
      </c>
      <c r="L226" s="6"/>
    </row>
    <row r="227">
      <c r="A227" s="2">
        <v>2.0</v>
      </c>
      <c r="B227" s="3" t="s">
        <v>139</v>
      </c>
      <c r="C227" s="2">
        <v>1.0</v>
      </c>
      <c r="D227" s="3" t="s">
        <v>276</v>
      </c>
      <c r="E227" s="2">
        <v>5.0</v>
      </c>
      <c r="F227" s="4" t="s">
        <v>361</v>
      </c>
      <c r="G227" s="2">
        <v>1.0</v>
      </c>
      <c r="H227" s="9" t="s">
        <v>362</v>
      </c>
      <c r="I227" s="8" t="s">
        <v>365</v>
      </c>
      <c r="J227" s="12">
        <v>4.0</v>
      </c>
      <c r="K227" s="9" t="s">
        <v>367</v>
      </c>
      <c r="L227" s="6"/>
    </row>
    <row r="228">
      <c r="A228" s="2">
        <v>2.0</v>
      </c>
      <c r="B228" s="3" t="s">
        <v>139</v>
      </c>
      <c r="C228" s="2">
        <v>1.0</v>
      </c>
      <c r="D228" s="3" t="s">
        <v>276</v>
      </c>
      <c r="E228" s="2">
        <v>5.0</v>
      </c>
      <c r="F228" s="4" t="s">
        <v>361</v>
      </c>
      <c r="G228" s="2">
        <v>2.0</v>
      </c>
      <c r="H228" s="9" t="s">
        <v>368</v>
      </c>
      <c r="I228" s="8" t="s">
        <v>365</v>
      </c>
      <c r="J228" s="12">
        <v>1.0</v>
      </c>
      <c r="K228" s="9" t="s">
        <v>369</v>
      </c>
      <c r="L228" s="6"/>
    </row>
    <row r="229">
      <c r="A229" s="2">
        <v>2.0</v>
      </c>
      <c r="B229" s="3" t="s">
        <v>139</v>
      </c>
      <c r="C229" s="2">
        <v>1.0</v>
      </c>
      <c r="D229" s="3" t="s">
        <v>276</v>
      </c>
      <c r="E229" s="2">
        <v>5.0</v>
      </c>
      <c r="F229" s="4" t="s">
        <v>361</v>
      </c>
      <c r="G229" s="2">
        <v>2.0</v>
      </c>
      <c r="H229" s="9" t="s">
        <v>368</v>
      </c>
      <c r="I229" s="8" t="s">
        <v>365</v>
      </c>
      <c r="J229" s="12">
        <v>2.0</v>
      </c>
      <c r="K229" s="9" t="s">
        <v>370</v>
      </c>
      <c r="L229" s="6"/>
    </row>
    <row r="230">
      <c r="A230" s="2">
        <v>2.0</v>
      </c>
      <c r="B230" s="3" t="s">
        <v>139</v>
      </c>
      <c r="C230" s="2">
        <v>1.0</v>
      </c>
      <c r="D230" s="3" t="s">
        <v>276</v>
      </c>
      <c r="E230" s="2">
        <v>5.0</v>
      </c>
      <c r="F230" s="4" t="s">
        <v>361</v>
      </c>
      <c r="G230" s="2">
        <v>2.0</v>
      </c>
      <c r="H230" s="9" t="s">
        <v>368</v>
      </c>
      <c r="I230" s="8" t="s">
        <v>365</v>
      </c>
      <c r="J230" s="12">
        <v>3.0</v>
      </c>
      <c r="K230" s="9" t="s">
        <v>371</v>
      </c>
      <c r="L230" s="6"/>
    </row>
    <row r="231">
      <c r="A231" s="2">
        <v>2.0</v>
      </c>
      <c r="B231" s="3" t="s">
        <v>139</v>
      </c>
      <c r="C231" s="2">
        <v>1.0</v>
      </c>
      <c r="D231" s="3" t="s">
        <v>276</v>
      </c>
      <c r="E231" s="2">
        <v>5.0</v>
      </c>
      <c r="F231" s="4" t="s">
        <v>361</v>
      </c>
      <c r="G231" s="2">
        <v>2.0</v>
      </c>
      <c r="H231" s="9" t="s">
        <v>368</v>
      </c>
      <c r="I231" s="8" t="s">
        <v>365</v>
      </c>
      <c r="J231" s="12">
        <v>4.0</v>
      </c>
      <c r="K231" s="9" t="s">
        <v>372</v>
      </c>
      <c r="L231" s="6"/>
    </row>
    <row r="232">
      <c r="A232" s="2">
        <v>2.0</v>
      </c>
      <c r="B232" s="3" t="s">
        <v>139</v>
      </c>
      <c r="C232" s="2">
        <v>1.0</v>
      </c>
      <c r="D232" s="3" t="s">
        <v>276</v>
      </c>
      <c r="E232" s="2">
        <v>5.0</v>
      </c>
      <c r="F232" s="4" t="s">
        <v>361</v>
      </c>
      <c r="G232" s="2">
        <v>2.0</v>
      </c>
      <c r="H232" s="9" t="s">
        <v>368</v>
      </c>
      <c r="I232" s="8" t="s">
        <v>373</v>
      </c>
      <c r="J232" s="12">
        <v>5.0</v>
      </c>
      <c r="K232" s="9" t="s">
        <v>374</v>
      </c>
      <c r="L232" s="6"/>
    </row>
    <row r="233">
      <c r="A233" s="2">
        <v>2.0</v>
      </c>
      <c r="B233" s="3" t="s">
        <v>139</v>
      </c>
      <c r="C233" s="2">
        <v>1.0</v>
      </c>
      <c r="D233" s="3" t="s">
        <v>276</v>
      </c>
      <c r="E233" s="2">
        <v>5.0</v>
      </c>
      <c r="F233" s="4" t="s">
        <v>361</v>
      </c>
      <c r="G233" s="2">
        <v>2.0</v>
      </c>
      <c r="H233" s="9" t="s">
        <v>368</v>
      </c>
      <c r="I233" s="8" t="s">
        <v>373</v>
      </c>
      <c r="J233" s="12">
        <v>6.0</v>
      </c>
      <c r="K233" s="9" t="s">
        <v>375</v>
      </c>
      <c r="L233" s="6"/>
    </row>
    <row r="234">
      <c r="A234" s="2">
        <v>2.0</v>
      </c>
      <c r="B234" s="3" t="s">
        <v>139</v>
      </c>
      <c r="C234" s="2">
        <v>1.0</v>
      </c>
      <c r="D234" s="3" t="s">
        <v>276</v>
      </c>
      <c r="E234" s="2">
        <v>5.0</v>
      </c>
      <c r="F234" s="4" t="s">
        <v>361</v>
      </c>
      <c r="G234" s="2">
        <v>3.0</v>
      </c>
      <c r="H234" s="9" t="s">
        <v>376</v>
      </c>
      <c r="I234" s="8" t="s">
        <v>373</v>
      </c>
      <c r="J234" s="12">
        <v>1.0</v>
      </c>
      <c r="K234" s="9" t="s">
        <v>377</v>
      </c>
      <c r="L234" s="6"/>
    </row>
    <row r="235">
      <c r="A235" s="2">
        <v>2.0</v>
      </c>
      <c r="B235" s="3" t="s">
        <v>139</v>
      </c>
      <c r="C235" s="2">
        <v>1.0</v>
      </c>
      <c r="D235" s="3" t="s">
        <v>276</v>
      </c>
      <c r="E235" s="2">
        <v>5.0</v>
      </c>
      <c r="F235" s="4" t="s">
        <v>361</v>
      </c>
      <c r="G235" s="2">
        <v>3.0</v>
      </c>
      <c r="H235" s="9" t="s">
        <v>376</v>
      </c>
      <c r="I235" s="8" t="s">
        <v>373</v>
      </c>
      <c r="J235" s="12">
        <v>2.0</v>
      </c>
      <c r="K235" s="9" t="s">
        <v>378</v>
      </c>
      <c r="L235" s="6"/>
    </row>
    <row r="236">
      <c r="A236" s="2">
        <v>2.0</v>
      </c>
      <c r="B236" s="3" t="s">
        <v>139</v>
      </c>
      <c r="C236" s="2">
        <v>1.0</v>
      </c>
      <c r="D236" s="3" t="s">
        <v>276</v>
      </c>
      <c r="E236" s="2">
        <v>5.0</v>
      </c>
      <c r="F236" s="4" t="s">
        <v>361</v>
      </c>
      <c r="G236" s="2">
        <v>3.0</v>
      </c>
      <c r="H236" s="9" t="s">
        <v>376</v>
      </c>
      <c r="I236" s="6"/>
      <c r="J236" s="12">
        <v>3.0</v>
      </c>
      <c r="K236" s="9" t="s">
        <v>379</v>
      </c>
      <c r="L236" s="6"/>
    </row>
    <row r="237">
      <c r="A237" s="2">
        <v>2.0</v>
      </c>
      <c r="B237" s="3" t="s">
        <v>139</v>
      </c>
      <c r="C237" s="2">
        <v>1.0</v>
      </c>
      <c r="D237" s="3" t="s">
        <v>276</v>
      </c>
      <c r="E237" s="2">
        <v>5.0</v>
      </c>
      <c r="F237" s="4" t="s">
        <v>361</v>
      </c>
      <c r="G237" s="2">
        <v>3.0</v>
      </c>
      <c r="H237" s="9" t="s">
        <v>376</v>
      </c>
      <c r="I237" s="8"/>
      <c r="J237" s="12">
        <v>4.0</v>
      </c>
      <c r="K237" s="9" t="s">
        <v>380</v>
      </c>
      <c r="L237" s="8"/>
    </row>
    <row r="238">
      <c r="A238" s="2">
        <v>2.0</v>
      </c>
      <c r="B238" s="3" t="s">
        <v>139</v>
      </c>
      <c r="C238" s="2">
        <v>1.0</v>
      </c>
      <c r="D238" s="3" t="s">
        <v>276</v>
      </c>
      <c r="E238" s="2">
        <v>5.0</v>
      </c>
      <c r="F238" s="4" t="s">
        <v>361</v>
      </c>
      <c r="G238" s="2">
        <v>4.0</v>
      </c>
      <c r="H238" s="9" t="s">
        <v>381</v>
      </c>
      <c r="I238" s="6" t="s">
        <v>373</v>
      </c>
      <c r="J238" s="12">
        <v>1.0</v>
      </c>
      <c r="K238" s="9" t="s">
        <v>382</v>
      </c>
      <c r="L238" s="6"/>
    </row>
    <row r="239">
      <c r="A239" s="2">
        <v>2.0</v>
      </c>
      <c r="B239" s="3" t="s">
        <v>139</v>
      </c>
      <c r="C239" s="2">
        <v>1.0</v>
      </c>
      <c r="D239" s="3" t="s">
        <v>276</v>
      </c>
      <c r="E239" s="2">
        <v>5.0</v>
      </c>
      <c r="F239" s="4" t="s">
        <v>361</v>
      </c>
      <c r="G239" s="2">
        <v>4.0</v>
      </c>
      <c r="H239" s="9" t="s">
        <v>381</v>
      </c>
      <c r="I239" s="6" t="s">
        <v>373</v>
      </c>
      <c r="J239" s="12">
        <v>2.0</v>
      </c>
      <c r="K239" s="9" t="s">
        <v>383</v>
      </c>
      <c r="L239" s="6"/>
    </row>
    <row r="240">
      <c r="A240" s="2">
        <v>2.0</v>
      </c>
      <c r="B240" s="3" t="s">
        <v>139</v>
      </c>
      <c r="C240" s="2">
        <v>1.0</v>
      </c>
      <c r="D240" s="3" t="s">
        <v>276</v>
      </c>
      <c r="E240" s="2">
        <v>5.0</v>
      </c>
      <c r="F240" s="4" t="s">
        <v>361</v>
      </c>
      <c r="G240" s="2">
        <v>4.0</v>
      </c>
      <c r="H240" s="9" t="s">
        <v>381</v>
      </c>
      <c r="I240" s="6" t="s">
        <v>373</v>
      </c>
      <c r="J240" s="12">
        <v>3.0</v>
      </c>
      <c r="K240" s="9" t="s">
        <v>384</v>
      </c>
      <c r="L240" s="6"/>
    </row>
    <row r="241">
      <c r="A241" s="2">
        <v>2.0</v>
      </c>
      <c r="B241" s="3" t="s">
        <v>139</v>
      </c>
      <c r="C241" s="2">
        <v>1.0</v>
      </c>
      <c r="D241" s="3" t="s">
        <v>276</v>
      </c>
      <c r="E241" s="2">
        <v>5.0</v>
      </c>
      <c r="F241" s="4" t="s">
        <v>361</v>
      </c>
      <c r="G241" s="2">
        <v>4.0</v>
      </c>
      <c r="H241" s="9" t="s">
        <v>381</v>
      </c>
      <c r="I241" s="6" t="s">
        <v>373</v>
      </c>
      <c r="J241" s="12">
        <v>4.0</v>
      </c>
      <c r="K241" s="9" t="s">
        <v>385</v>
      </c>
      <c r="L241" s="6"/>
    </row>
    <row r="242">
      <c r="A242" s="2">
        <v>2.0</v>
      </c>
      <c r="B242" s="3" t="s">
        <v>139</v>
      </c>
      <c r="C242" s="2">
        <v>1.0</v>
      </c>
      <c r="D242" s="3" t="s">
        <v>276</v>
      </c>
      <c r="E242" s="2">
        <v>5.0</v>
      </c>
      <c r="F242" s="4" t="s">
        <v>361</v>
      </c>
      <c r="G242" s="2">
        <v>4.0</v>
      </c>
      <c r="H242" s="9" t="s">
        <v>381</v>
      </c>
      <c r="I242" s="6" t="s">
        <v>373</v>
      </c>
      <c r="J242" s="12">
        <v>5.0</v>
      </c>
      <c r="K242" s="9" t="s">
        <v>386</v>
      </c>
      <c r="L242" s="6"/>
    </row>
    <row r="243">
      <c r="A243" s="2">
        <v>2.0</v>
      </c>
      <c r="B243" s="3" t="s">
        <v>139</v>
      </c>
      <c r="C243" s="2">
        <v>1.0</v>
      </c>
      <c r="D243" s="3" t="s">
        <v>276</v>
      </c>
      <c r="E243" s="2">
        <v>5.0</v>
      </c>
      <c r="F243" s="4" t="s">
        <v>361</v>
      </c>
      <c r="G243" s="2">
        <v>4.0</v>
      </c>
      <c r="H243" s="9" t="s">
        <v>381</v>
      </c>
      <c r="I243" s="6" t="s">
        <v>373</v>
      </c>
      <c r="J243" s="12">
        <v>6.0</v>
      </c>
      <c r="K243" s="9" t="s">
        <v>387</v>
      </c>
      <c r="L243" s="6"/>
    </row>
    <row r="244">
      <c r="A244" s="2">
        <v>2.0</v>
      </c>
      <c r="B244" s="3" t="s">
        <v>139</v>
      </c>
      <c r="C244" s="2">
        <v>1.0</v>
      </c>
      <c r="D244" s="3" t="s">
        <v>276</v>
      </c>
      <c r="E244" s="2">
        <v>5.0</v>
      </c>
      <c r="F244" s="4" t="s">
        <v>361</v>
      </c>
      <c r="G244" s="2">
        <v>4.0</v>
      </c>
      <c r="H244" s="9" t="s">
        <v>381</v>
      </c>
      <c r="I244" s="8" t="s">
        <v>388</v>
      </c>
      <c r="J244" s="12">
        <v>7.0</v>
      </c>
      <c r="K244" s="9" t="s">
        <v>389</v>
      </c>
      <c r="L244" s="6"/>
    </row>
    <row r="245">
      <c r="A245" s="2">
        <v>2.0</v>
      </c>
      <c r="B245" s="3" t="s">
        <v>139</v>
      </c>
      <c r="C245" s="2">
        <v>1.0</v>
      </c>
      <c r="D245" s="3" t="s">
        <v>276</v>
      </c>
      <c r="E245" s="2">
        <v>5.0</v>
      </c>
      <c r="F245" s="4" t="s">
        <v>361</v>
      </c>
      <c r="G245" s="2">
        <v>4.0</v>
      </c>
      <c r="H245" s="9" t="s">
        <v>381</v>
      </c>
      <c r="I245" s="8" t="s">
        <v>388</v>
      </c>
      <c r="J245" s="12">
        <v>8.0</v>
      </c>
      <c r="K245" s="9" t="s">
        <v>390</v>
      </c>
      <c r="L245" s="6"/>
    </row>
    <row r="246">
      <c r="A246" s="2">
        <v>2.0</v>
      </c>
      <c r="B246" s="3" t="s">
        <v>139</v>
      </c>
      <c r="C246" s="2">
        <v>1.0</v>
      </c>
      <c r="D246" s="3" t="s">
        <v>276</v>
      </c>
      <c r="E246" s="2">
        <v>6.0</v>
      </c>
      <c r="F246" s="4" t="s">
        <v>391</v>
      </c>
      <c r="G246" s="2">
        <v>1.0</v>
      </c>
      <c r="H246" s="9" t="s">
        <v>392</v>
      </c>
      <c r="I246" s="8" t="s">
        <v>393</v>
      </c>
      <c r="J246" s="12">
        <v>1.0</v>
      </c>
      <c r="K246" s="9" t="s">
        <v>394</v>
      </c>
      <c r="L246" s="6"/>
    </row>
    <row r="247">
      <c r="A247" s="2">
        <v>2.0</v>
      </c>
      <c r="B247" s="3" t="s">
        <v>139</v>
      </c>
      <c r="C247" s="2">
        <v>1.0</v>
      </c>
      <c r="D247" s="3" t="s">
        <v>276</v>
      </c>
      <c r="E247" s="2">
        <v>6.0</v>
      </c>
      <c r="F247" s="4" t="s">
        <v>391</v>
      </c>
      <c r="G247" s="2">
        <v>1.0</v>
      </c>
      <c r="H247" s="9" t="s">
        <v>392</v>
      </c>
      <c r="I247" s="8" t="s">
        <v>395</v>
      </c>
      <c r="J247" s="12">
        <v>2.0</v>
      </c>
      <c r="K247" s="9" t="s">
        <v>396</v>
      </c>
      <c r="L247" s="6"/>
    </row>
    <row r="248">
      <c r="A248" s="2">
        <v>2.0</v>
      </c>
      <c r="B248" s="3" t="s">
        <v>139</v>
      </c>
      <c r="C248" s="2">
        <v>1.0</v>
      </c>
      <c r="D248" s="3" t="s">
        <v>276</v>
      </c>
      <c r="E248" s="2">
        <v>6.0</v>
      </c>
      <c r="F248" s="4" t="s">
        <v>391</v>
      </c>
      <c r="G248" s="2">
        <v>2.0</v>
      </c>
      <c r="H248" s="9" t="s">
        <v>397</v>
      </c>
      <c r="I248" s="8" t="s">
        <v>395</v>
      </c>
      <c r="J248" s="12">
        <v>1.0</v>
      </c>
      <c r="K248" s="9" t="s">
        <v>398</v>
      </c>
      <c r="L248" s="6"/>
    </row>
    <row r="249">
      <c r="A249" s="2">
        <v>2.0</v>
      </c>
      <c r="B249" s="3" t="s">
        <v>139</v>
      </c>
      <c r="C249" s="2">
        <v>1.0</v>
      </c>
      <c r="D249" s="3" t="s">
        <v>276</v>
      </c>
      <c r="E249" s="2">
        <v>6.0</v>
      </c>
      <c r="F249" s="4" t="s">
        <v>399</v>
      </c>
      <c r="G249" s="2">
        <v>1.0</v>
      </c>
      <c r="H249" s="9" t="s">
        <v>400</v>
      </c>
      <c r="I249" s="8" t="s">
        <v>395</v>
      </c>
      <c r="J249" s="12">
        <v>1.0</v>
      </c>
      <c r="K249" s="9" t="s">
        <v>401</v>
      </c>
      <c r="L249" s="6"/>
    </row>
    <row r="250">
      <c r="A250" s="2">
        <v>2.0</v>
      </c>
      <c r="B250" s="3" t="s">
        <v>139</v>
      </c>
      <c r="C250" s="2">
        <v>1.0</v>
      </c>
      <c r="D250" s="3" t="s">
        <v>276</v>
      </c>
      <c r="E250" s="2">
        <v>6.0</v>
      </c>
      <c r="F250" s="4" t="s">
        <v>399</v>
      </c>
      <c r="G250" s="2">
        <v>1.0</v>
      </c>
      <c r="H250" s="9" t="s">
        <v>400</v>
      </c>
      <c r="I250" s="8" t="s">
        <v>395</v>
      </c>
      <c r="J250" s="12">
        <v>2.0</v>
      </c>
      <c r="K250" s="9" t="s">
        <v>402</v>
      </c>
      <c r="L250" s="6"/>
    </row>
    <row r="251">
      <c r="A251" s="2">
        <v>2.0</v>
      </c>
      <c r="B251" s="3" t="s">
        <v>139</v>
      </c>
      <c r="C251" s="2">
        <v>1.0</v>
      </c>
      <c r="D251" s="3" t="s">
        <v>276</v>
      </c>
      <c r="E251" s="2">
        <v>6.0</v>
      </c>
      <c r="F251" s="4" t="s">
        <v>399</v>
      </c>
      <c r="G251" s="2">
        <v>1.0</v>
      </c>
      <c r="H251" s="9" t="s">
        <v>400</v>
      </c>
      <c r="I251" s="8" t="s">
        <v>395</v>
      </c>
      <c r="J251" s="12">
        <v>3.0</v>
      </c>
      <c r="K251" s="9" t="s">
        <v>403</v>
      </c>
      <c r="L251" s="6"/>
    </row>
    <row r="252">
      <c r="A252" s="2">
        <v>2.0</v>
      </c>
      <c r="B252" s="3" t="s">
        <v>139</v>
      </c>
      <c r="C252" s="2">
        <v>1.0</v>
      </c>
      <c r="D252" s="3" t="s">
        <v>276</v>
      </c>
      <c r="E252" s="2">
        <v>6.0</v>
      </c>
      <c r="F252" s="4" t="s">
        <v>399</v>
      </c>
      <c r="G252" s="2">
        <v>1.0</v>
      </c>
      <c r="H252" s="9" t="s">
        <v>400</v>
      </c>
      <c r="I252" s="8" t="s">
        <v>395</v>
      </c>
      <c r="J252" s="12">
        <v>4.0</v>
      </c>
      <c r="K252" s="9" t="s">
        <v>404</v>
      </c>
      <c r="L252" s="6"/>
    </row>
    <row r="253">
      <c r="A253" s="2">
        <v>2.0</v>
      </c>
      <c r="B253" s="3" t="s">
        <v>139</v>
      </c>
      <c r="C253" s="2">
        <v>1.0</v>
      </c>
      <c r="D253" s="3" t="s">
        <v>276</v>
      </c>
      <c r="E253" s="2">
        <v>6.0</v>
      </c>
      <c r="F253" s="4" t="s">
        <v>399</v>
      </c>
      <c r="G253" s="2">
        <v>1.0</v>
      </c>
      <c r="H253" s="9" t="s">
        <v>400</v>
      </c>
      <c r="I253" s="8" t="s">
        <v>405</v>
      </c>
      <c r="J253" s="12">
        <v>5.0</v>
      </c>
      <c r="K253" s="9" t="s">
        <v>406</v>
      </c>
      <c r="L253" s="6"/>
    </row>
    <row r="254">
      <c r="A254" s="2">
        <v>2.0</v>
      </c>
      <c r="B254" s="3" t="s">
        <v>139</v>
      </c>
      <c r="C254" s="2">
        <v>1.0</v>
      </c>
      <c r="D254" s="3" t="s">
        <v>276</v>
      </c>
      <c r="E254" s="2">
        <v>6.0</v>
      </c>
      <c r="F254" s="4" t="s">
        <v>399</v>
      </c>
      <c r="G254" s="2">
        <v>1.0</v>
      </c>
      <c r="H254" s="9" t="s">
        <v>400</v>
      </c>
      <c r="I254" s="8" t="s">
        <v>405</v>
      </c>
      <c r="J254" s="12">
        <v>6.0</v>
      </c>
      <c r="K254" s="9" t="s">
        <v>407</v>
      </c>
      <c r="L254" s="6"/>
    </row>
    <row r="255">
      <c r="A255" s="2">
        <v>2.0</v>
      </c>
      <c r="B255" s="3" t="s">
        <v>139</v>
      </c>
      <c r="C255" s="2">
        <v>1.0</v>
      </c>
      <c r="D255" s="3" t="s">
        <v>276</v>
      </c>
      <c r="E255" s="2">
        <v>6.0</v>
      </c>
      <c r="F255" s="4" t="s">
        <v>399</v>
      </c>
      <c r="G255" s="2">
        <v>1.0</v>
      </c>
      <c r="H255" s="9" t="s">
        <v>400</v>
      </c>
      <c r="I255" s="8" t="s">
        <v>405</v>
      </c>
      <c r="J255" s="12">
        <v>7.0</v>
      </c>
      <c r="K255" s="9" t="s">
        <v>408</v>
      </c>
      <c r="L255" s="6"/>
    </row>
    <row r="256">
      <c r="A256" s="2">
        <v>2.0</v>
      </c>
      <c r="B256" s="3" t="s">
        <v>139</v>
      </c>
      <c r="C256" s="2">
        <v>1.0</v>
      </c>
      <c r="D256" s="3" t="s">
        <v>276</v>
      </c>
      <c r="E256" s="2">
        <v>6.0</v>
      </c>
      <c r="F256" s="4" t="s">
        <v>399</v>
      </c>
      <c r="G256" s="2">
        <v>2.0</v>
      </c>
      <c r="H256" s="9" t="s">
        <v>409</v>
      </c>
      <c r="I256" s="8" t="s">
        <v>405</v>
      </c>
      <c r="J256" s="12">
        <v>1.0</v>
      </c>
      <c r="K256" s="9" t="s">
        <v>410</v>
      </c>
      <c r="L256" s="6"/>
    </row>
    <row r="257">
      <c r="A257" s="2">
        <v>2.0</v>
      </c>
      <c r="B257" s="3" t="s">
        <v>139</v>
      </c>
      <c r="C257" s="2">
        <v>1.0</v>
      </c>
      <c r="D257" s="3" t="s">
        <v>276</v>
      </c>
      <c r="E257" s="2">
        <v>6.0</v>
      </c>
      <c r="F257" s="4" t="s">
        <v>399</v>
      </c>
      <c r="G257" s="2">
        <v>2.0</v>
      </c>
      <c r="H257" s="9" t="s">
        <v>409</v>
      </c>
      <c r="I257" s="8" t="s">
        <v>405</v>
      </c>
      <c r="J257" s="12">
        <v>2.0</v>
      </c>
      <c r="K257" s="9" t="s">
        <v>411</v>
      </c>
      <c r="L257" s="6"/>
    </row>
    <row r="258">
      <c r="A258" s="2">
        <v>2.0</v>
      </c>
      <c r="B258" s="3" t="s">
        <v>139</v>
      </c>
      <c r="C258" s="2">
        <v>1.0</v>
      </c>
      <c r="D258" s="3" t="s">
        <v>276</v>
      </c>
      <c r="E258" s="2">
        <v>6.0</v>
      </c>
      <c r="F258" s="4" t="s">
        <v>399</v>
      </c>
      <c r="G258" s="2">
        <v>2.0</v>
      </c>
      <c r="H258" s="9" t="s">
        <v>409</v>
      </c>
      <c r="I258" s="8" t="s">
        <v>405</v>
      </c>
      <c r="J258" s="12">
        <v>3.0</v>
      </c>
      <c r="K258" s="9" t="s">
        <v>412</v>
      </c>
      <c r="L258" s="6"/>
    </row>
    <row r="259">
      <c r="A259" s="2">
        <v>2.0</v>
      </c>
      <c r="B259" s="3" t="s">
        <v>139</v>
      </c>
      <c r="C259" s="2">
        <v>1.0</v>
      </c>
      <c r="D259" s="3" t="s">
        <v>276</v>
      </c>
      <c r="E259" s="2">
        <v>6.0</v>
      </c>
      <c r="F259" s="4" t="s">
        <v>399</v>
      </c>
      <c r="G259" s="2">
        <v>2.0</v>
      </c>
      <c r="H259" s="9" t="s">
        <v>409</v>
      </c>
      <c r="I259" s="8" t="s">
        <v>413</v>
      </c>
      <c r="J259" s="12">
        <v>4.0</v>
      </c>
      <c r="K259" s="9" t="s">
        <v>414</v>
      </c>
      <c r="L259" s="6"/>
    </row>
    <row r="260">
      <c r="A260" s="2">
        <v>2.0</v>
      </c>
      <c r="B260" s="3" t="s">
        <v>139</v>
      </c>
      <c r="C260" s="2">
        <v>1.0</v>
      </c>
      <c r="D260" s="3" t="s">
        <v>276</v>
      </c>
      <c r="E260" s="2">
        <v>6.0</v>
      </c>
      <c r="F260" s="4" t="s">
        <v>399</v>
      </c>
      <c r="G260" s="2">
        <v>2.0</v>
      </c>
      <c r="H260" s="9" t="s">
        <v>409</v>
      </c>
      <c r="I260" s="8" t="s">
        <v>413</v>
      </c>
      <c r="J260" s="12">
        <v>5.0</v>
      </c>
      <c r="K260" s="9" t="s">
        <v>415</v>
      </c>
      <c r="L260" s="6"/>
    </row>
    <row r="261">
      <c r="A261" s="2">
        <v>2.0</v>
      </c>
      <c r="B261" s="3" t="s">
        <v>139</v>
      </c>
      <c r="C261" s="2">
        <v>1.0</v>
      </c>
      <c r="D261" s="3" t="s">
        <v>276</v>
      </c>
      <c r="E261" s="2">
        <v>6.0</v>
      </c>
      <c r="F261" s="4" t="s">
        <v>399</v>
      </c>
      <c r="G261" s="2">
        <v>2.0</v>
      </c>
      <c r="H261" s="9" t="s">
        <v>409</v>
      </c>
      <c r="I261" s="8" t="s">
        <v>413</v>
      </c>
      <c r="J261" s="12">
        <v>6.0</v>
      </c>
      <c r="K261" s="9" t="s">
        <v>416</v>
      </c>
      <c r="L261" s="6"/>
    </row>
    <row r="262">
      <c r="A262" s="2">
        <v>2.0</v>
      </c>
      <c r="B262" s="3" t="s">
        <v>139</v>
      </c>
      <c r="C262" s="2">
        <v>1.0</v>
      </c>
      <c r="D262" s="3" t="s">
        <v>276</v>
      </c>
      <c r="E262" s="2">
        <v>7.0</v>
      </c>
      <c r="F262" s="4" t="s">
        <v>417</v>
      </c>
      <c r="G262" s="2">
        <v>1.0</v>
      </c>
      <c r="H262" s="9" t="s">
        <v>418</v>
      </c>
      <c r="I262" s="8" t="s">
        <v>413</v>
      </c>
      <c r="J262" s="12">
        <v>1.0</v>
      </c>
      <c r="K262" s="9" t="s">
        <v>419</v>
      </c>
      <c r="L262" s="6"/>
    </row>
    <row r="263">
      <c r="A263" s="2">
        <v>2.0</v>
      </c>
      <c r="B263" s="3" t="s">
        <v>139</v>
      </c>
      <c r="C263" s="2">
        <v>1.0</v>
      </c>
      <c r="D263" s="3" t="s">
        <v>276</v>
      </c>
      <c r="E263" s="2">
        <v>7.0</v>
      </c>
      <c r="F263" s="4" t="s">
        <v>417</v>
      </c>
      <c r="G263" s="2">
        <v>1.0</v>
      </c>
      <c r="H263" s="9" t="s">
        <v>418</v>
      </c>
      <c r="I263" s="8" t="s">
        <v>413</v>
      </c>
      <c r="J263" s="12">
        <v>2.0</v>
      </c>
      <c r="K263" s="9" t="s">
        <v>420</v>
      </c>
      <c r="L263" s="6"/>
    </row>
    <row r="264">
      <c r="A264" s="2">
        <v>2.0</v>
      </c>
      <c r="B264" s="3" t="s">
        <v>139</v>
      </c>
      <c r="C264" s="2">
        <v>1.0</v>
      </c>
      <c r="D264" s="3" t="s">
        <v>276</v>
      </c>
      <c r="E264" s="2">
        <v>7.0</v>
      </c>
      <c r="F264" s="4" t="s">
        <v>417</v>
      </c>
      <c r="G264" s="2">
        <v>1.0</v>
      </c>
      <c r="H264" s="9" t="s">
        <v>418</v>
      </c>
      <c r="I264" s="8" t="s">
        <v>413</v>
      </c>
      <c r="J264" s="12">
        <v>3.0</v>
      </c>
      <c r="K264" s="9" t="s">
        <v>421</v>
      </c>
      <c r="L264" s="6"/>
    </row>
    <row r="265">
      <c r="A265" s="2">
        <v>2.0</v>
      </c>
      <c r="B265" s="3" t="s">
        <v>139</v>
      </c>
      <c r="C265" s="2">
        <v>1.0</v>
      </c>
      <c r="D265" s="3" t="s">
        <v>276</v>
      </c>
      <c r="E265" s="2">
        <v>7.0</v>
      </c>
      <c r="F265" s="4" t="s">
        <v>417</v>
      </c>
      <c r="G265" s="2">
        <v>1.0</v>
      </c>
      <c r="H265" s="9" t="s">
        <v>418</v>
      </c>
      <c r="I265" s="8" t="s">
        <v>413</v>
      </c>
      <c r="J265" s="12">
        <v>4.0</v>
      </c>
      <c r="K265" s="9" t="s">
        <v>422</v>
      </c>
      <c r="L265" s="6"/>
    </row>
    <row r="266">
      <c r="A266" s="2">
        <v>2.0</v>
      </c>
      <c r="B266" s="3" t="s">
        <v>139</v>
      </c>
      <c r="C266" s="2">
        <v>1.0</v>
      </c>
      <c r="D266" s="3" t="s">
        <v>276</v>
      </c>
      <c r="E266" s="2">
        <v>7.0</v>
      </c>
      <c r="F266" s="4" t="s">
        <v>417</v>
      </c>
      <c r="G266" s="2">
        <v>1.0</v>
      </c>
      <c r="H266" s="9" t="s">
        <v>418</v>
      </c>
      <c r="I266" s="8" t="s">
        <v>413</v>
      </c>
      <c r="J266" s="12">
        <v>5.0</v>
      </c>
      <c r="K266" s="9" t="s">
        <v>423</v>
      </c>
      <c r="L266" s="6"/>
    </row>
    <row r="267">
      <c r="A267" s="2">
        <v>2.0</v>
      </c>
      <c r="B267" s="3" t="s">
        <v>139</v>
      </c>
      <c r="C267" s="2">
        <v>1.0</v>
      </c>
      <c r="D267" s="3" t="s">
        <v>276</v>
      </c>
      <c r="E267" s="2">
        <v>7.0</v>
      </c>
      <c r="F267" s="4" t="s">
        <v>417</v>
      </c>
      <c r="G267" s="2">
        <v>1.0</v>
      </c>
      <c r="H267" s="9" t="s">
        <v>418</v>
      </c>
      <c r="I267" s="8" t="s">
        <v>413</v>
      </c>
      <c r="J267" s="12">
        <v>6.0</v>
      </c>
      <c r="K267" s="9" t="s">
        <v>424</v>
      </c>
      <c r="L267" s="6"/>
    </row>
    <row r="268">
      <c r="A268" s="2">
        <v>2.0</v>
      </c>
      <c r="B268" s="3" t="s">
        <v>139</v>
      </c>
      <c r="C268" s="2">
        <v>1.0</v>
      </c>
      <c r="D268" s="3" t="s">
        <v>276</v>
      </c>
      <c r="E268" s="2">
        <v>7.0</v>
      </c>
      <c r="F268" s="4" t="s">
        <v>417</v>
      </c>
      <c r="G268" s="2">
        <v>1.0</v>
      </c>
      <c r="H268" s="9" t="s">
        <v>418</v>
      </c>
      <c r="I268" s="8" t="s">
        <v>413</v>
      </c>
      <c r="J268" s="12">
        <v>7.0</v>
      </c>
      <c r="K268" s="9" t="s">
        <v>425</v>
      </c>
      <c r="L268" s="6"/>
    </row>
    <row r="269">
      <c r="A269" s="2">
        <v>2.0</v>
      </c>
      <c r="B269" s="3" t="s">
        <v>139</v>
      </c>
      <c r="C269" s="2">
        <v>1.0</v>
      </c>
      <c r="D269" s="3" t="s">
        <v>276</v>
      </c>
      <c r="E269" s="2">
        <v>7.0</v>
      </c>
      <c r="F269" s="4" t="s">
        <v>417</v>
      </c>
      <c r="G269" s="2">
        <v>1.0</v>
      </c>
      <c r="H269" s="9" t="s">
        <v>418</v>
      </c>
      <c r="I269" s="8" t="s">
        <v>426</v>
      </c>
      <c r="J269" s="12">
        <v>8.0</v>
      </c>
      <c r="K269" s="9" t="s">
        <v>427</v>
      </c>
      <c r="L269" s="6"/>
    </row>
    <row r="270">
      <c r="A270" s="2">
        <v>2.0</v>
      </c>
      <c r="B270" s="3" t="s">
        <v>139</v>
      </c>
      <c r="C270" s="2">
        <v>1.0</v>
      </c>
      <c r="D270" s="3" t="s">
        <v>276</v>
      </c>
      <c r="E270" s="2">
        <v>7.0</v>
      </c>
      <c r="F270" s="4" t="s">
        <v>417</v>
      </c>
      <c r="G270" s="2">
        <v>1.0</v>
      </c>
      <c r="H270" s="9" t="s">
        <v>418</v>
      </c>
      <c r="I270" s="8" t="s">
        <v>426</v>
      </c>
      <c r="J270" s="12">
        <v>9.0</v>
      </c>
      <c r="K270" s="9" t="s">
        <v>428</v>
      </c>
      <c r="L270" s="6"/>
    </row>
    <row r="271">
      <c r="A271" s="2">
        <v>2.0</v>
      </c>
      <c r="B271" s="3" t="s">
        <v>139</v>
      </c>
      <c r="C271" s="2">
        <v>1.0</v>
      </c>
      <c r="D271" s="3" t="s">
        <v>276</v>
      </c>
      <c r="E271" s="2">
        <v>7.0</v>
      </c>
      <c r="F271" s="4" t="s">
        <v>417</v>
      </c>
      <c r="G271" s="2">
        <v>1.0</v>
      </c>
      <c r="H271" s="9" t="s">
        <v>418</v>
      </c>
      <c r="I271" s="8" t="s">
        <v>426</v>
      </c>
      <c r="J271" s="12">
        <v>10.0</v>
      </c>
      <c r="K271" s="9" t="s">
        <v>429</v>
      </c>
      <c r="L271" s="6"/>
    </row>
    <row r="272" ht="18.0" customHeight="1">
      <c r="A272" s="2">
        <v>2.0</v>
      </c>
      <c r="B272" s="3" t="s">
        <v>139</v>
      </c>
      <c r="C272" s="2">
        <v>1.0</v>
      </c>
      <c r="D272" s="3" t="s">
        <v>276</v>
      </c>
      <c r="E272" s="2">
        <v>8.0</v>
      </c>
      <c r="F272" s="4" t="s">
        <v>430</v>
      </c>
      <c r="G272" s="2">
        <v>1.0</v>
      </c>
      <c r="H272" s="9" t="s">
        <v>431</v>
      </c>
      <c r="I272" s="8" t="s">
        <v>426</v>
      </c>
      <c r="J272" s="12">
        <v>1.0</v>
      </c>
      <c r="K272" s="9" t="s">
        <v>432</v>
      </c>
      <c r="L272" s="6"/>
    </row>
    <row r="273" ht="15.0" customHeight="1">
      <c r="A273" s="2">
        <v>2.0</v>
      </c>
      <c r="B273" s="3" t="s">
        <v>139</v>
      </c>
      <c r="C273" s="2">
        <v>1.0</v>
      </c>
      <c r="D273" s="3" t="s">
        <v>276</v>
      </c>
      <c r="E273" s="2">
        <v>8.0</v>
      </c>
      <c r="F273" s="4" t="s">
        <v>430</v>
      </c>
      <c r="G273" s="2">
        <v>1.0</v>
      </c>
      <c r="H273" s="9" t="s">
        <v>431</v>
      </c>
      <c r="I273" s="8" t="s">
        <v>426</v>
      </c>
      <c r="J273" s="12">
        <v>2.0</v>
      </c>
      <c r="K273" s="9" t="s">
        <v>433</v>
      </c>
      <c r="L273" s="6"/>
    </row>
    <row r="274" ht="15.0" customHeight="1">
      <c r="A274" s="2">
        <v>2.0</v>
      </c>
      <c r="B274" s="3" t="s">
        <v>139</v>
      </c>
      <c r="C274" s="2">
        <v>1.0</v>
      </c>
      <c r="D274" s="3" t="s">
        <v>276</v>
      </c>
      <c r="E274" s="2">
        <v>8.0</v>
      </c>
      <c r="F274" s="4" t="s">
        <v>430</v>
      </c>
      <c r="G274" s="2">
        <v>1.0</v>
      </c>
      <c r="H274" s="9" t="s">
        <v>431</v>
      </c>
      <c r="I274" s="8" t="s">
        <v>434</v>
      </c>
      <c r="J274" s="12">
        <v>3.0</v>
      </c>
      <c r="K274" s="9" t="s">
        <v>435</v>
      </c>
      <c r="L274" s="6"/>
    </row>
    <row r="275" ht="15.0" customHeight="1">
      <c r="A275" s="2">
        <v>2.0</v>
      </c>
      <c r="B275" s="3" t="s">
        <v>139</v>
      </c>
      <c r="C275" s="2">
        <v>1.0</v>
      </c>
      <c r="D275" s="3" t="s">
        <v>276</v>
      </c>
      <c r="E275" s="2">
        <v>8.0</v>
      </c>
      <c r="F275" s="4" t="s">
        <v>430</v>
      </c>
      <c r="G275" s="2">
        <v>1.0</v>
      </c>
      <c r="H275" s="9" t="s">
        <v>431</v>
      </c>
      <c r="I275" s="8" t="s">
        <v>434</v>
      </c>
      <c r="J275" s="12">
        <v>4.0</v>
      </c>
      <c r="K275" s="9" t="s">
        <v>436</v>
      </c>
      <c r="L275" s="6"/>
    </row>
    <row r="276" ht="15.0" customHeight="1">
      <c r="A276" s="2">
        <v>2.0</v>
      </c>
      <c r="B276" s="3" t="s">
        <v>139</v>
      </c>
      <c r="C276" s="2">
        <v>1.0</v>
      </c>
      <c r="D276" s="3" t="s">
        <v>276</v>
      </c>
      <c r="E276" s="2">
        <v>8.0</v>
      </c>
      <c r="F276" s="4" t="s">
        <v>430</v>
      </c>
      <c r="G276" s="2">
        <v>1.0</v>
      </c>
      <c r="H276" s="9" t="s">
        <v>431</v>
      </c>
      <c r="I276" s="8" t="s">
        <v>434</v>
      </c>
      <c r="J276" s="12">
        <v>5.0</v>
      </c>
      <c r="K276" s="9" t="s">
        <v>437</v>
      </c>
      <c r="L276" s="6"/>
    </row>
    <row r="277">
      <c r="A277" s="2">
        <v>2.0</v>
      </c>
      <c r="B277" s="3" t="s">
        <v>139</v>
      </c>
      <c r="C277" s="2">
        <v>1.0</v>
      </c>
      <c r="D277" s="3" t="s">
        <v>276</v>
      </c>
      <c r="E277" s="2">
        <v>8.0</v>
      </c>
      <c r="F277" s="4" t="s">
        <v>430</v>
      </c>
      <c r="G277" s="2">
        <v>2.0</v>
      </c>
      <c r="H277" s="9" t="s">
        <v>438</v>
      </c>
      <c r="I277" s="8" t="s">
        <v>434</v>
      </c>
      <c r="J277" s="12">
        <v>1.0</v>
      </c>
      <c r="K277" s="9" t="s">
        <v>439</v>
      </c>
      <c r="L277" s="6"/>
    </row>
    <row r="278">
      <c r="A278" s="2">
        <v>2.0</v>
      </c>
      <c r="B278" s="3" t="s">
        <v>139</v>
      </c>
      <c r="C278" s="2">
        <v>1.0</v>
      </c>
      <c r="D278" s="3" t="s">
        <v>276</v>
      </c>
      <c r="E278" s="2">
        <v>8.0</v>
      </c>
      <c r="F278" s="4" t="s">
        <v>430</v>
      </c>
      <c r="G278" s="2">
        <v>2.0</v>
      </c>
      <c r="H278" s="9" t="s">
        <v>438</v>
      </c>
      <c r="I278" s="8" t="s">
        <v>440</v>
      </c>
      <c r="J278" s="12">
        <v>2.0</v>
      </c>
      <c r="K278" s="9" t="s">
        <v>441</v>
      </c>
      <c r="L278" s="6"/>
    </row>
    <row r="279">
      <c r="A279" s="2">
        <v>2.0</v>
      </c>
      <c r="B279" s="3" t="s">
        <v>139</v>
      </c>
      <c r="C279" s="2">
        <v>1.0</v>
      </c>
      <c r="D279" s="3" t="s">
        <v>276</v>
      </c>
      <c r="E279" s="2">
        <v>8.0</v>
      </c>
      <c r="F279" s="4" t="s">
        <v>430</v>
      </c>
      <c r="G279" s="2">
        <v>2.0</v>
      </c>
      <c r="H279" s="9" t="s">
        <v>438</v>
      </c>
      <c r="I279" s="6"/>
      <c r="J279" s="12">
        <v>3.0</v>
      </c>
      <c r="K279" s="9" t="s">
        <v>442</v>
      </c>
      <c r="L279" s="6"/>
    </row>
    <row r="280">
      <c r="A280" s="2">
        <v>2.0</v>
      </c>
      <c r="B280" s="3" t="s">
        <v>139</v>
      </c>
      <c r="C280" s="2">
        <v>1.0</v>
      </c>
      <c r="D280" s="3" t="s">
        <v>276</v>
      </c>
      <c r="E280" s="2">
        <v>8.0</v>
      </c>
      <c r="F280" s="4" t="s">
        <v>430</v>
      </c>
      <c r="G280" s="2">
        <v>2.0</v>
      </c>
      <c r="H280" s="9" t="s">
        <v>438</v>
      </c>
      <c r="I280" s="6"/>
      <c r="J280" s="12">
        <v>4.0</v>
      </c>
      <c r="K280" s="9" t="s">
        <v>443</v>
      </c>
      <c r="L280" s="6"/>
    </row>
    <row r="281">
      <c r="A281" s="2">
        <v>2.0</v>
      </c>
      <c r="B281" s="3" t="s">
        <v>139</v>
      </c>
      <c r="C281" s="2">
        <v>1.0</v>
      </c>
      <c r="D281" s="3" t="s">
        <v>276</v>
      </c>
      <c r="E281" s="2">
        <v>8.0</v>
      </c>
      <c r="F281" s="4" t="s">
        <v>430</v>
      </c>
      <c r="G281" s="2">
        <v>3.0</v>
      </c>
      <c r="H281" s="9" t="s">
        <v>444</v>
      </c>
      <c r="I281" s="6"/>
      <c r="J281" s="12">
        <v>1.0</v>
      </c>
      <c r="K281" s="9" t="s">
        <v>445</v>
      </c>
      <c r="L281" s="6"/>
    </row>
    <row r="282">
      <c r="A282" s="13">
        <v>3.0</v>
      </c>
      <c r="B282" s="14" t="s">
        <v>446</v>
      </c>
      <c r="C282" s="13">
        <v>2.0</v>
      </c>
      <c r="D282" s="14" t="s">
        <v>447</v>
      </c>
      <c r="E282" s="13">
        <v>1.0</v>
      </c>
      <c r="F282" s="14" t="s">
        <v>448</v>
      </c>
      <c r="G282" s="13">
        <v>1.0</v>
      </c>
      <c r="H282" s="14" t="s">
        <v>449</v>
      </c>
      <c r="I282" s="15"/>
      <c r="J282" s="16">
        <v>1.0</v>
      </c>
      <c r="K282" s="17" t="s">
        <v>450</v>
      </c>
      <c r="L282" s="15"/>
    </row>
    <row r="283">
      <c r="A283" s="13">
        <v>3.0</v>
      </c>
      <c r="B283" s="14" t="s">
        <v>446</v>
      </c>
      <c r="C283" s="13">
        <v>2.0</v>
      </c>
      <c r="D283" s="14" t="s">
        <v>447</v>
      </c>
      <c r="E283" s="13">
        <v>1.0</v>
      </c>
      <c r="F283" s="14" t="s">
        <v>448</v>
      </c>
      <c r="G283" s="13">
        <v>2.0</v>
      </c>
      <c r="H283" s="14" t="s">
        <v>451</v>
      </c>
      <c r="I283" s="15"/>
      <c r="J283" s="16">
        <v>1.0</v>
      </c>
      <c r="K283" s="17" t="s">
        <v>452</v>
      </c>
      <c r="L283" s="15"/>
    </row>
    <row r="284">
      <c r="A284" s="13">
        <v>3.0</v>
      </c>
      <c r="B284" s="14" t="s">
        <v>446</v>
      </c>
      <c r="C284" s="13">
        <v>2.0</v>
      </c>
      <c r="D284" s="14" t="s">
        <v>447</v>
      </c>
      <c r="E284" s="13">
        <v>1.0</v>
      </c>
      <c r="F284" s="14" t="s">
        <v>448</v>
      </c>
      <c r="G284" s="13">
        <v>3.0</v>
      </c>
      <c r="H284" s="14" t="s">
        <v>453</v>
      </c>
      <c r="I284" s="15"/>
      <c r="J284" s="16">
        <v>1.0</v>
      </c>
      <c r="K284" s="17" t="s">
        <v>454</v>
      </c>
      <c r="L284" s="15"/>
    </row>
    <row r="285">
      <c r="A285" s="13">
        <v>3.0</v>
      </c>
      <c r="B285" s="14" t="s">
        <v>446</v>
      </c>
      <c r="C285" s="13">
        <v>2.0</v>
      </c>
      <c r="D285" s="14" t="s">
        <v>447</v>
      </c>
      <c r="E285" s="13">
        <v>1.0</v>
      </c>
      <c r="F285" s="14" t="s">
        <v>448</v>
      </c>
      <c r="G285" s="13">
        <v>3.0</v>
      </c>
      <c r="H285" s="14" t="s">
        <v>453</v>
      </c>
      <c r="I285" s="15"/>
      <c r="J285" s="16">
        <v>2.0</v>
      </c>
      <c r="K285" s="17" t="s">
        <v>455</v>
      </c>
      <c r="L285" s="15"/>
    </row>
    <row r="286">
      <c r="A286" s="13">
        <v>3.0</v>
      </c>
      <c r="B286" s="14" t="s">
        <v>446</v>
      </c>
      <c r="C286" s="13">
        <v>2.0</v>
      </c>
      <c r="D286" s="14" t="s">
        <v>447</v>
      </c>
      <c r="E286" s="13">
        <v>1.0</v>
      </c>
      <c r="F286" s="14" t="s">
        <v>448</v>
      </c>
      <c r="G286" s="13">
        <v>3.0</v>
      </c>
      <c r="H286" s="14" t="s">
        <v>453</v>
      </c>
      <c r="I286" s="15"/>
      <c r="J286" s="16">
        <v>3.0</v>
      </c>
      <c r="K286" s="17" t="s">
        <v>456</v>
      </c>
      <c r="L286" s="15"/>
    </row>
    <row r="287">
      <c r="A287" s="13">
        <v>3.0</v>
      </c>
      <c r="B287" s="14" t="s">
        <v>446</v>
      </c>
      <c r="C287" s="13">
        <v>2.0</v>
      </c>
      <c r="D287" s="14" t="s">
        <v>447</v>
      </c>
      <c r="E287" s="13">
        <v>1.0</v>
      </c>
      <c r="F287" s="14" t="s">
        <v>448</v>
      </c>
      <c r="G287" s="13">
        <v>3.0</v>
      </c>
      <c r="H287" s="14" t="s">
        <v>453</v>
      </c>
      <c r="I287" s="15"/>
      <c r="J287" s="16">
        <v>4.0</v>
      </c>
      <c r="K287" s="17" t="s">
        <v>457</v>
      </c>
      <c r="L287" s="15"/>
    </row>
    <row r="288">
      <c r="A288" s="13">
        <v>3.0</v>
      </c>
      <c r="B288" s="14" t="s">
        <v>446</v>
      </c>
      <c r="C288" s="13">
        <v>2.0</v>
      </c>
      <c r="D288" s="14" t="s">
        <v>447</v>
      </c>
      <c r="E288" s="13">
        <v>1.0</v>
      </c>
      <c r="F288" s="14" t="s">
        <v>448</v>
      </c>
      <c r="G288" s="13">
        <v>3.0</v>
      </c>
      <c r="H288" s="14" t="s">
        <v>453</v>
      </c>
      <c r="I288" s="15"/>
      <c r="J288" s="16">
        <v>5.0</v>
      </c>
      <c r="K288" s="17" t="s">
        <v>458</v>
      </c>
      <c r="L288" s="15"/>
    </row>
    <row r="289">
      <c r="A289" s="13">
        <v>3.0</v>
      </c>
      <c r="B289" s="14" t="s">
        <v>446</v>
      </c>
      <c r="C289" s="13">
        <v>2.0</v>
      </c>
      <c r="D289" s="14" t="s">
        <v>447</v>
      </c>
      <c r="E289" s="13">
        <v>1.0</v>
      </c>
      <c r="F289" s="14" t="s">
        <v>448</v>
      </c>
      <c r="G289" s="13">
        <v>3.0</v>
      </c>
      <c r="H289" s="14" t="s">
        <v>453</v>
      </c>
      <c r="I289" s="15"/>
      <c r="J289" s="16">
        <v>6.0</v>
      </c>
      <c r="K289" s="17" t="s">
        <v>459</v>
      </c>
      <c r="L289" s="15"/>
    </row>
    <row r="290">
      <c r="A290" s="13">
        <v>3.0</v>
      </c>
      <c r="B290" s="14" t="s">
        <v>446</v>
      </c>
      <c r="C290" s="13">
        <v>2.0</v>
      </c>
      <c r="D290" s="14" t="s">
        <v>447</v>
      </c>
      <c r="E290" s="13">
        <v>1.0</v>
      </c>
      <c r="F290" s="14" t="s">
        <v>448</v>
      </c>
      <c r="G290" s="13">
        <v>3.0</v>
      </c>
      <c r="H290" s="14" t="s">
        <v>453</v>
      </c>
      <c r="I290" s="15"/>
      <c r="J290" s="16">
        <v>7.0</v>
      </c>
      <c r="K290" s="17" t="s">
        <v>460</v>
      </c>
      <c r="L290" s="15"/>
    </row>
    <row r="291">
      <c r="A291" s="13">
        <v>3.0</v>
      </c>
      <c r="B291" s="14" t="s">
        <v>446</v>
      </c>
      <c r="C291" s="13">
        <v>2.0</v>
      </c>
      <c r="D291" s="14" t="s">
        <v>447</v>
      </c>
      <c r="E291" s="13">
        <v>1.0</v>
      </c>
      <c r="F291" s="14" t="s">
        <v>448</v>
      </c>
      <c r="G291" s="13">
        <v>3.0</v>
      </c>
      <c r="H291" s="14" t="s">
        <v>453</v>
      </c>
      <c r="I291" s="15"/>
      <c r="J291" s="16">
        <v>8.0</v>
      </c>
      <c r="K291" s="17" t="s">
        <v>461</v>
      </c>
      <c r="L291" s="15"/>
    </row>
    <row r="292">
      <c r="A292" s="13">
        <v>3.0</v>
      </c>
      <c r="B292" s="14" t="s">
        <v>446</v>
      </c>
      <c r="C292" s="13">
        <v>2.0</v>
      </c>
      <c r="D292" s="14" t="s">
        <v>447</v>
      </c>
      <c r="E292" s="13">
        <v>1.0</v>
      </c>
      <c r="F292" s="14" t="s">
        <v>448</v>
      </c>
      <c r="G292" s="13">
        <v>4.0</v>
      </c>
      <c r="H292" s="14" t="s">
        <v>462</v>
      </c>
      <c r="I292" s="15"/>
      <c r="J292" s="16">
        <v>1.0</v>
      </c>
      <c r="K292" s="17" t="s">
        <v>463</v>
      </c>
      <c r="L292" s="15"/>
    </row>
    <row r="293">
      <c r="A293" s="13">
        <v>3.0</v>
      </c>
      <c r="B293" s="14" t="s">
        <v>446</v>
      </c>
      <c r="C293" s="13">
        <v>2.0</v>
      </c>
      <c r="D293" s="14" t="s">
        <v>447</v>
      </c>
      <c r="E293" s="13">
        <v>1.0</v>
      </c>
      <c r="F293" s="14" t="s">
        <v>448</v>
      </c>
      <c r="G293" s="13">
        <v>4.0</v>
      </c>
      <c r="H293" s="14" t="s">
        <v>462</v>
      </c>
      <c r="I293" s="15"/>
      <c r="J293" s="16">
        <v>2.0</v>
      </c>
      <c r="K293" s="17" t="s">
        <v>464</v>
      </c>
      <c r="L293" s="15"/>
    </row>
    <row r="294">
      <c r="A294" s="13">
        <v>3.0</v>
      </c>
      <c r="B294" s="14" t="s">
        <v>446</v>
      </c>
      <c r="C294" s="13">
        <v>2.0</v>
      </c>
      <c r="D294" s="14" t="s">
        <v>447</v>
      </c>
      <c r="E294" s="13">
        <v>1.0</v>
      </c>
      <c r="F294" s="14" t="s">
        <v>448</v>
      </c>
      <c r="G294" s="13">
        <v>4.0</v>
      </c>
      <c r="H294" s="14" t="s">
        <v>462</v>
      </c>
      <c r="I294" s="15"/>
      <c r="J294" s="16">
        <v>3.0</v>
      </c>
      <c r="K294" s="17" t="s">
        <v>465</v>
      </c>
      <c r="L294" s="15"/>
    </row>
    <row r="295">
      <c r="A295" s="13">
        <v>3.0</v>
      </c>
      <c r="B295" s="14" t="s">
        <v>446</v>
      </c>
      <c r="C295" s="13">
        <v>2.0</v>
      </c>
      <c r="D295" s="14" t="s">
        <v>447</v>
      </c>
      <c r="E295" s="13">
        <v>1.0</v>
      </c>
      <c r="F295" s="14" t="s">
        <v>448</v>
      </c>
      <c r="G295" s="13">
        <v>5.0</v>
      </c>
      <c r="H295" s="14" t="s">
        <v>466</v>
      </c>
      <c r="I295" s="15"/>
      <c r="J295" s="16">
        <v>1.0</v>
      </c>
      <c r="K295" s="17" t="s">
        <v>467</v>
      </c>
      <c r="L295" s="15"/>
    </row>
    <row r="296">
      <c r="A296" s="13">
        <v>3.0</v>
      </c>
      <c r="B296" s="14" t="s">
        <v>446</v>
      </c>
      <c r="C296" s="13">
        <v>2.0</v>
      </c>
      <c r="D296" s="14" t="s">
        <v>447</v>
      </c>
      <c r="E296" s="13">
        <v>1.0</v>
      </c>
      <c r="F296" s="14" t="s">
        <v>448</v>
      </c>
      <c r="G296" s="13">
        <v>5.0</v>
      </c>
      <c r="H296" s="14" t="s">
        <v>466</v>
      </c>
      <c r="I296" s="15"/>
      <c r="J296" s="16">
        <v>2.0</v>
      </c>
      <c r="K296" s="17" t="s">
        <v>468</v>
      </c>
      <c r="L296" s="15"/>
    </row>
    <row r="297">
      <c r="A297" s="13">
        <v>3.0</v>
      </c>
      <c r="B297" s="14" t="s">
        <v>446</v>
      </c>
      <c r="C297" s="13">
        <v>2.0</v>
      </c>
      <c r="D297" s="14" t="s">
        <v>447</v>
      </c>
      <c r="E297" s="13">
        <v>1.0</v>
      </c>
      <c r="F297" s="14" t="s">
        <v>448</v>
      </c>
      <c r="G297" s="13">
        <v>5.0</v>
      </c>
      <c r="H297" s="14" t="s">
        <v>466</v>
      </c>
      <c r="I297" s="15"/>
      <c r="J297" s="16">
        <v>3.0</v>
      </c>
      <c r="K297" s="17" t="s">
        <v>469</v>
      </c>
      <c r="L297" s="15"/>
    </row>
    <row r="298">
      <c r="A298" s="13">
        <v>3.0</v>
      </c>
      <c r="B298" s="14" t="s">
        <v>446</v>
      </c>
      <c r="C298" s="13">
        <v>2.0</v>
      </c>
      <c r="D298" s="14" t="s">
        <v>447</v>
      </c>
      <c r="E298" s="13">
        <v>2.0</v>
      </c>
      <c r="F298" s="14" t="s">
        <v>470</v>
      </c>
      <c r="G298" s="13">
        <v>1.0</v>
      </c>
      <c r="H298" s="14" t="s">
        <v>471</v>
      </c>
      <c r="I298" s="15" t="s">
        <v>149</v>
      </c>
      <c r="J298" s="16">
        <v>1.0</v>
      </c>
      <c r="K298" s="17" t="s">
        <v>150</v>
      </c>
      <c r="L298" s="15"/>
    </row>
    <row r="299">
      <c r="A299" s="13">
        <v>3.0</v>
      </c>
      <c r="B299" s="14" t="s">
        <v>446</v>
      </c>
      <c r="C299" s="13">
        <v>2.0</v>
      </c>
      <c r="D299" s="14" t="s">
        <v>447</v>
      </c>
      <c r="E299" s="13">
        <v>2.0</v>
      </c>
      <c r="F299" s="14" t="s">
        <v>470</v>
      </c>
      <c r="G299" s="13">
        <v>1.0</v>
      </c>
      <c r="H299" s="14" t="s">
        <v>471</v>
      </c>
      <c r="I299" s="15" t="s">
        <v>149</v>
      </c>
      <c r="J299" s="16">
        <v>2.0</v>
      </c>
      <c r="K299" s="17" t="s">
        <v>151</v>
      </c>
      <c r="L299" s="15"/>
    </row>
    <row r="300">
      <c r="A300" s="13">
        <v>3.0</v>
      </c>
      <c r="B300" s="14" t="s">
        <v>446</v>
      </c>
      <c r="C300" s="13">
        <v>2.0</v>
      </c>
      <c r="D300" s="14" t="s">
        <v>447</v>
      </c>
      <c r="E300" s="13">
        <v>2.0</v>
      </c>
      <c r="F300" s="14" t="s">
        <v>470</v>
      </c>
      <c r="G300" s="13">
        <v>1.0</v>
      </c>
      <c r="H300" s="14" t="s">
        <v>471</v>
      </c>
      <c r="I300" s="15" t="s">
        <v>149</v>
      </c>
      <c r="J300" s="16">
        <v>3.0</v>
      </c>
      <c r="K300" s="17" t="s">
        <v>152</v>
      </c>
      <c r="L300" s="15"/>
    </row>
    <row r="301">
      <c r="A301" s="13">
        <v>3.0</v>
      </c>
      <c r="B301" s="14" t="s">
        <v>446</v>
      </c>
      <c r="C301" s="13">
        <v>2.0</v>
      </c>
      <c r="D301" s="14" t="s">
        <v>447</v>
      </c>
      <c r="E301" s="13">
        <v>2.0</v>
      </c>
      <c r="F301" s="14" t="s">
        <v>470</v>
      </c>
      <c r="G301" s="13">
        <v>1.0</v>
      </c>
      <c r="H301" s="14" t="s">
        <v>471</v>
      </c>
      <c r="I301" s="15" t="s">
        <v>149</v>
      </c>
      <c r="J301" s="16">
        <v>4.0</v>
      </c>
      <c r="K301" s="17" t="s">
        <v>472</v>
      </c>
      <c r="L301" s="15"/>
    </row>
    <row r="302">
      <c r="A302" s="13">
        <v>3.0</v>
      </c>
      <c r="B302" s="14" t="s">
        <v>446</v>
      </c>
      <c r="C302" s="13">
        <v>2.0</v>
      </c>
      <c r="D302" s="14" t="s">
        <v>447</v>
      </c>
      <c r="E302" s="13">
        <v>2.0</v>
      </c>
      <c r="F302" s="14" t="s">
        <v>470</v>
      </c>
      <c r="G302" s="13">
        <v>1.0</v>
      </c>
      <c r="H302" s="14" t="s">
        <v>471</v>
      </c>
      <c r="I302" s="15" t="s">
        <v>149</v>
      </c>
      <c r="J302" s="16">
        <v>5.0</v>
      </c>
      <c r="K302" s="17" t="s">
        <v>473</v>
      </c>
      <c r="L302" s="15"/>
    </row>
    <row r="303">
      <c r="A303" s="13">
        <v>3.0</v>
      </c>
      <c r="B303" s="14" t="s">
        <v>446</v>
      </c>
      <c r="C303" s="13">
        <v>2.0</v>
      </c>
      <c r="D303" s="14" t="s">
        <v>447</v>
      </c>
      <c r="E303" s="13">
        <v>2.0</v>
      </c>
      <c r="F303" s="14" t="s">
        <v>470</v>
      </c>
      <c r="G303" s="13">
        <v>1.0</v>
      </c>
      <c r="H303" s="14" t="s">
        <v>471</v>
      </c>
      <c r="I303" s="15" t="s">
        <v>149</v>
      </c>
      <c r="J303" s="16">
        <v>6.0</v>
      </c>
      <c r="K303" s="17" t="s">
        <v>153</v>
      </c>
      <c r="L303" s="15"/>
    </row>
    <row r="304">
      <c r="A304" s="13">
        <v>3.0</v>
      </c>
      <c r="B304" s="14" t="s">
        <v>446</v>
      </c>
      <c r="C304" s="13">
        <v>2.0</v>
      </c>
      <c r="D304" s="14" t="s">
        <v>447</v>
      </c>
      <c r="E304" s="13">
        <v>2.0</v>
      </c>
      <c r="F304" s="14" t="s">
        <v>470</v>
      </c>
      <c r="G304" s="13">
        <v>1.0</v>
      </c>
      <c r="H304" s="14" t="s">
        <v>471</v>
      </c>
      <c r="I304" s="15" t="s">
        <v>149</v>
      </c>
      <c r="J304" s="16">
        <v>7.0</v>
      </c>
      <c r="K304" s="17" t="s">
        <v>474</v>
      </c>
      <c r="L304" s="15"/>
    </row>
    <row r="305">
      <c r="A305" s="13">
        <v>3.0</v>
      </c>
      <c r="B305" s="14" t="s">
        <v>446</v>
      </c>
      <c r="C305" s="13">
        <v>2.0</v>
      </c>
      <c r="D305" s="14" t="s">
        <v>447</v>
      </c>
      <c r="E305" s="13">
        <v>2.0</v>
      </c>
      <c r="F305" s="18" t="s">
        <v>470</v>
      </c>
      <c r="G305" s="19">
        <v>2.0</v>
      </c>
      <c r="H305" s="18" t="s">
        <v>154</v>
      </c>
      <c r="I305" s="15"/>
      <c r="J305" s="20">
        <v>1.0</v>
      </c>
      <c r="K305" s="21" t="s">
        <v>157</v>
      </c>
      <c r="L305" s="15"/>
    </row>
    <row r="306">
      <c r="A306" s="13">
        <v>3.0</v>
      </c>
      <c r="B306" s="14" t="s">
        <v>446</v>
      </c>
      <c r="C306" s="13">
        <v>2.0</v>
      </c>
      <c r="D306" s="14" t="s">
        <v>447</v>
      </c>
      <c r="E306" s="13">
        <v>2.0</v>
      </c>
      <c r="F306" s="14" t="s">
        <v>470</v>
      </c>
      <c r="G306" s="13">
        <v>2.0</v>
      </c>
      <c r="H306" s="14" t="s">
        <v>154</v>
      </c>
      <c r="I306" s="15"/>
      <c r="J306" s="16">
        <v>2.0</v>
      </c>
      <c r="K306" s="17" t="s">
        <v>158</v>
      </c>
      <c r="L306" s="15"/>
    </row>
    <row r="307">
      <c r="A307" s="13">
        <v>3.0</v>
      </c>
      <c r="B307" s="14" t="s">
        <v>446</v>
      </c>
      <c r="C307" s="13">
        <v>2.0</v>
      </c>
      <c r="D307" s="14" t="s">
        <v>447</v>
      </c>
      <c r="E307" s="13">
        <v>2.0</v>
      </c>
      <c r="F307" s="14" t="s">
        <v>470</v>
      </c>
      <c r="G307" s="13">
        <v>2.0</v>
      </c>
      <c r="H307" s="14" t="s">
        <v>154</v>
      </c>
      <c r="I307" s="15"/>
      <c r="J307" s="16">
        <v>3.0</v>
      </c>
      <c r="K307" s="17" t="s">
        <v>159</v>
      </c>
      <c r="L307" s="15"/>
    </row>
    <row r="308">
      <c r="A308" s="13">
        <v>3.0</v>
      </c>
      <c r="B308" s="14" t="s">
        <v>446</v>
      </c>
      <c r="C308" s="13">
        <v>2.0</v>
      </c>
      <c r="D308" s="14" t="s">
        <v>447</v>
      </c>
      <c r="E308" s="13">
        <v>2.0</v>
      </c>
      <c r="F308" s="14" t="s">
        <v>470</v>
      </c>
      <c r="G308" s="13">
        <v>2.0</v>
      </c>
      <c r="H308" s="14" t="s">
        <v>154</v>
      </c>
      <c r="I308" s="15"/>
      <c r="J308" s="16">
        <v>4.0</v>
      </c>
      <c r="K308" s="17" t="s">
        <v>475</v>
      </c>
      <c r="L308" s="15"/>
    </row>
    <row r="309">
      <c r="A309" s="13">
        <v>3.0</v>
      </c>
      <c r="B309" s="14" t="s">
        <v>446</v>
      </c>
      <c r="C309" s="13">
        <v>2.0</v>
      </c>
      <c r="D309" s="14" t="s">
        <v>447</v>
      </c>
      <c r="E309" s="13">
        <v>2.0</v>
      </c>
      <c r="F309" s="14" t="s">
        <v>470</v>
      </c>
      <c r="G309" s="13">
        <v>3.0</v>
      </c>
      <c r="H309" s="14" t="s">
        <v>161</v>
      </c>
      <c r="I309" s="15" t="s">
        <v>162</v>
      </c>
      <c r="J309" s="16">
        <v>1.0</v>
      </c>
      <c r="K309" s="17" t="s">
        <v>164</v>
      </c>
      <c r="L309" s="15"/>
    </row>
    <row r="310">
      <c r="A310" s="13">
        <v>3.0</v>
      </c>
      <c r="B310" s="14" t="s">
        <v>446</v>
      </c>
      <c r="C310" s="13">
        <v>2.0</v>
      </c>
      <c r="D310" s="14" t="s">
        <v>447</v>
      </c>
      <c r="E310" s="13">
        <v>2.0</v>
      </c>
      <c r="F310" s="14" t="s">
        <v>470</v>
      </c>
      <c r="G310" s="13">
        <v>3.0</v>
      </c>
      <c r="H310" s="14" t="s">
        <v>161</v>
      </c>
      <c r="I310" s="15" t="s">
        <v>162</v>
      </c>
      <c r="J310" s="16">
        <v>2.0</v>
      </c>
      <c r="K310" s="17" t="s">
        <v>165</v>
      </c>
      <c r="L310" s="15"/>
    </row>
    <row r="311">
      <c r="A311" s="13">
        <v>3.0</v>
      </c>
      <c r="B311" s="14" t="s">
        <v>446</v>
      </c>
      <c r="C311" s="13">
        <v>2.0</v>
      </c>
      <c r="D311" s="14" t="s">
        <v>447</v>
      </c>
      <c r="E311" s="13">
        <v>2.0</v>
      </c>
      <c r="F311" s="14" t="s">
        <v>470</v>
      </c>
      <c r="G311" s="13">
        <v>4.0</v>
      </c>
      <c r="H311" s="14" t="s">
        <v>166</v>
      </c>
      <c r="I311" s="15" t="s">
        <v>167</v>
      </c>
      <c r="J311" s="16">
        <v>1.0</v>
      </c>
      <c r="K311" s="17" t="s">
        <v>168</v>
      </c>
      <c r="L311" s="15"/>
    </row>
    <row r="312">
      <c r="A312" s="13">
        <v>3.0</v>
      </c>
      <c r="B312" s="14" t="s">
        <v>446</v>
      </c>
      <c r="C312" s="13">
        <v>2.0</v>
      </c>
      <c r="D312" s="14" t="s">
        <v>447</v>
      </c>
      <c r="E312" s="13">
        <v>2.0</v>
      </c>
      <c r="F312" s="14" t="s">
        <v>470</v>
      </c>
      <c r="G312" s="13">
        <v>4.0</v>
      </c>
      <c r="H312" s="14" t="s">
        <v>166</v>
      </c>
      <c r="I312" s="15" t="s">
        <v>167</v>
      </c>
      <c r="J312" s="16">
        <v>2.0</v>
      </c>
      <c r="K312" s="17" t="s">
        <v>169</v>
      </c>
      <c r="L312" s="15"/>
    </row>
    <row r="313">
      <c r="A313" s="13">
        <v>3.0</v>
      </c>
      <c r="B313" s="14" t="s">
        <v>446</v>
      </c>
      <c r="C313" s="13">
        <v>2.0</v>
      </c>
      <c r="D313" s="14" t="s">
        <v>447</v>
      </c>
      <c r="E313" s="13">
        <v>2.0</v>
      </c>
      <c r="F313" s="14" t="s">
        <v>470</v>
      </c>
      <c r="G313" s="13">
        <v>4.0</v>
      </c>
      <c r="H313" s="14" t="s">
        <v>166</v>
      </c>
      <c r="I313" s="15" t="s">
        <v>167</v>
      </c>
      <c r="J313" s="16">
        <v>3.0</v>
      </c>
      <c r="K313" s="17" t="s">
        <v>476</v>
      </c>
      <c r="L313" s="15"/>
    </row>
    <row r="314">
      <c r="A314" s="13">
        <v>3.0</v>
      </c>
      <c r="B314" s="14" t="s">
        <v>446</v>
      </c>
      <c r="C314" s="13">
        <v>2.0</v>
      </c>
      <c r="D314" s="14" t="s">
        <v>447</v>
      </c>
      <c r="E314" s="13">
        <v>2.0</v>
      </c>
      <c r="F314" s="14" t="s">
        <v>470</v>
      </c>
      <c r="G314" s="13">
        <v>4.0</v>
      </c>
      <c r="H314" s="14" t="s">
        <v>166</v>
      </c>
      <c r="I314" s="15" t="s">
        <v>167</v>
      </c>
      <c r="J314" s="16">
        <v>4.0</v>
      </c>
      <c r="K314" s="17" t="s">
        <v>170</v>
      </c>
      <c r="L314" s="15"/>
    </row>
    <row r="315">
      <c r="A315" s="13">
        <v>3.0</v>
      </c>
      <c r="B315" s="14" t="s">
        <v>446</v>
      </c>
      <c r="C315" s="13">
        <v>2.0</v>
      </c>
      <c r="D315" s="14" t="s">
        <v>447</v>
      </c>
      <c r="E315" s="13">
        <v>2.0</v>
      </c>
      <c r="F315" s="14" t="s">
        <v>470</v>
      </c>
      <c r="G315" s="13">
        <v>5.0</v>
      </c>
      <c r="H315" s="14" t="s">
        <v>477</v>
      </c>
      <c r="I315" s="15" t="s">
        <v>173</v>
      </c>
      <c r="J315" s="16">
        <v>1.0</v>
      </c>
      <c r="K315" s="17" t="s">
        <v>174</v>
      </c>
      <c r="L315" s="15"/>
    </row>
    <row r="316">
      <c r="A316" s="13">
        <v>3.0</v>
      </c>
      <c r="B316" s="14" t="s">
        <v>446</v>
      </c>
      <c r="C316" s="13">
        <v>2.0</v>
      </c>
      <c r="D316" s="14" t="s">
        <v>447</v>
      </c>
      <c r="E316" s="13">
        <v>2.0</v>
      </c>
      <c r="F316" s="14" t="s">
        <v>470</v>
      </c>
      <c r="G316" s="13">
        <v>5.0</v>
      </c>
      <c r="H316" s="14" t="s">
        <v>477</v>
      </c>
      <c r="I316" s="15" t="s">
        <v>173</v>
      </c>
      <c r="J316" s="16">
        <v>2.0</v>
      </c>
      <c r="K316" s="17" t="s">
        <v>175</v>
      </c>
      <c r="L316" s="15"/>
    </row>
    <row r="317">
      <c r="A317" s="13">
        <v>3.0</v>
      </c>
      <c r="B317" s="14" t="s">
        <v>446</v>
      </c>
      <c r="C317" s="13">
        <v>2.0</v>
      </c>
      <c r="D317" s="14" t="s">
        <v>447</v>
      </c>
      <c r="E317" s="13">
        <v>2.0</v>
      </c>
      <c r="F317" s="14" t="s">
        <v>470</v>
      </c>
      <c r="G317" s="13">
        <v>5.0</v>
      </c>
      <c r="H317" s="14" t="s">
        <v>477</v>
      </c>
      <c r="I317" s="15" t="s">
        <v>173</v>
      </c>
      <c r="J317" s="16">
        <v>3.0</v>
      </c>
      <c r="K317" s="17" t="s">
        <v>176</v>
      </c>
      <c r="L317" s="15"/>
    </row>
    <row r="318">
      <c r="A318" s="13">
        <v>3.0</v>
      </c>
      <c r="B318" s="14" t="s">
        <v>446</v>
      </c>
      <c r="C318" s="13">
        <v>2.0</v>
      </c>
      <c r="D318" s="14" t="s">
        <v>447</v>
      </c>
      <c r="E318" s="13">
        <v>2.0</v>
      </c>
      <c r="F318" s="14" t="s">
        <v>470</v>
      </c>
      <c r="G318" s="13">
        <v>5.0</v>
      </c>
      <c r="H318" s="14" t="s">
        <v>477</v>
      </c>
      <c r="I318" s="15" t="s">
        <v>173</v>
      </c>
      <c r="J318" s="16">
        <v>4.0</v>
      </c>
      <c r="K318" s="17" t="s">
        <v>478</v>
      </c>
      <c r="L318" s="15"/>
    </row>
    <row r="319">
      <c r="A319" s="13">
        <v>3.0</v>
      </c>
      <c r="B319" s="14" t="s">
        <v>446</v>
      </c>
      <c r="C319" s="13">
        <v>2.0</v>
      </c>
      <c r="D319" s="14" t="s">
        <v>447</v>
      </c>
      <c r="E319" s="13">
        <v>2.0</v>
      </c>
      <c r="F319" s="14" t="s">
        <v>470</v>
      </c>
      <c r="G319" s="13">
        <v>8.0</v>
      </c>
      <c r="H319" s="14" t="s">
        <v>479</v>
      </c>
      <c r="I319" s="15"/>
      <c r="J319" s="16">
        <v>1.0</v>
      </c>
      <c r="K319" s="17" t="s">
        <v>480</v>
      </c>
      <c r="L319" s="15"/>
    </row>
    <row r="320">
      <c r="A320" s="13">
        <v>3.0</v>
      </c>
      <c r="B320" s="14" t="s">
        <v>446</v>
      </c>
      <c r="C320" s="13">
        <v>2.0</v>
      </c>
      <c r="D320" s="14" t="s">
        <v>447</v>
      </c>
      <c r="E320" s="13">
        <v>2.0</v>
      </c>
      <c r="F320" s="14" t="s">
        <v>470</v>
      </c>
      <c r="G320" s="13">
        <v>8.0</v>
      </c>
      <c r="H320" s="14" t="s">
        <v>479</v>
      </c>
      <c r="I320" s="15"/>
      <c r="J320" s="16">
        <v>2.0</v>
      </c>
      <c r="K320" s="17" t="s">
        <v>481</v>
      </c>
      <c r="L320" s="15"/>
    </row>
    <row r="321">
      <c r="A321" s="13">
        <v>3.0</v>
      </c>
      <c r="B321" s="14" t="s">
        <v>446</v>
      </c>
      <c r="C321" s="13">
        <v>2.0</v>
      </c>
      <c r="D321" s="14" t="s">
        <v>447</v>
      </c>
      <c r="E321" s="13">
        <v>2.0</v>
      </c>
      <c r="F321" s="14" t="s">
        <v>470</v>
      </c>
      <c r="G321" s="13">
        <v>9.0</v>
      </c>
      <c r="H321" s="14" t="s">
        <v>482</v>
      </c>
      <c r="I321" s="15"/>
      <c r="J321" s="16">
        <v>1.0</v>
      </c>
      <c r="K321" s="17" t="s">
        <v>483</v>
      </c>
      <c r="L321" s="15"/>
    </row>
    <row r="322">
      <c r="A322" s="13">
        <v>3.0</v>
      </c>
      <c r="B322" s="14" t="s">
        <v>446</v>
      </c>
      <c r="C322" s="13">
        <v>2.0</v>
      </c>
      <c r="D322" s="14" t="s">
        <v>447</v>
      </c>
      <c r="E322" s="13">
        <v>2.0</v>
      </c>
      <c r="F322" s="14" t="s">
        <v>470</v>
      </c>
      <c r="G322" s="13">
        <v>9.0</v>
      </c>
      <c r="H322" s="14" t="s">
        <v>482</v>
      </c>
      <c r="I322" s="15" t="s">
        <v>188</v>
      </c>
      <c r="J322" s="16">
        <v>2.0</v>
      </c>
      <c r="K322" s="17" t="s">
        <v>484</v>
      </c>
      <c r="L322" s="15"/>
    </row>
    <row r="323">
      <c r="A323" s="13">
        <v>3.0</v>
      </c>
      <c r="B323" s="14" t="s">
        <v>446</v>
      </c>
      <c r="C323" s="13">
        <v>2.0</v>
      </c>
      <c r="D323" s="14" t="s">
        <v>447</v>
      </c>
      <c r="E323" s="13">
        <v>2.0</v>
      </c>
      <c r="F323" s="14" t="s">
        <v>470</v>
      </c>
      <c r="G323" s="13">
        <v>9.0</v>
      </c>
      <c r="H323" s="14" t="s">
        <v>482</v>
      </c>
      <c r="I323" s="15" t="s">
        <v>188</v>
      </c>
      <c r="J323" s="16">
        <v>3.0</v>
      </c>
      <c r="K323" s="17" t="s">
        <v>485</v>
      </c>
      <c r="L323" s="15"/>
    </row>
    <row r="324">
      <c r="A324" s="13">
        <v>3.0</v>
      </c>
      <c r="B324" s="14" t="s">
        <v>446</v>
      </c>
      <c r="C324" s="13">
        <v>2.0</v>
      </c>
      <c r="D324" s="14" t="s">
        <v>447</v>
      </c>
      <c r="E324" s="13">
        <v>2.0</v>
      </c>
      <c r="F324" s="14" t="s">
        <v>470</v>
      </c>
      <c r="G324" s="13">
        <v>9.0</v>
      </c>
      <c r="H324" s="14" t="s">
        <v>482</v>
      </c>
      <c r="I324" s="15" t="s">
        <v>192</v>
      </c>
      <c r="J324" s="16">
        <v>4.0</v>
      </c>
      <c r="K324" s="17" t="s">
        <v>486</v>
      </c>
      <c r="L324" s="15"/>
    </row>
    <row r="325">
      <c r="A325" s="13">
        <v>3.0</v>
      </c>
      <c r="B325" s="14" t="s">
        <v>446</v>
      </c>
      <c r="C325" s="13">
        <v>2.0</v>
      </c>
      <c r="D325" s="14" t="s">
        <v>447</v>
      </c>
      <c r="E325" s="13">
        <v>2.0</v>
      </c>
      <c r="F325" s="14" t="s">
        <v>487</v>
      </c>
      <c r="G325" s="13">
        <v>1.0</v>
      </c>
      <c r="H325" s="14" t="s">
        <v>187</v>
      </c>
      <c r="I325" s="15" t="s">
        <v>192</v>
      </c>
      <c r="J325" s="16">
        <v>1.0</v>
      </c>
      <c r="K325" s="17" t="s">
        <v>189</v>
      </c>
      <c r="L325" s="15"/>
    </row>
    <row r="326">
      <c r="A326" s="13">
        <v>3.0</v>
      </c>
      <c r="B326" s="14" t="s">
        <v>446</v>
      </c>
      <c r="C326" s="13">
        <v>2.0</v>
      </c>
      <c r="D326" s="14" t="s">
        <v>447</v>
      </c>
      <c r="E326" s="13">
        <v>2.0</v>
      </c>
      <c r="F326" s="14" t="s">
        <v>487</v>
      </c>
      <c r="G326" s="13">
        <v>1.0</v>
      </c>
      <c r="H326" s="14" t="s">
        <v>187</v>
      </c>
      <c r="I326" s="15" t="s">
        <v>192</v>
      </c>
      <c r="J326" s="16">
        <v>2.0</v>
      </c>
      <c r="K326" s="17" t="s">
        <v>190</v>
      </c>
      <c r="L326" s="15"/>
    </row>
    <row r="327">
      <c r="A327" s="13">
        <v>3.0</v>
      </c>
      <c r="B327" s="14" t="s">
        <v>446</v>
      </c>
      <c r="C327" s="13">
        <v>2.0</v>
      </c>
      <c r="D327" s="14" t="s">
        <v>447</v>
      </c>
      <c r="E327" s="13">
        <v>2.0</v>
      </c>
      <c r="F327" s="14" t="s">
        <v>487</v>
      </c>
      <c r="G327" s="13">
        <v>2.0</v>
      </c>
      <c r="H327" s="14" t="s">
        <v>191</v>
      </c>
      <c r="I327" s="15" t="s">
        <v>206</v>
      </c>
      <c r="J327" s="16">
        <v>1.0</v>
      </c>
      <c r="K327" s="17" t="s">
        <v>488</v>
      </c>
      <c r="L327" s="15"/>
    </row>
    <row r="328">
      <c r="A328" s="13">
        <v>3.0</v>
      </c>
      <c r="B328" s="14" t="s">
        <v>446</v>
      </c>
      <c r="C328" s="13">
        <v>2.0</v>
      </c>
      <c r="D328" s="14" t="s">
        <v>447</v>
      </c>
      <c r="E328" s="13">
        <v>2.0</v>
      </c>
      <c r="F328" s="14" t="s">
        <v>487</v>
      </c>
      <c r="G328" s="13">
        <v>2.0</v>
      </c>
      <c r="H328" s="14" t="s">
        <v>191</v>
      </c>
      <c r="I328" s="15" t="s">
        <v>206</v>
      </c>
      <c r="J328" s="16">
        <v>2.0</v>
      </c>
      <c r="K328" s="17" t="s">
        <v>489</v>
      </c>
      <c r="L328" s="15"/>
    </row>
    <row r="329">
      <c r="A329" s="13">
        <v>3.0</v>
      </c>
      <c r="B329" s="14" t="s">
        <v>446</v>
      </c>
      <c r="C329" s="13">
        <v>2.0</v>
      </c>
      <c r="D329" s="14" t="s">
        <v>447</v>
      </c>
      <c r="E329" s="13">
        <v>2.0</v>
      </c>
      <c r="F329" s="14" t="s">
        <v>487</v>
      </c>
      <c r="G329" s="13">
        <v>2.0</v>
      </c>
      <c r="H329" s="14" t="s">
        <v>191</v>
      </c>
      <c r="I329" s="15" t="s">
        <v>206</v>
      </c>
      <c r="J329" s="16">
        <v>3.0</v>
      </c>
      <c r="K329" s="17" t="s">
        <v>490</v>
      </c>
      <c r="L329" s="15"/>
    </row>
    <row r="330">
      <c r="A330" s="13">
        <v>3.0</v>
      </c>
      <c r="B330" s="14" t="s">
        <v>446</v>
      </c>
      <c r="C330" s="13">
        <v>2.0</v>
      </c>
      <c r="D330" s="14" t="s">
        <v>447</v>
      </c>
      <c r="E330" s="13">
        <v>2.0</v>
      </c>
      <c r="F330" s="14" t="s">
        <v>487</v>
      </c>
      <c r="G330" s="13">
        <v>3.0</v>
      </c>
      <c r="H330" s="14" t="s">
        <v>205</v>
      </c>
      <c r="I330" s="15" t="s">
        <v>211</v>
      </c>
      <c r="J330" s="16">
        <v>1.0</v>
      </c>
      <c r="K330" s="17" t="s">
        <v>207</v>
      </c>
      <c r="L330" s="15"/>
    </row>
    <row r="331">
      <c r="A331" s="13">
        <v>3.0</v>
      </c>
      <c r="B331" s="14" t="s">
        <v>446</v>
      </c>
      <c r="C331" s="13">
        <v>2.0</v>
      </c>
      <c r="D331" s="14" t="s">
        <v>447</v>
      </c>
      <c r="E331" s="13">
        <v>2.0</v>
      </c>
      <c r="F331" s="14" t="s">
        <v>487</v>
      </c>
      <c r="G331" s="13">
        <v>3.0</v>
      </c>
      <c r="H331" s="14" t="s">
        <v>205</v>
      </c>
      <c r="I331" s="15" t="s">
        <v>211</v>
      </c>
      <c r="J331" s="16">
        <v>2.0</v>
      </c>
      <c r="K331" s="17" t="s">
        <v>209</v>
      </c>
      <c r="L331" s="15"/>
    </row>
    <row r="332">
      <c r="A332" s="13">
        <v>3.0</v>
      </c>
      <c r="B332" s="14" t="s">
        <v>446</v>
      </c>
      <c r="C332" s="13">
        <v>2.0</v>
      </c>
      <c r="D332" s="14" t="s">
        <v>447</v>
      </c>
      <c r="E332" s="13">
        <v>2.0</v>
      </c>
      <c r="F332" s="14" t="s">
        <v>487</v>
      </c>
      <c r="G332" s="13">
        <v>3.0</v>
      </c>
      <c r="H332" s="14" t="s">
        <v>205</v>
      </c>
      <c r="I332" s="15" t="s">
        <v>216</v>
      </c>
      <c r="J332" s="16">
        <v>3.0</v>
      </c>
      <c r="K332" s="17" t="s">
        <v>491</v>
      </c>
      <c r="L332" s="15"/>
    </row>
    <row r="333">
      <c r="A333" s="13">
        <v>3.0</v>
      </c>
      <c r="B333" s="14" t="s">
        <v>446</v>
      </c>
      <c r="C333" s="13">
        <v>2.0</v>
      </c>
      <c r="D333" s="14" t="s">
        <v>447</v>
      </c>
      <c r="E333" s="13">
        <v>2.0</v>
      </c>
      <c r="F333" s="14" t="s">
        <v>487</v>
      </c>
      <c r="G333" s="13">
        <v>4.0</v>
      </c>
      <c r="H333" s="14" t="s">
        <v>210</v>
      </c>
      <c r="I333" s="15" t="s">
        <v>216</v>
      </c>
      <c r="J333" s="16">
        <v>1.0</v>
      </c>
      <c r="K333" s="17" t="s">
        <v>212</v>
      </c>
      <c r="L333" s="15"/>
    </row>
    <row r="334">
      <c r="A334" s="13">
        <v>3.0</v>
      </c>
      <c r="B334" s="14" t="s">
        <v>446</v>
      </c>
      <c r="C334" s="13">
        <v>2.0</v>
      </c>
      <c r="D334" s="14" t="s">
        <v>447</v>
      </c>
      <c r="E334" s="13">
        <v>2.0</v>
      </c>
      <c r="F334" s="14" t="s">
        <v>487</v>
      </c>
      <c r="G334" s="13">
        <v>4.0</v>
      </c>
      <c r="H334" s="14" t="s">
        <v>210</v>
      </c>
      <c r="I334" s="15" t="s">
        <v>216</v>
      </c>
      <c r="J334" s="16">
        <v>2.0</v>
      </c>
      <c r="K334" s="17" t="s">
        <v>213</v>
      </c>
      <c r="L334" s="15"/>
    </row>
    <row r="335">
      <c r="A335" s="13">
        <v>3.0</v>
      </c>
      <c r="B335" s="14" t="s">
        <v>446</v>
      </c>
      <c r="C335" s="13">
        <v>2.0</v>
      </c>
      <c r="D335" s="14" t="s">
        <v>447</v>
      </c>
      <c r="E335" s="13">
        <v>2.0</v>
      </c>
      <c r="F335" s="14" t="s">
        <v>487</v>
      </c>
      <c r="G335" s="13">
        <v>5.0</v>
      </c>
      <c r="H335" s="14" t="s">
        <v>215</v>
      </c>
      <c r="I335" s="15" t="s">
        <v>221</v>
      </c>
      <c r="J335" s="16">
        <v>1.0</v>
      </c>
      <c r="K335" s="17" t="s">
        <v>492</v>
      </c>
      <c r="L335" s="15"/>
    </row>
    <row r="336">
      <c r="A336" s="13">
        <v>3.0</v>
      </c>
      <c r="B336" s="14" t="s">
        <v>446</v>
      </c>
      <c r="C336" s="13">
        <v>2.0</v>
      </c>
      <c r="D336" s="14" t="s">
        <v>447</v>
      </c>
      <c r="E336" s="13">
        <v>2.0</v>
      </c>
      <c r="F336" s="14" t="s">
        <v>487</v>
      </c>
      <c r="G336" s="13">
        <v>5.0</v>
      </c>
      <c r="H336" s="14" t="s">
        <v>215</v>
      </c>
      <c r="I336" s="15" t="s">
        <v>221</v>
      </c>
      <c r="J336" s="16">
        <v>2.0</v>
      </c>
      <c r="K336" s="17" t="s">
        <v>493</v>
      </c>
      <c r="L336" s="15"/>
    </row>
    <row r="337">
      <c r="A337" s="13">
        <v>3.0</v>
      </c>
      <c r="B337" s="14" t="s">
        <v>446</v>
      </c>
      <c r="C337" s="13">
        <v>2.0</v>
      </c>
      <c r="D337" s="14" t="s">
        <v>447</v>
      </c>
      <c r="E337" s="13">
        <v>2.0</v>
      </c>
      <c r="F337" s="14" t="s">
        <v>487</v>
      </c>
      <c r="G337" s="13">
        <v>5.0</v>
      </c>
      <c r="H337" s="14" t="s">
        <v>215</v>
      </c>
      <c r="I337" s="15" t="s">
        <v>225</v>
      </c>
      <c r="J337" s="16">
        <v>3.0</v>
      </c>
      <c r="K337" s="17" t="s">
        <v>494</v>
      </c>
      <c r="L337" s="15"/>
    </row>
    <row r="338">
      <c r="A338" s="13">
        <v>3.0</v>
      </c>
      <c r="B338" s="14" t="s">
        <v>446</v>
      </c>
      <c r="C338" s="13">
        <v>2.0</v>
      </c>
      <c r="D338" s="14" t="s">
        <v>447</v>
      </c>
      <c r="E338" s="13">
        <v>2.0</v>
      </c>
      <c r="F338" s="14" t="s">
        <v>487</v>
      </c>
      <c r="G338" s="13">
        <v>6.0</v>
      </c>
      <c r="H338" s="14" t="s">
        <v>220</v>
      </c>
      <c r="I338" s="15" t="s">
        <v>225</v>
      </c>
      <c r="J338" s="16">
        <v>1.0</v>
      </c>
      <c r="K338" s="17" t="s">
        <v>222</v>
      </c>
      <c r="L338" s="15"/>
    </row>
    <row r="339">
      <c r="A339" s="13">
        <v>3.0</v>
      </c>
      <c r="B339" s="14" t="s">
        <v>446</v>
      </c>
      <c r="C339" s="13">
        <v>2.0</v>
      </c>
      <c r="D339" s="14" t="s">
        <v>447</v>
      </c>
      <c r="E339" s="13">
        <v>2.0</v>
      </c>
      <c r="F339" s="14" t="s">
        <v>487</v>
      </c>
      <c r="G339" s="13">
        <v>6.0</v>
      </c>
      <c r="H339" s="14" t="s">
        <v>220</v>
      </c>
      <c r="I339" s="15" t="s">
        <v>225</v>
      </c>
      <c r="J339" s="16">
        <v>2.0</v>
      </c>
      <c r="K339" s="17" t="s">
        <v>223</v>
      </c>
      <c r="L339" s="15"/>
    </row>
    <row r="340">
      <c r="A340" s="13">
        <v>3.0</v>
      </c>
      <c r="B340" s="14" t="s">
        <v>446</v>
      </c>
      <c r="C340" s="13">
        <v>2.0</v>
      </c>
      <c r="D340" s="14" t="s">
        <v>447</v>
      </c>
      <c r="E340" s="13">
        <v>2.0</v>
      </c>
      <c r="F340" s="18" t="s">
        <v>487</v>
      </c>
      <c r="G340" s="19">
        <v>7.0</v>
      </c>
      <c r="H340" s="18" t="s">
        <v>224</v>
      </c>
      <c r="I340" s="15" t="s">
        <v>225</v>
      </c>
      <c r="J340" s="20">
        <v>1.0</v>
      </c>
      <c r="K340" s="21" t="s">
        <v>226</v>
      </c>
      <c r="L340" s="15"/>
    </row>
    <row r="341">
      <c r="A341" s="13">
        <v>3.0</v>
      </c>
      <c r="B341" s="14" t="s">
        <v>446</v>
      </c>
      <c r="C341" s="13">
        <v>2.0</v>
      </c>
      <c r="D341" s="14" t="s">
        <v>447</v>
      </c>
      <c r="E341" s="13">
        <v>2.0</v>
      </c>
      <c r="F341" s="14" t="s">
        <v>487</v>
      </c>
      <c r="G341" s="13">
        <v>7.0</v>
      </c>
      <c r="H341" s="14" t="s">
        <v>224</v>
      </c>
      <c r="I341" s="15" t="s">
        <v>225</v>
      </c>
      <c r="J341" s="16">
        <v>2.0</v>
      </c>
      <c r="K341" s="17" t="s">
        <v>495</v>
      </c>
      <c r="L341" s="15"/>
    </row>
    <row r="342">
      <c r="A342" s="13">
        <v>3.0</v>
      </c>
      <c r="B342" s="14" t="s">
        <v>446</v>
      </c>
      <c r="C342" s="13">
        <v>2.0</v>
      </c>
      <c r="D342" s="14" t="s">
        <v>447</v>
      </c>
      <c r="E342" s="13">
        <v>2.0</v>
      </c>
      <c r="F342" s="14" t="s">
        <v>487</v>
      </c>
      <c r="G342" s="13">
        <v>7.0</v>
      </c>
      <c r="H342" s="14" t="s">
        <v>224</v>
      </c>
      <c r="I342" s="15" t="s">
        <v>233</v>
      </c>
      <c r="J342" s="16">
        <v>3.0</v>
      </c>
      <c r="K342" s="17" t="s">
        <v>227</v>
      </c>
      <c r="L342" s="15"/>
    </row>
    <row r="343">
      <c r="A343" s="13">
        <v>3.0</v>
      </c>
      <c r="B343" s="14" t="s">
        <v>446</v>
      </c>
      <c r="C343" s="13">
        <v>2.0</v>
      </c>
      <c r="D343" s="14" t="s">
        <v>447</v>
      </c>
      <c r="E343" s="13">
        <v>2.0</v>
      </c>
      <c r="F343" s="14" t="s">
        <v>487</v>
      </c>
      <c r="G343" s="13">
        <v>7.0</v>
      </c>
      <c r="H343" s="14" t="s">
        <v>224</v>
      </c>
      <c r="I343" s="15" t="s">
        <v>233</v>
      </c>
      <c r="J343" s="16">
        <v>4.0</v>
      </c>
      <c r="K343" s="17" t="s">
        <v>230</v>
      </c>
      <c r="L343" s="15"/>
    </row>
    <row r="344">
      <c r="A344" s="13">
        <v>3.0</v>
      </c>
      <c r="B344" s="14" t="s">
        <v>446</v>
      </c>
      <c r="C344" s="13">
        <v>2.0</v>
      </c>
      <c r="D344" s="14" t="s">
        <v>447</v>
      </c>
      <c r="E344" s="13">
        <v>2.0</v>
      </c>
      <c r="F344" s="14" t="s">
        <v>487</v>
      </c>
      <c r="G344" s="13">
        <v>7.0</v>
      </c>
      <c r="H344" s="14" t="s">
        <v>224</v>
      </c>
      <c r="I344" s="15" t="s">
        <v>237</v>
      </c>
      <c r="J344" s="16">
        <v>5.0</v>
      </c>
      <c r="K344" s="17" t="s">
        <v>231</v>
      </c>
      <c r="L344" s="15"/>
    </row>
    <row r="345">
      <c r="A345" s="13">
        <v>3.0</v>
      </c>
      <c r="B345" s="14" t="s">
        <v>446</v>
      </c>
      <c r="C345" s="13">
        <v>2.0</v>
      </c>
      <c r="D345" s="14" t="s">
        <v>447</v>
      </c>
      <c r="E345" s="13">
        <v>2.0</v>
      </c>
      <c r="F345" s="14" t="s">
        <v>487</v>
      </c>
      <c r="G345" s="13">
        <v>8.0</v>
      </c>
      <c r="H345" s="14" t="s">
        <v>232</v>
      </c>
      <c r="I345" s="15" t="s">
        <v>237</v>
      </c>
      <c r="J345" s="16">
        <v>1.0</v>
      </c>
      <c r="K345" s="17" t="s">
        <v>234</v>
      </c>
      <c r="L345" s="15"/>
    </row>
    <row r="346">
      <c r="A346" s="13">
        <v>3.0</v>
      </c>
      <c r="B346" s="14" t="s">
        <v>446</v>
      </c>
      <c r="C346" s="13">
        <v>2.0</v>
      </c>
      <c r="D346" s="14" t="s">
        <v>447</v>
      </c>
      <c r="E346" s="13">
        <v>2.0</v>
      </c>
      <c r="F346" s="14" t="s">
        <v>487</v>
      </c>
      <c r="G346" s="13">
        <v>8.0</v>
      </c>
      <c r="H346" s="14" t="s">
        <v>232</v>
      </c>
      <c r="I346" s="15" t="s">
        <v>245</v>
      </c>
      <c r="J346" s="16">
        <v>2.0</v>
      </c>
      <c r="K346" s="17" t="s">
        <v>235</v>
      </c>
      <c r="L346" s="15"/>
    </row>
    <row r="347">
      <c r="A347" s="13">
        <v>3.0</v>
      </c>
      <c r="B347" s="14" t="s">
        <v>446</v>
      </c>
      <c r="C347" s="13">
        <v>2.0</v>
      </c>
      <c r="D347" s="14" t="s">
        <v>447</v>
      </c>
      <c r="E347" s="13">
        <v>2.0</v>
      </c>
      <c r="F347" s="14" t="s">
        <v>487</v>
      </c>
      <c r="G347" s="13">
        <v>9.0</v>
      </c>
      <c r="H347" s="14" t="s">
        <v>236</v>
      </c>
      <c r="I347" s="15" t="s">
        <v>245</v>
      </c>
      <c r="J347" s="16">
        <v>1.0</v>
      </c>
      <c r="K347" s="17" t="s">
        <v>238</v>
      </c>
      <c r="L347" s="15"/>
    </row>
    <row r="348">
      <c r="A348" s="13">
        <v>3.0</v>
      </c>
      <c r="B348" s="14" t="s">
        <v>446</v>
      </c>
      <c r="C348" s="13">
        <v>2.0</v>
      </c>
      <c r="D348" s="14" t="s">
        <v>447</v>
      </c>
      <c r="E348" s="13">
        <v>2.0</v>
      </c>
      <c r="F348" s="14" t="s">
        <v>487</v>
      </c>
      <c r="G348" s="13">
        <v>9.0</v>
      </c>
      <c r="H348" s="14" t="s">
        <v>236</v>
      </c>
      <c r="I348" s="15" t="s">
        <v>245</v>
      </c>
      <c r="J348" s="16">
        <v>2.0</v>
      </c>
      <c r="K348" s="17" t="s">
        <v>239</v>
      </c>
      <c r="L348" s="15"/>
    </row>
    <row r="349">
      <c r="A349" s="13">
        <v>3.0</v>
      </c>
      <c r="B349" s="14" t="s">
        <v>446</v>
      </c>
      <c r="C349" s="13">
        <v>2.0</v>
      </c>
      <c r="D349" s="14" t="s">
        <v>447</v>
      </c>
      <c r="E349" s="13">
        <v>2.0</v>
      </c>
      <c r="F349" s="14" t="s">
        <v>487</v>
      </c>
      <c r="G349" s="13">
        <v>10.0</v>
      </c>
      <c r="H349" s="14" t="s">
        <v>244</v>
      </c>
      <c r="I349" s="15" t="s">
        <v>245</v>
      </c>
      <c r="J349" s="16">
        <v>1.0</v>
      </c>
      <c r="K349" s="17" t="s">
        <v>246</v>
      </c>
      <c r="L349" s="15"/>
    </row>
    <row r="350">
      <c r="A350" s="13">
        <v>3.0</v>
      </c>
      <c r="B350" s="14" t="s">
        <v>446</v>
      </c>
      <c r="C350" s="13">
        <v>2.0</v>
      </c>
      <c r="D350" s="14" t="s">
        <v>447</v>
      </c>
      <c r="E350" s="13">
        <v>2.0</v>
      </c>
      <c r="F350" s="14" t="s">
        <v>487</v>
      </c>
      <c r="G350" s="13">
        <v>10.0</v>
      </c>
      <c r="H350" s="14" t="s">
        <v>244</v>
      </c>
      <c r="I350" s="15" t="s">
        <v>245</v>
      </c>
      <c r="J350" s="16">
        <v>2.0</v>
      </c>
      <c r="K350" s="17" t="s">
        <v>247</v>
      </c>
      <c r="L350" s="15"/>
    </row>
    <row r="351">
      <c r="A351" s="13">
        <v>3.0</v>
      </c>
      <c r="B351" s="14" t="s">
        <v>446</v>
      </c>
      <c r="C351" s="13">
        <v>2.0</v>
      </c>
      <c r="D351" s="14" t="s">
        <v>447</v>
      </c>
      <c r="E351" s="13">
        <v>2.0</v>
      </c>
      <c r="F351" s="14" t="s">
        <v>487</v>
      </c>
      <c r="G351" s="13">
        <v>10.0</v>
      </c>
      <c r="H351" s="14" t="s">
        <v>244</v>
      </c>
      <c r="I351" s="15" t="s">
        <v>245</v>
      </c>
      <c r="J351" s="16">
        <v>3.0</v>
      </c>
      <c r="K351" s="17" t="s">
        <v>248</v>
      </c>
      <c r="L351" s="15"/>
    </row>
    <row r="352">
      <c r="A352" s="13">
        <v>3.0</v>
      </c>
      <c r="B352" s="14" t="s">
        <v>446</v>
      </c>
      <c r="C352" s="13">
        <v>2.0</v>
      </c>
      <c r="D352" s="14" t="s">
        <v>447</v>
      </c>
      <c r="E352" s="13">
        <v>2.0</v>
      </c>
      <c r="F352" s="14" t="s">
        <v>487</v>
      </c>
      <c r="G352" s="13">
        <v>10.0</v>
      </c>
      <c r="H352" s="14" t="s">
        <v>244</v>
      </c>
      <c r="I352" s="15" t="s">
        <v>245</v>
      </c>
      <c r="J352" s="16">
        <v>4.0</v>
      </c>
      <c r="K352" s="17" t="s">
        <v>249</v>
      </c>
      <c r="L352" s="15"/>
    </row>
    <row r="353">
      <c r="A353" s="13">
        <v>3.0</v>
      </c>
      <c r="B353" s="14" t="s">
        <v>446</v>
      </c>
      <c r="C353" s="13">
        <v>2.0</v>
      </c>
      <c r="D353" s="14" t="s">
        <v>447</v>
      </c>
      <c r="E353" s="13">
        <v>2.0</v>
      </c>
      <c r="F353" s="14" t="s">
        <v>487</v>
      </c>
      <c r="G353" s="13">
        <v>10.0</v>
      </c>
      <c r="H353" s="14" t="s">
        <v>244</v>
      </c>
      <c r="I353" s="15" t="s">
        <v>245</v>
      </c>
      <c r="J353" s="16">
        <v>5.0</v>
      </c>
      <c r="K353" s="17" t="s">
        <v>251</v>
      </c>
      <c r="L353" s="15"/>
    </row>
    <row r="354">
      <c r="A354" s="13">
        <v>3.0</v>
      </c>
      <c r="B354" s="14" t="s">
        <v>446</v>
      </c>
      <c r="C354" s="13">
        <v>2.0</v>
      </c>
      <c r="D354" s="14" t="s">
        <v>447</v>
      </c>
      <c r="E354" s="13">
        <v>2.0</v>
      </c>
      <c r="F354" s="14" t="s">
        <v>487</v>
      </c>
      <c r="G354" s="13">
        <v>10.0</v>
      </c>
      <c r="H354" s="14" t="s">
        <v>244</v>
      </c>
      <c r="I354" s="15" t="s">
        <v>245</v>
      </c>
      <c r="J354" s="16">
        <v>6.0</v>
      </c>
      <c r="K354" s="17" t="s">
        <v>252</v>
      </c>
      <c r="L354" s="15"/>
    </row>
    <row r="355">
      <c r="A355" s="13">
        <v>3.0</v>
      </c>
      <c r="B355" s="14" t="s">
        <v>446</v>
      </c>
      <c r="C355" s="13">
        <v>2.0</v>
      </c>
      <c r="D355" s="14" t="s">
        <v>447</v>
      </c>
      <c r="E355" s="13">
        <v>2.0</v>
      </c>
      <c r="F355" s="14" t="s">
        <v>487</v>
      </c>
      <c r="G355" s="13">
        <v>10.0</v>
      </c>
      <c r="H355" s="14" t="s">
        <v>244</v>
      </c>
      <c r="I355" s="15" t="s">
        <v>255</v>
      </c>
      <c r="J355" s="16">
        <v>7.0</v>
      </c>
      <c r="K355" s="17" t="s">
        <v>253</v>
      </c>
      <c r="L355" s="15"/>
    </row>
    <row r="356">
      <c r="A356" s="13">
        <v>3.0</v>
      </c>
      <c r="B356" s="14" t="s">
        <v>446</v>
      </c>
      <c r="C356" s="13">
        <v>2.0</v>
      </c>
      <c r="D356" s="14" t="s">
        <v>447</v>
      </c>
      <c r="E356" s="13">
        <v>2.0</v>
      </c>
      <c r="F356" s="14" t="s">
        <v>487</v>
      </c>
      <c r="G356" s="13">
        <v>10.0</v>
      </c>
      <c r="H356" s="14" t="s">
        <v>244</v>
      </c>
      <c r="I356" s="15" t="s">
        <v>255</v>
      </c>
      <c r="J356" s="16">
        <v>8.0</v>
      </c>
      <c r="K356" s="17" t="s">
        <v>496</v>
      </c>
      <c r="L356" s="15"/>
    </row>
    <row r="357">
      <c r="A357" s="13">
        <v>3.0</v>
      </c>
      <c r="B357" s="14" t="s">
        <v>446</v>
      </c>
      <c r="C357" s="13">
        <v>2.0</v>
      </c>
      <c r="D357" s="14" t="s">
        <v>447</v>
      </c>
      <c r="E357" s="13">
        <v>2.0</v>
      </c>
      <c r="F357" s="14" t="s">
        <v>487</v>
      </c>
      <c r="G357" s="13">
        <v>10.0</v>
      </c>
      <c r="H357" s="14" t="s">
        <v>244</v>
      </c>
      <c r="I357" s="15" t="s">
        <v>255</v>
      </c>
      <c r="J357" s="16">
        <v>9.0</v>
      </c>
      <c r="K357" s="17" t="s">
        <v>497</v>
      </c>
      <c r="L357" s="15"/>
    </row>
    <row r="358">
      <c r="A358" s="13">
        <v>3.0</v>
      </c>
      <c r="B358" s="14" t="s">
        <v>446</v>
      </c>
      <c r="C358" s="13">
        <v>2.0</v>
      </c>
      <c r="D358" s="14" t="s">
        <v>447</v>
      </c>
      <c r="E358" s="13">
        <v>2.0</v>
      </c>
      <c r="F358" s="14" t="s">
        <v>487</v>
      </c>
      <c r="G358" s="13">
        <v>11.0</v>
      </c>
      <c r="H358" s="14" t="s">
        <v>254</v>
      </c>
      <c r="I358" s="15" t="s">
        <v>255</v>
      </c>
      <c r="J358" s="16">
        <v>1.0</v>
      </c>
      <c r="K358" s="17" t="s">
        <v>498</v>
      </c>
      <c r="L358" s="15"/>
    </row>
    <row r="359">
      <c r="A359" s="13">
        <v>3.0</v>
      </c>
      <c r="B359" s="14" t="s">
        <v>446</v>
      </c>
      <c r="C359" s="13">
        <v>2.0</v>
      </c>
      <c r="D359" s="14" t="s">
        <v>447</v>
      </c>
      <c r="E359" s="13">
        <v>2.0</v>
      </c>
      <c r="F359" s="14" t="s">
        <v>487</v>
      </c>
      <c r="G359" s="13">
        <v>11.0</v>
      </c>
      <c r="H359" s="14" t="s">
        <v>254</v>
      </c>
      <c r="I359" s="15" t="s">
        <v>255</v>
      </c>
      <c r="J359" s="16">
        <v>2.0</v>
      </c>
      <c r="K359" s="17" t="s">
        <v>499</v>
      </c>
      <c r="L359" s="15"/>
    </row>
    <row r="360">
      <c r="A360" s="13">
        <v>3.0</v>
      </c>
      <c r="B360" s="14" t="s">
        <v>446</v>
      </c>
      <c r="C360" s="13">
        <v>2.0</v>
      </c>
      <c r="D360" s="14" t="s">
        <v>447</v>
      </c>
      <c r="E360" s="13">
        <v>2.0</v>
      </c>
      <c r="F360" s="14" t="s">
        <v>487</v>
      </c>
      <c r="G360" s="13">
        <v>11.0</v>
      </c>
      <c r="H360" s="14" t="s">
        <v>254</v>
      </c>
      <c r="I360" s="15" t="s">
        <v>255</v>
      </c>
      <c r="J360" s="16">
        <v>3.0</v>
      </c>
      <c r="K360" s="17" t="s">
        <v>256</v>
      </c>
      <c r="L360" s="15"/>
    </row>
    <row r="361">
      <c r="A361" s="13">
        <v>3.0</v>
      </c>
      <c r="B361" s="14" t="s">
        <v>446</v>
      </c>
      <c r="C361" s="13">
        <v>2.0</v>
      </c>
      <c r="D361" s="14" t="s">
        <v>447</v>
      </c>
      <c r="E361" s="13">
        <v>2.0</v>
      </c>
      <c r="F361" s="14" t="s">
        <v>487</v>
      </c>
      <c r="G361" s="13">
        <v>11.0</v>
      </c>
      <c r="H361" s="14" t="s">
        <v>254</v>
      </c>
      <c r="I361" s="15" t="s">
        <v>269</v>
      </c>
      <c r="J361" s="16">
        <v>4.0</v>
      </c>
      <c r="K361" s="17" t="s">
        <v>500</v>
      </c>
      <c r="L361" s="15"/>
    </row>
    <row r="362">
      <c r="A362" s="13">
        <v>3.0</v>
      </c>
      <c r="B362" s="14" t="s">
        <v>446</v>
      </c>
      <c r="C362" s="13">
        <v>2.0</v>
      </c>
      <c r="D362" s="14" t="s">
        <v>447</v>
      </c>
      <c r="E362" s="13">
        <v>2.0</v>
      </c>
      <c r="F362" s="14" t="s">
        <v>487</v>
      </c>
      <c r="G362" s="13">
        <v>11.0</v>
      </c>
      <c r="H362" s="14" t="s">
        <v>254</v>
      </c>
      <c r="I362" s="15" t="s">
        <v>269</v>
      </c>
      <c r="J362" s="16">
        <v>5.0</v>
      </c>
      <c r="K362" s="17" t="s">
        <v>257</v>
      </c>
      <c r="L362" s="15"/>
    </row>
    <row r="363">
      <c r="A363" s="13">
        <v>3.0</v>
      </c>
      <c r="B363" s="14" t="s">
        <v>446</v>
      </c>
      <c r="C363" s="13">
        <v>2.0</v>
      </c>
      <c r="D363" s="14" t="s">
        <v>447</v>
      </c>
      <c r="E363" s="13">
        <v>2.0</v>
      </c>
      <c r="F363" s="14" t="s">
        <v>487</v>
      </c>
      <c r="G363" s="13">
        <v>11.0</v>
      </c>
      <c r="H363" s="14" t="s">
        <v>254</v>
      </c>
      <c r="I363" s="15" t="s">
        <v>255</v>
      </c>
      <c r="J363" s="16">
        <v>6.0</v>
      </c>
      <c r="K363" s="17" t="s">
        <v>258</v>
      </c>
      <c r="L363" s="15"/>
    </row>
    <row r="364">
      <c r="A364" s="13">
        <v>3.0</v>
      </c>
      <c r="B364" s="14" t="s">
        <v>446</v>
      </c>
      <c r="C364" s="13">
        <v>2.0</v>
      </c>
      <c r="D364" s="14" t="s">
        <v>447</v>
      </c>
      <c r="E364" s="13">
        <v>2.0</v>
      </c>
      <c r="F364" s="14" t="s">
        <v>487</v>
      </c>
      <c r="G364" s="13">
        <v>12.0</v>
      </c>
      <c r="H364" s="14" t="s">
        <v>268</v>
      </c>
      <c r="I364" s="15"/>
      <c r="J364" s="16">
        <v>1.0</v>
      </c>
      <c r="K364" s="17" t="s">
        <v>270</v>
      </c>
      <c r="L364" s="15"/>
    </row>
    <row r="365">
      <c r="A365" s="13">
        <v>3.0</v>
      </c>
      <c r="B365" s="14" t="s">
        <v>446</v>
      </c>
      <c r="C365" s="13">
        <v>2.0</v>
      </c>
      <c r="D365" s="14" t="s">
        <v>447</v>
      </c>
      <c r="E365" s="13">
        <v>2.0</v>
      </c>
      <c r="F365" s="14" t="s">
        <v>487</v>
      </c>
      <c r="G365" s="13">
        <v>12.0</v>
      </c>
      <c r="H365" s="14" t="s">
        <v>268</v>
      </c>
      <c r="I365" s="15"/>
      <c r="J365" s="16">
        <v>2.0</v>
      </c>
      <c r="K365" s="17" t="s">
        <v>271</v>
      </c>
      <c r="L365" s="15"/>
    </row>
    <row r="366">
      <c r="A366" s="13">
        <v>3.0</v>
      </c>
      <c r="B366" s="14" t="s">
        <v>446</v>
      </c>
      <c r="C366" s="13">
        <v>2.0</v>
      </c>
      <c r="D366" s="14" t="s">
        <v>447</v>
      </c>
      <c r="E366" s="13">
        <v>2.0</v>
      </c>
      <c r="F366" s="14" t="s">
        <v>487</v>
      </c>
      <c r="G366" s="13">
        <v>13.0</v>
      </c>
      <c r="H366" s="14" t="s">
        <v>501</v>
      </c>
      <c r="I366" s="15" t="s">
        <v>279</v>
      </c>
      <c r="J366" s="16">
        <v>1.0</v>
      </c>
      <c r="K366" s="17" t="s">
        <v>502</v>
      </c>
      <c r="L366" s="15"/>
    </row>
    <row r="367">
      <c r="A367" s="13">
        <v>3.0</v>
      </c>
      <c r="B367" s="14" t="s">
        <v>446</v>
      </c>
      <c r="C367" s="13">
        <v>2.0</v>
      </c>
      <c r="D367" s="14" t="s">
        <v>447</v>
      </c>
      <c r="E367" s="13">
        <v>2.0</v>
      </c>
      <c r="F367" s="14" t="s">
        <v>487</v>
      </c>
      <c r="G367" s="13">
        <v>13.0</v>
      </c>
      <c r="H367" s="14" t="s">
        <v>501</v>
      </c>
      <c r="I367" s="15" t="s">
        <v>279</v>
      </c>
      <c r="J367" s="16">
        <v>2.0</v>
      </c>
      <c r="K367" s="17" t="s">
        <v>503</v>
      </c>
      <c r="L367" s="15"/>
    </row>
    <row r="368">
      <c r="A368" s="13">
        <v>3.0</v>
      </c>
      <c r="B368" s="14" t="s">
        <v>446</v>
      </c>
      <c r="C368" s="13">
        <v>2.0</v>
      </c>
      <c r="D368" s="14" t="s">
        <v>447</v>
      </c>
      <c r="E368" s="13">
        <v>2.0</v>
      </c>
      <c r="F368" s="14" t="s">
        <v>487</v>
      </c>
      <c r="G368" s="13">
        <v>13.0</v>
      </c>
      <c r="H368" s="14" t="s">
        <v>501</v>
      </c>
      <c r="I368" s="15" t="s">
        <v>279</v>
      </c>
      <c r="J368" s="16">
        <v>3.0</v>
      </c>
      <c r="K368" s="17" t="s">
        <v>504</v>
      </c>
      <c r="L368" s="15"/>
    </row>
    <row r="369">
      <c r="A369" s="13">
        <v>3.0</v>
      </c>
      <c r="B369" s="14" t="s">
        <v>446</v>
      </c>
      <c r="C369" s="13">
        <v>1.0</v>
      </c>
      <c r="D369" s="14" t="s">
        <v>505</v>
      </c>
      <c r="E369" s="13">
        <v>3.0</v>
      </c>
      <c r="F369" s="14" t="s">
        <v>277</v>
      </c>
      <c r="G369" s="13">
        <v>1.0</v>
      </c>
      <c r="H369" s="14" t="s">
        <v>278</v>
      </c>
      <c r="I369" s="15" t="s">
        <v>283</v>
      </c>
      <c r="J369" s="16">
        <v>1.0</v>
      </c>
      <c r="K369" s="17" t="s">
        <v>506</v>
      </c>
      <c r="L369" s="15"/>
    </row>
    <row r="370">
      <c r="A370" s="13">
        <v>3.0</v>
      </c>
      <c r="B370" s="14" t="s">
        <v>446</v>
      </c>
      <c r="C370" s="13">
        <v>1.0</v>
      </c>
      <c r="D370" s="14" t="s">
        <v>505</v>
      </c>
      <c r="E370" s="13">
        <v>3.0</v>
      </c>
      <c r="F370" s="14" t="s">
        <v>277</v>
      </c>
      <c r="G370" s="13">
        <v>1.0</v>
      </c>
      <c r="H370" s="14" t="s">
        <v>278</v>
      </c>
      <c r="I370" s="15" t="s">
        <v>283</v>
      </c>
      <c r="J370" s="16">
        <v>2.0</v>
      </c>
      <c r="K370" s="17" t="s">
        <v>137</v>
      </c>
      <c r="L370" s="15"/>
    </row>
    <row r="371">
      <c r="A371" s="13">
        <v>3.0</v>
      </c>
      <c r="B371" s="14" t="s">
        <v>446</v>
      </c>
      <c r="C371" s="13">
        <v>1.0</v>
      </c>
      <c r="D371" s="14" t="s">
        <v>505</v>
      </c>
      <c r="E371" s="13">
        <v>3.0</v>
      </c>
      <c r="F371" s="14" t="s">
        <v>277</v>
      </c>
      <c r="G371" s="13">
        <v>1.0</v>
      </c>
      <c r="H371" s="14" t="s">
        <v>278</v>
      </c>
      <c r="I371" s="15" t="s">
        <v>283</v>
      </c>
      <c r="J371" s="16">
        <v>3.0</v>
      </c>
      <c r="K371" s="17" t="s">
        <v>507</v>
      </c>
      <c r="L371" s="15"/>
    </row>
    <row r="372">
      <c r="A372" s="13">
        <v>3.0</v>
      </c>
      <c r="B372" s="14" t="s">
        <v>446</v>
      </c>
      <c r="C372" s="13">
        <v>1.0</v>
      </c>
      <c r="D372" s="14" t="s">
        <v>505</v>
      </c>
      <c r="E372" s="13">
        <v>3.0</v>
      </c>
      <c r="F372" s="14" t="s">
        <v>277</v>
      </c>
      <c r="G372" s="13">
        <v>2.0</v>
      </c>
      <c r="H372" s="14" t="s">
        <v>282</v>
      </c>
      <c r="I372" s="15" t="s">
        <v>283</v>
      </c>
      <c r="J372" s="16">
        <v>1.0</v>
      </c>
      <c r="K372" s="17" t="s">
        <v>284</v>
      </c>
      <c r="L372" s="15"/>
    </row>
    <row r="373">
      <c r="A373" s="13">
        <v>3.0</v>
      </c>
      <c r="B373" s="14" t="s">
        <v>446</v>
      </c>
      <c r="C373" s="13">
        <v>1.0</v>
      </c>
      <c r="D373" s="14" t="s">
        <v>505</v>
      </c>
      <c r="E373" s="13">
        <v>3.0</v>
      </c>
      <c r="F373" s="14" t="s">
        <v>277</v>
      </c>
      <c r="G373" s="13">
        <v>2.0</v>
      </c>
      <c r="H373" s="14" t="s">
        <v>282</v>
      </c>
      <c r="I373" s="15" t="s">
        <v>283</v>
      </c>
      <c r="J373" s="16">
        <v>2.0</v>
      </c>
      <c r="K373" s="17" t="s">
        <v>508</v>
      </c>
      <c r="L373" s="15"/>
    </row>
    <row r="374">
      <c r="A374" s="13">
        <v>3.0</v>
      </c>
      <c r="B374" s="14" t="s">
        <v>446</v>
      </c>
      <c r="C374" s="13">
        <v>1.0</v>
      </c>
      <c r="D374" s="14" t="s">
        <v>505</v>
      </c>
      <c r="E374" s="13">
        <v>3.0</v>
      </c>
      <c r="F374" s="14" t="s">
        <v>277</v>
      </c>
      <c r="G374" s="13">
        <v>2.0</v>
      </c>
      <c r="H374" s="14" t="s">
        <v>282</v>
      </c>
      <c r="I374" s="15" t="s">
        <v>283</v>
      </c>
      <c r="J374" s="16">
        <v>3.0</v>
      </c>
      <c r="K374" s="17" t="s">
        <v>509</v>
      </c>
      <c r="L374" s="15"/>
    </row>
    <row r="375">
      <c r="A375" s="13">
        <v>3.0</v>
      </c>
      <c r="B375" s="14" t="s">
        <v>446</v>
      </c>
      <c r="C375" s="13">
        <v>1.0</v>
      </c>
      <c r="D375" s="14" t="s">
        <v>505</v>
      </c>
      <c r="E375" s="13">
        <v>3.0</v>
      </c>
      <c r="F375" s="14" t="s">
        <v>277</v>
      </c>
      <c r="G375" s="13">
        <v>2.0</v>
      </c>
      <c r="H375" s="14" t="s">
        <v>282</v>
      </c>
      <c r="I375" s="15" t="s">
        <v>283</v>
      </c>
      <c r="J375" s="16">
        <v>4.0</v>
      </c>
      <c r="K375" s="17" t="s">
        <v>286</v>
      </c>
      <c r="L375" s="15"/>
    </row>
    <row r="376">
      <c r="A376" s="13">
        <v>3.0</v>
      </c>
      <c r="B376" s="14" t="s">
        <v>446</v>
      </c>
      <c r="C376" s="13">
        <v>1.0</v>
      </c>
      <c r="D376" s="14" t="s">
        <v>505</v>
      </c>
      <c r="E376" s="13">
        <v>3.0</v>
      </c>
      <c r="F376" s="14" t="s">
        <v>277</v>
      </c>
      <c r="G376" s="13">
        <v>2.0</v>
      </c>
      <c r="H376" s="14" t="s">
        <v>282</v>
      </c>
      <c r="I376" s="15" t="s">
        <v>283</v>
      </c>
      <c r="J376" s="16">
        <v>5.0</v>
      </c>
      <c r="K376" s="17" t="s">
        <v>287</v>
      </c>
      <c r="L376" s="15"/>
    </row>
    <row r="377">
      <c r="A377" s="13">
        <v>3.0</v>
      </c>
      <c r="B377" s="14" t="s">
        <v>446</v>
      </c>
      <c r="C377" s="13">
        <v>1.0</v>
      </c>
      <c r="D377" s="14" t="s">
        <v>505</v>
      </c>
      <c r="E377" s="13">
        <v>3.0</v>
      </c>
      <c r="F377" s="14" t="s">
        <v>277</v>
      </c>
      <c r="G377" s="13">
        <v>2.0</v>
      </c>
      <c r="H377" s="14" t="s">
        <v>282</v>
      </c>
      <c r="I377" s="15" t="s">
        <v>283</v>
      </c>
      <c r="J377" s="16">
        <v>6.0</v>
      </c>
      <c r="K377" s="17" t="s">
        <v>288</v>
      </c>
      <c r="L377" s="15"/>
    </row>
    <row r="378">
      <c r="A378" s="13">
        <v>3.0</v>
      </c>
      <c r="B378" s="14" t="s">
        <v>446</v>
      </c>
      <c r="C378" s="13">
        <v>1.0</v>
      </c>
      <c r="D378" s="14" t="s">
        <v>505</v>
      </c>
      <c r="E378" s="13">
        <v>3.0</v>
      </c>
      <c r="F378" s="14" t="s">
        <v>277</v>
      </c>
      <c r="G378" s="13">
        <v>2.0</v>
      </c>
      <c r="H378" s="14" t="s">
        <v>282</v>
      </c>
      <c r="I378" s="15" t="s">
        <v>291</v>
      </c>
      <c r="J378" s="16">
        <v>7.0</v>
      </c>
      <c r="K378" s="17" t="s">
        <v>289</v>
      </c>
      <c r="L378" s="15"/>
    </row>
    <row r="379">
      <c r="A379" s="13">
        <v>3.0</v>
      </c>
      <c r="B379" s="14" t="s">
        <v>446</v>
      </c>
      <c r="C379" s="13">
        <v>1.0</v>
      </c>
      <c r="D379" s="14" t="s">
        <v>505</v>
      </c>
      <c r="E379" s="13">
        <v>3.0</v>
      </c>
      <c r="F379" s="14" t="s">
        <v>277</v>
      </c>
      <c r="G379" s="13">
        <v>2.0</v>
      </c>
      <c r="H379" s="14" t="s">
        <v>282</v>
      </c>
      <c r="I379" s="15" t="s">
        <v>295</v>
      </c>
      <c r="J379" s="16">
        <v>8.0</v>
      </c>
      <c r="K379" s="17" t="s">
        <v>290</v>
      </c>
      <c r="L379" s="15"/>
    </row>
    <row r="380">
      <c r="A380" s="13">
        <v>3.0</v>
      </c>
      <c r="B380" s="14" t="s">
        <v>446</v>
      </c>
      <c r="C380" s="13">
        <v>1.0</v>
      </c>
      <c r="D380" s="14" t="s">
        <v>505</v>
      </c>
      <c r="E380" s="13">
        <v>3.0</v>
      </c>
      <c r="F380" s="14" t="s">
        <v>277</v>
      </c>
      <c r="G380" s="13">
        <v>2.0</v>
      </c>
      <c r="H380" s="14" t="s">
        <v>282</v>
      </c>
      <c r="I380" s="15" t="s">
        <v>295</v>
      </c>
      <c r="J380" s="16">
        <v>9.0</v>
      </c>
      <c r="K380" s="17" t="s">
        <v>292</v>
      </c>
      <c r="L380" s="15"/>
    </row>
    <row r="381">
      <c r="A381" s="13">
        <v>3.0</v>
      </c>
      <c r="B381" s="14" t="s">
        <v>446</v>
      </c>
      <c r="C381" s="13">
        <v>1.0</v>
      </c>
      <c r="D381" s="14" t="s">
        <v>505</v>
      </c>
      <c r="E381" s="13">
        <v>4.0</v>
      </c>
      <c r="F381" s="14" t="s">
        <v>293</v>
      </c>
      <c r="G381" s="13">
        <v>1.0</v>
      </c>
      <c r="H381" s="14" t="s">
        <v>294</v>
      </c>
      <c r="I381" s="15" t="s">
        <v>295</v>
      </c>
      <c r="J381" s="16">
        <v>1.0</v>
      </c>
      <c r="K381" s="17" t="s">
        <v>296</v>
      </c>
      <c r="L381" s="15"/>
    </row>
    <row r="382">
      <c r="A382" s="13">
        <v>3.0</v>
      </c>
      <c r="B382" s="14" t="s">
        <v>446</v>
      </c>
      <c r="C382" s="13">
        <v>1.0</v>
      </c>
      <c r="D382" s="14" t="s">
        <v>505</v>
      </c>
      <c r="E382" s="13">
        <v>4.0</v>
      </c>
      <c r="F382" s="14" t="s">
        <v>293</v>
      </c>
      <c r="G382" s="13">
        <v>2.0</v>
      </c>
      <c r="H382" s="14" t="s">
        <v>297</v>
      </c>
      <c r="I382" s="15" t="s">
        <v>295</v>
      </c>
      <c r="J382" s="16">
        <v>1.0</v>
      </c>
      <c r="K382" s="17" t="s">
        <v>298</v>
      </c>
      <c r="L382" s="15"/>
    </row>
    <row r="383">
      <c r="A383" s="13">
        <v>3.0</v>
      </c>
      <c r="B383" s="14" t="s">
        <v>446</v>
      </c>
      <c r="C383" s="13">
        <v>1.0</v>
      </c>
      <c r="D383" s="14" t="s">
        <v>505</v>
      </c>
      <c r="E383" s="13">
        <v>4.0</v>
      </c>
      <c r="F383" s="14" t="s">
        <v>293</v>
      </c>
      <c r="G383" s="13">
        <v>2.0</v>
      </c>
      <c r="H383" s="14" t="s">
        <v>297</v>
      </c>
      <c r="I383" s="15" t="s">
        <v>295</v>
      </c>
      <c r="J383" s="16">
        <v>2.0</v>
      </c>
      <c r="K383" s="17" t="s">
        <v>299</v>
      </c>
      <c r="L383" s="15"/>
    </row>
    <row r="384">
      <c r="A384" s="13">
        <v>3.0</v>
      </c>
      <c r="B384" s="14" t="s">
        <v>446</v>
      </c>
      <c r="C384" s="13">
        <v>1.0</v>
      </c>
      <c r="D384" s="14" t="s">
        <v>505</v>
      </c>
      <c r="E384" s="13">
        <v>4.0</v>
      </c>
      <c r="F384" s="14" t="s">
        <v>293</v>
      </c>
      <c r="G384" s="13">
        <v>2.0</v>
      </c>
      <c r="H384" s="14" t="s">
        <v>297</v>
      </c>
      <c r="I384" s="15" t="s">
        <v>295</v>
      </c>
      <c r="J384" s="16">
        <v>3.0</v>
      </c>
      <c r="K384" s="17" t="s">
        <v>300</v>
      </c>
      <c r="L384" s="15"/>
    </row>
    <row r="385">
      <c r="A385" s="13">
        <v>3.0</v>
      </c>
      <c r="B385" s="14" t="s">
        <v>446</v>
      </c>
      <c r="C385" s="13">
        <v>1.0</v>
      </c>
      <c r="D385" s="14" t="s">
        <v>505</v>
      </c>
      <c r="E385" s="13">
        <v>4.0</v>
      </c>
      <c r="F385" s="14" t="s">
        <v>293</v>
      </c>
      <c r="G385" s="13">
        <v>2.0</v>
      </c>
      <c r="H385" s="14" t="s">
        <v>297</v>
      </c>
      <c r="I385" s="15" t="s">
        <v>295</v>
      </c>
      <c r="J385" s="16">
        <v>4.0</v>
      </c>
      <c r="K385" s="17" t="s">
        <v>301</v>
      </c>
      <c r="L385" s="15"/>
    </row>
    <row r="386">
      <c r="A386" s="13">
        <v>3.0</v>
      </c>
      <c r="B386" s="14" t="s">
        <v>446</v>
      </c>
      <c r="C386" s="13">
        <v>1.0</v>
      </c>
      <c r="D386" s="14" t="s">
        <v>505</v>
      </c>
      <c r="E386" s="13">
        <v>4.0</v>
      </c>
      <c r="F386" s="14" t="s">
        <v>293</v>
      </c>
      <c r="G386" s="13">
        <v>2.0</v>
      </c>
      <c r="H386" s="14" t="s">
        <v>297</v>
      </c>
      <c r="I386" s="15" t="s">
        <v>295</v>
      </c>
      <c r="J386" s="16">
        <v>5.0</v>
      </c>
      <c r="K386" s="17" t="s">
        <v>302</v>
      </c>
      <c r="L386" s="15"/>
    </row>
    <row r="387">
      <c r="A387" s="13">
        <v>3.0</v>
      </c>
      <c r="B387" s="14" t="s">
        <v>446</v>
      </c>
      <c r="C387" s="13">
        <v>1.0</v>
      </c>
      <c r="D387" s="14" t="s">
        <v>505</v>
      </c>
      <c r="E387" s="13">
        <v>4.0</v>
      </c>
      <c r="F387" s="14" t="s">
        <v>293</v>
      </c>
      <c r="G387" s="13">
        <v>2.0</v>
      </c>
      <c r="H387" s="14" t="s">
        <v>297</v>
      </c>
      <c r="I387" s="15" t="s">
        <v>295</v>
      </c>
      <c r="J387" s="16">
        <v>6.0</v>
      </c>
      <c r="K387" s="17" t="s">
        <v>303</v>
      </c>
      <c r="L387" s="15"/>
    </row>
    <row r="388">
      <c r="A388" s="13">
        <v>3.0</v>
      </c>
      <c r="B388" s="14" t="s">
        <v>446</v>
      </c>
      <c r="C388" s="13">
        <v>1.0</v>
      </c>
      <c r="D388" s="14" t="s">
        <v>505</v>
      </c>
      <c r="E388" s="13">
        <v>4.0</v>
      </c>
      <c r="F388" s="14" t="s">
        <v>293</v>
      </c>
      <c r="G388" s="13">
        <v>2.0</v>
      </c>
      <c r="H388" s="14" t="s">
        <v>297</v>
      </c>
      <c r="I388" s="15" t="s">
        <v>295</v>
      </c>
      <c r="J388" s="16">
        <v>7.0</v>
      </c>
      <c r="K388" s="17" t="s">
        <v>510</v>
      </c>
      <c r="L388" s="15"/>
    </row>
    <row r="389">
      <c r="A389" s="13">
        <v>3.0</v>
      </c>
      <c r="B389" s="14" t="s">
        <v>446</v>
      </c>
      <c r="C389" s="13">
        <v>1.0</v>
      </c>
      <c r="D389" s="14" t="s">
        <v>505</v>
      </c>
      <c r="E389" s="13">
        <v>4.0</v>
      </c>
      <c r="F389" s="14" t="s">
        <v>293</v>
      </c>
      <c r="G389" s="13">
        <v>2.0</v>
      </c>
      <c r="H389" s="14" t="s">
        <v>297</v>
      </c>
      <c r="I389" s="15" t="s">
        <v>295</v>
      </c>
      <c r="J389" s="16">
        <v>8.0</v>
      </c>
      <c r="K389" s="17" t="s">
        <v>305</v>
      </c>
      <c r="L389" s="15"/>
    </row>
    <row r="390">
      <c r="A390" s="13">
        <v>3.0</v>
      </c>
      <c r="B390" s="14" t="s">
        <v>446</v>
      </c>
      <c r="C390" s="13">
        <v>1.0</v>
      </c>
      <c r="D390" s="14" t="s">
        <v>505</v>
      </c>
      <c r="E390" s="13">
        <v>4.0</v>
      </c>
      <c r="F390" s="14" t="s">
        <v>293</v>
      </c>
      <c r="G390" s="13">
        <v>2.0</v>
      </c>
      <c r="H390" s="14" t="s">
        <v>297</v>
      </c>
      <c r="I390" s="15" t="s">
        <v>295</v>
      </c>
      <c r="J390" s="16">
        <v>9.0</v>
      </c>
      <c r="K390" s="17" t="s">
        <v>511</v>
      </c>
      <c r="L390" s="15"/>
    </row>
    <row r="391">
      <c r="A391" s="13">
        <v>3.0</v>
      </c>
      <c r="B391" s="14" t="s">
        <v>446</v>
      </c>
      <c r="C391" s="13">
        <v>1.0</v>
      </c>
      <c r="D391" s="14" t="s">
        <v>505</v>
      </c>
      <c r="E391" s="13">
        <v>4.0</v>
      </c>
      <c r="F391" s="14" t="s">
        <v>293</v>
      </c>
      <c r="G391" s="13">
        <v>2.0</v>
      </c>
      <c r="H391" s="14" t="s">
        <v>297</v>
      </c>
      <c r="I391" s="15" t="s">
        <v>309</v>
      </c>
      <c r="J391" s="16">
        <v>10.0</v>
      </c>
      <c r="K391" s="17" t="s">
        <v>306</v>
      </c>
      <c r="L391" s="15"/>
    </row>
    <row r="392">
      <c r="A392" s="13">
        <v>3.0</v>
      </c>
      <c r="B392" s="14" t="s">
        <v>446</v>
      </c>
      <c r="C392" s="13">
        <v>1.0</v>
      </c>
      <c r="D392" s="14" t="s">
        <v>505</v>
      </c>
      <c r="E392" s="13">
        <v>4.0</v>
      </c>
      <c r="F392" s="14" t="s">
        <v>293</v>
      </c>
      <c r="G392" s="13">
        <v>2.0</v>
      </c>
      <c r="H392" s="14" t="s">
        <v>297</v>
      </c>
      <c r="I392" s="15" t="s">
        <v>309</v>
      </c>
      <c r="J392" s="16">
        <v>11.0</v>
      </c>
      <c r="K392" s="21" t="s">
        <v>307</v>
      </c>
      <c r="L392" s="15"/>
    </row>
    <row r="393">
      <c r="A393" s="13">
        <v>3.0</v>
      </c>
      <c r="B393" s="14" t="s">
        <v>446</v>
      </c>
      <c r="C393" s="13">
        <v>1.0</v>
      </c>
      <c r="D393" s="14" t="s">
        <v>505</v>
      </c>
      <c r="E393" s="13">
        <v>4.0</v>
      </c>
      <c r="F393" s="14" t="s">
        <v>293</v>
      </c>
      <c r="G393" s="13">
        <v>2.0</v>
      </c>
      <c r="H393" s="14" t="s">
        <v>297</v>
      </c>
      <c r="I393" s="15" t="s">
        <v>309</v>
      </c>
      <c r="J393" s="16">
        <v>12.0</v>
      </c>
      <c r="K393" s="21" t="s">
        <v>308</v>
      </c>
      <c r="L393" s="15"/>
    </row>
    <row r="394">
      <c r="A394" s="13">
        <v>3.0</v>
      </c>
      <c r="B394" s="14" t="s">
        <v>446</v>
      </c>
      <c r="C394" s="13">
        <v>1.0</v>
      </c>
      <c r="D394" s="14" t="s">
        <v>505</v>
      </c>
      <c r="E394" s="13">
        <v>4.0</v>
      </c>
      <c r="F394" s="14" t="s">
        <v>293</v>
      </c>
      <c r="G394" s="13">
        <v>3.0</v>
      </c>
      <c r="H394" s="14" t="s">
        <v>312</v>
      </c>
      <c r="I394" s="15" t="s">
        <v>309</v>
      </c>
      <c r="J394" s="16">
        <v>1.0</v>
      </c>
      <c r="K394" s="17" t="s">
        <v>313</v>
      </c>
      <c r="L394" s="15"/>
    </row>
    <row r="395">
      <c r="A395" s="13">
        <v>3.0</v>
      </c>
      <c r="B395" s="14" t="s">
        <v>446</v>
      </c>
      <c r="C395" s="13">
        <v>1.0</v>
      </c>
      <c r="D395" s="14" t="s">
        <v>505</v>
      </c>
      <c r="E395" s="13">
        <v>4.0</v>
      </c>
      <c r="F395" s="14" t="s">
        <v>293</v>
      </c>
      <c r="G395" s="13">
        <v>3.0</v>
      </c>
      <c r="H395" s="14" t="s">
        <v>312</v>
      </c>
      <c r="I395" s="15"/>
      <c r="J395" s="16">
        <v>2.0</v>
      </c>
      <c r="K395" s="17" t="s">
        <v>315</v>
      </c>
      <c r="L395" s="15"/>
    </row>
    <row r="396">
      <c r="A396" s="13">
        <v>3.0</v>
      </c>
      <c r="B396" s="14" t="s">
        <v>446</v>
      </c>
      <c r="C396" s="13">
        <v>1.0</v>
      </c>
      <c r="D396" s="14" t="s">
        <v>505</v>
      </c>
      <c r="E396" s="13">
        <v>4.0</v>
      </c>
      <c r="F396" s="14" t="s">
        <v>293</v>
      </c>
      <c r="G396" s="13">
        <v>3.0</v>
      </c>
      <c r="H396" s="14" t="s">
        <v>312</v>
      </c>
      <c r="I396" s="15" t="s">
        <v>314</v>
      </c>
      <c r="J396" s="16">
        <v>3.0</v>
      </c>
      <c r="K396" s="17" t="s">
        <v>316</v>
      </c>
      <c r="L396" s="15"/>
    </row>
    <row r="397">
      <c r="A397" s="13">
        <v>3.0</v>
      </c>
      <c r="B397" s="14" t="s">
        <v>446</v>
      </c>
      <c r="C397" s="13">
        <v>1.0</v>
      </c>
      <c r="D397" s="14" t="s">
        <v>505</v>
      </c>
      <c r="E397" s="13">
        <v>4.0</v>
      </c>
      <c r="F397" s="18" t="s">
        <v>293</v>
      </c>
      <c r="G397" s="19">
        <v>3.0</v>
      </c>
      <c r="H397" s="18" t="s">
        <v>312</v>
      </c>
      <c r="I397" s="15" t="s">
        <v>314</v>
      </c>
      <c r="J397" s="20">
        <v>4.0</v>
      </c>
      <c r="K397" s="21" t="s">
        <v>512</v>
      </c>
      <c r="L397" s="15"/>
    </row>
    <row r="398">
      <c r="A398" s="13">
        <v>3.0</v>
      </c>
      <c r="B398" s="14" t="s">
        <v>446</v>
      </c>
      <c r="C398" s="13">
        <v>1.0</v>
      </c>
      <c r="D398" s="14" t="s">
        <v>505</v>
      </c>
      <c r="E398" s="13">
        <v>4.0</v>
      </c>
      <c r="F398" s="14" t="s">
        <v>293</v>
      </c>
      <c r="G398" s="13">
        <v>4.0</v>
      </c>
      <c r="H398" s="14" t="s">
        <v>513</v>
      </c>
      <c r="I398" s="15" t="s">
        <v>314</v>
      </c>
      <c r="J398" s="16">
        <v>1.0</v>
      </c>
      <c r="K398" s="17" t="s">
        <v>514</v>
      </c>
      <c r="L398" s="15"/>
    </row>
    <row r="399">
      <c r="A399" s="13">
        <v>3.0</v>
      </c>
      <c r="B399" s="14" t="s">
        <v>446</v>
      </c>
      <c r="C399" s="13">
        <v>1.0</v>
      </c>
      <c r="D399" s="14" t="s">
        <v>505</v>
      </c>
      <c r="E399" s="13">
        <v>5.0</v>
      </c>
      <c r="F399" s="14" t="s">
        <v>515</v>
      </c>
      <c r="G399" s="13">
        <v>1.0</v>
      </c>
      <c r="H399" s="14" t="s">
        <v>318</v>
      </c>
      <c r="I399" s="15" t="s">
        <v>322</v>
      </c>
      <c r="J399" s="16">
        <v>1.0</v>
      </c>
      <c r="K399" s="17" t="s">
        <v>319</v>
      </c>
      <c r="L399" s="15"/>
    </row>
    <row r="400">
      <c r="A400" s="13">
        <v>3.0</v>
      </c>
      <c r="B400" s="14" t="s">
        <v>446</v>
      </c>
      <c r="C400" s="13">
        <v>1.0</v>
      </c>
      <c r="D400" s="14" t="s">
        <v>505</v>
      </c>
      <c r="E400" s="13">
        <v>5.0</v>
      </c>
      <c r="F400" s="14" t="s">
        <v>515</v>
      </c>
      <c r="G400" s="13">
        <v>1.0</v>
      </c>
      <c r="H400" s="14" t="s">
        <v>318</v>
      </c>
      <c r="I400" s="15" t="s">
        <v>322</v>
      </c>
      <c r="J400" s="16">
        <v>2.0</v>
      </c>
      <c r="K400" s="17" t="s">
        <v>320</v>
      </c>
      <c r="L400" s="15"/>
    </row>
    <row r="401">
      <c r="A401" s="13">
        <v>3.0</v>
      </c>
      <c r="B401" s="14" t="s">
        <v>446</v>
      </c>
      <c r="C401" s="13">
        <v>1.0</v>
      </c>
      <c r="D401" s="14" t="s">
        <v>505</v>
      </c>
      <c r="E401" s="13">
        <v>5.0</v>
      </c>
      <c r="F401" s="14" t="s">
        <v>515</v>
      </c>
      <c r="G401" s="13">
        <v>1.0</v>
      </c>
      <c r="H401" s="14" t="s">
        <v>318</v>
      </c>
      <c r="I401" s="15" t="s">
        <v>322</v>
      </c>
      <c r="J401" s="16">
        <v>3.0</v>
      </c>
      <c r="K401" s="17" t="s">
        <v>321</v>
      </c>
      <c r="L401" s="15"/>
    </row>
    <row r="402">
      <c r="A402" s="13">
        <v>3.0</v>
      </c>
      <c r="B402" s="14" t="s">
        <v>446</v>
      </c>
      <c r="C402" s="13">
        <v>1.0</v>
      </c>
      <c r="D402" s="14" t="s">
        <v>505</v>
      </c>
      <c r="E402" s="13">
        <v>5.0</v>
      </c>
      <c r="F402" s="14" t="s">
        <v>515</v>
      </c>
      <c r="G402" s="13">
        <v>2.0</v>
      </c>
      <c r="H402" s="14" t="s">
        <v>325</v>
      </c>
      <c r="I402" s="15" t="s">
        <v>322</v>
      </c>
      <c r="J402" s="16">
        <v>1.0</v>
      </c>
      <c r="K402" s="17" t="s">
        <v>326</v>
      </c>
      <c r="L402" s="15"/>
    </row>
    <row r="403">
      <c r="A403" s="13">
        <v>3.0</v>
      </c>
      <c r="B403" s="14" t="s">
        <v>446</v>
      </c>
      <c r="C403" s="13">
        <v>1.0</v>
      </c>
      <c r="D403" s="14" t="s">
        <v>505</v>
      </c>
      <c r="E403" s="13">
        <v>5.0</v>
      </c>
      <c r="F403" s="14" t="s">
        <v>515</v>
      </c>
      <c r="G403" s="13">
        <v>2.0</v>
      </c>
      <c r="H403" s="14" t="s">
        <v>325</v>
      </c>
      <c r="I403" s="15" t="s">
        <v>322</v>
      </c>
      <c r="J403" s="16">
        <v>2.0</v>
      </c>
      <c r="K403" s="17" t="s">
        <v>327</v>
      </c>
      <c r="L403" s="15"/>
    </row>
    <row r="404">
      <c r="A404" s="13">
        <v>3.0</v>
      </c>
      <c r="B404" s="14" t="s">
        <v>446</v>
      </c>
      <c r="C404" s="13">
        <v>1.0</v>
      </c>
      <c r="D404" s="14" t="s">
        <v>505</v>
      </c>
      <c r="E404" s="13">
        <v>5.0</v>
      </c>
      <c r="F404" s="14" t="s">
        <v>515</v>
      </c>
      <c r="G404" s="13">
        <v>2.0</v>
      </c>
      <c r="H404" s="14" t="s">
        <v>325</v>
      </c>
      <c r="I404" s="15" t="s">
        <v>322</v>
      </c>
      <c r="J404" s="16">
        <v>3.0</v>
      </c>
      <c r="K404" s="17" t="s">
        <v>328</v>
      </c>
      <c r="L404" s="15"/>
    </row>
    <row r="405">
      <c r="A405" s="13">
        <v>3.0</v>
      </c>
      <c r="B405" s="14" t="s">
        <v>446</v>
      </c>
      <c r="C405" s="13">
        <v>1.0</v>
      </c>
      <c r="D405" s="14" t="s">
        <v>505</v>
      </c>
      <c r="E405" s="13">
        <v>5.0</v>
      </c>
      <c r="F405" s="14" t="s">
        <v>515</v>
      </c>
      <c r="G405" s="13">
        <v>2.0</v>
      </c>
      <c r="H405" s="14" t="s">
        <v>325</v>
      </c>
      <c r="I405" s="15" t="s">
        <v>322</v>
      </c>
      <c r="J405" s="16">
        <v>4.0</v>
      </c>
      <c r="K405" s="17" t="s">
        <v>329</v>
      </c>
      <c r="L405" s="15"/>
    </row>
    <row r="406">
      <c r="A406" s="13">
        <v>3.0</v>
      </c>
      <c r="B406" s="14" t="s">
        <v>446</v>
      </c>
      <c r="C406" s="13">
        <v>1.0</v>
      </c>
      <c r="D406" s="14" t="s">
        <v>505</v>
      </c>
      <c r="E406" s="13">
        <v>5.0</v>
      </c>
      <c r="F406" s="14" t="s">
        <v>515</v>
      </c>
      <c r="G406" s="13">
        <v>2.0</v>
      </c>
      <c r="H406" s="14" t="s">
        <v>325</v>
      </c>
      <c r="I406" s="15" t="s">
        <v>322</v>
      </c>
      <c r="J406" s="16">
        <v>5.0</v>
      </c>
      <c r="K406" s="17" t="s">
        <v>516</v>
      </c>
      <c r="L406" s="15"/>
    </row>
    <row r="407">
      <c r="A407" s="13">
        <v>3.0</v>
      </c>
      <c r="B407" s="14" t="s">
        <v>446</v>
      </c>
      <c r="C407" s="13">
        <v>1.0</v>
      </c>
      <c r="D407" s="14" t="s">
        <v>505</v>
      </c>
      <c r="E407" s="13">
        <v>5.0</v>
      </c>
      <c r="F407" s="14" t="s">
        <v>515</v>
      </c>
      <c r="G407" s="13">
        <v>2.0</v>
      </c>
      <c r="H407" s="14" t="s">
        <v>325</v>
      </c>
      <c r="I407" s="15" t="s">
        <v>322</v>
      </c>
      <c r="J407" s="16">
        <v>6.0</v>
      </c>
      <c r="K407" s="17" t="s">
        <v>517</v>
      </c>
      <c r="L407" s="15"/>
    </row>
    <row r="408">
      <c r="A408" s="13">
        <v>3.0</v>
      </c>
      <c r="B408" s="14" t="s">
        <v>446</v>
      </c>
      <c r="C408" s="13">
        <v>1.0</v>
      </c>
      <c r="D408" s="14" t="s">
        <v>505</v>
      </c>
      <c r="E408" s="13">
        <v>5.0</v>
      </c>
      <c r="F408" s="14" t="s">
        <v>515</v>
      </c>
      <c r="G408" s="13">
        <v>2.0</v>
      </c>
      <c r="H408" s="14" t="s">
        <v>325</v>
      </c>
      <c r="I408" s="15" t="s">
        <v>322</v>
      </c>
      <c r="J408" s="16">
        <v>7.0</v>
      </c>
      <c r="K408" s="17" t="s">
        <v>331</v>
      </c>
      <c r="L408" s="15"/>
    </row>
    <row r="409">
      <c r="A409" s="13">
        <v>3.0</v>
      </c>
      <c r="B409" s="14" t="s">
        <v>446</v>
      </c>
      <c r="C409" s="13">
        <v>1.0</v>
      </c>
      <c r="D409" s="14" t="s">
        <v>505</v>
      </c>
      <c r="E409" s="13">
        <v>5.0</v>
      </c>
      <c r="F409" s="14" t="s">
        <v>515</v>
      </c>
      <c r="G409" s="13">
        <v>2.0</v>
      </c>
      <c r="H409" s="14" t="s">
        <v>325</v>
      </c>
      <c r="I409" s="15" t="s">
        <v>322</v>
      </c>
      <c r="J409" s="16">
        <v>8.0</v>
      </c>
      <c r="K409" s="17" t="s">
        <v>518</v>
      </c>
      <c r="L409" s="15"/>
    </row>
    <row r="410">
      <c r="A410" s="13">
        <v>3.0</v>
      </c>
      <c r="B410" s="14" t="s">
        <v>446</v>
      </c>
      <c r="C410" s="13">
        <v>1.0</v>
      </c>
      <c r="D410" s="14" t="s">
        <v>505</v>
      </c>
      <c r="E410" s="13">
        <v>5.0</v>
      </c>
      <c r="F410" s="14" t="s">
        <v>515</v>
      </c>
      <c r="G410" s="13">
        <v>3.0</v>
      </c>
      <c r="H410" s="14" t="s">
        <v>519</v>
      </c>
      <c r="I410" s="15"/>
      <c r="J410" s="16">
        <v>1.0</v>
      </c>
      <c r="K410" s="17" t="s">
        <v>483</v>
      </c>
      <c r="L410" s="15"/>
    </row>
    <row r="411">
      <c r="A411" s="13">
        <v>3.0</v>
      </c>
      <c r="B411" s="14" t="s">
        <v>446</v>
      </c>
      <c r="C411" s="13">
        <v>1.0</v>
      </c>
      <c r="D411" s="14" t="s">
        <v>505</v>
      </c>
      <c r="E411" s="13">
        <v>5.0</v>
      </c>
      <c r="F411" s="18" t="s">
        <v>515</v>
      </c>
      <c r="G411" s="19">
        <v>3.0</v>
      </c>
      <c r="H411" s="18" t="s">
        <v>519</v>
      </c>
      <c r="I411" s="15"/>
      <c r="J411" s="20">
        <v>2.0</v>
      </c>
      <c r="K411" s="21" t="s">
        <v>485</v>
      </c>
      <c r="L411" s="15"/>
    </row>
    <row r="412">
      <c r="A412" s="13">
        <v>3.0</v>
      </c>
      <c r="B412" s="14" t="s">
        <v>446</v>
      </c>
      <c r="C412" s="13">
        <v>1.0</v>
      </c>
      <c r="D412" s="14" t="s">
        <v>505</v>
      </c>
      <c r="E412" s="13">
        <v>5.0</v>
      </c>
      <c r="F412" s="14" t="s">
        <v>515</v>
      </c>
      <c r="G412" s="13">
        <v>3.0</v>
      </c>
      <c r="H412" s="14" t="s">
        <v>519</v>
      </c>
      <c r="I412" s="15"/>
      <c r="J412" s="16">
        <v>3.0</v>
      </c>
      <c r="K412" s="17" t="s">
        <v>486</v>
      </c>
      <c r="L412" s="15"/>
    </row>
    <row r="413">
      <c r="A413" s="13">
        <v>3.0</v>
      </c>
      <c r="B413" s="14" t="s">
        <v>446</v>
      </c>
      <c r="C413" s="13">
        <v>1.0</v>
      </c>
      <c r="D413" s="14" t="s">
        <v>505</v>
      </c>
      <c r="E413" s="13">
        <v>5.0</v>
      </c>
      <c r="F413" s="14" t="s">
        <v>515</v>
      </c>
      <c r="G413" s="13">
        <v>3.0</v>
      </c>
      <c r="H413" s="14" t="s">
        <v>519</v>
      </c>
      <c r="I413" s="15"/>
      <c r="J413" s="16">
        <v>4.0</v>
      </c>
      <c r="K413" s="17" t="s">
        <v>520</v>
      </c>
      <c r="L413" s="15"/>
    </row>
    <row r="414">
      <c r="A414" s="13">
        <v>3.0</v>
      </c>
      <c r="B414" s="14" t="s">
        <v>446</v>
      </c>
      <c r="C414" s="13">
        <v>1.0</v>
      </c>
      <c r="D414" s="14" t="s">
        <v>505</v>
      </c>
      <c r="E414" s="13">
        <v>5.0</v>
      </c>
      <c r="F414" s="14" t="s">
        <v>515</v>
      </c>
      <c r="G414" s="13">
        <v>3.0</v>
      </c>
      <c r="H414" s="14" t="s">
        <v>519</v>
      </c>
      <c r="I414" s="15"/>
      <c r="J414" s="16">
        <v>5.0</v>
      </c>
      <c r="K414" s="17" t="s">
        <v>521</v>
      </c>
      <c r="L414" s="15"/>
    </row>
    <row r="415">
      <c r="A415" s="13">
        <v>3.0</v>
      </c>
      <c r="B415" s="14" t="s">
        <v>446</v>
      </c>
      <c r="C415" s="13">
        <v>1.0</v>
      </c>
      <c r="D415" s="14" t="s">
        <v>505</v>
      </c>
      <c r="E415" s="13">
        <v>5.0</v>
      </c>
      <c r="F415" s="14" t="s">
        <v>515</v>
      </c>
      <c r="G415" s="13">
        <v>3.0</v>
      </c>
      <c r="H415" s="14" t="s">
        <v>519</v>
      </c>
      <c r="I415" s="15"/>
      <c r="J415" s="16">
        <v>6.0</v>
      </c>
      <c r="K415" s="17" t="s">
        <v>522</v>
      </c>
      <c r="L415" s="15"/>
    </row>
    <row r="416">
      <c r="A416" s="13">
        <v>3.0</v>
      </c>
      <c r="B416" s="14" t="s">
        <v>446</v>
      </c>
      <c r="C416" s="13">
        <v>1.0</v>
      </c>
      <c r="D416" s="14" t="s">
        <v>505</v>
      </c>
      <c r="E416" s="13">
        <v>5.0</v>
      </c>
      <c r="F416" s="14" t="s">
        <v>515</v>
      </c>
      <c r="G416" s="13">
        <v>3.0</v>
      </c>
      <c r="H416" s="14" t="s">
        <v>519</v>
      </c>
      <c r="I416" s="15"/>
      <c r="J416" s="16">
        <v>7.0</v>
      </c>
      <c r="K416" s="17" t="s">
        <v>523</v>
      </c>
      <c r="L416" s="15"/>
    </row>
    <row r="417">
      <c r="A417" s="13">
        <v>3.0</v>
      </c>
      <c r="B417" s="14" t="s">
        <v>446</v>
      </c>
      <c r="C417" s="13">
        <v>1.0</v>
      </c>
      <c r="D417" s="14" t="s">
        <v>505</v>
      </c>
      <c r="E417" s="13">
        <v>5.0</v>
      </c>
      <c r="F417" s="14" t="s">
        <v>515</v>
      </c>
      <c r="G417" s="13">
        <v>4.0</v>
      </c>
      <c r="H417" s="14" t="s">
        <v>524</v>
      </c>
      <c r="I417" s="15"/>
      <c r="J417" s="16">
        <v>1.0</v>
      </c>
      <c r="K417" s="17" t="s">
        <v>525</v>
      </c>
      <c r="L417" s="15"/>
    </row>
    <row r="418">
      <c r="A418" s="13">
        <v>3.0</v>
      </c>
      <c r="B418" s="14" t="s">
        <v>446</v>
      </c>
      <c r="C418" s="13">
        <v>1.0</v>
      </c>
      <c r="D418" s="14" t="s">
        <v>505</v>
      </c>
      <c r="E418" s="13">
        <v>5.0</v>
      </c>
      <c r="F418" s="14" t="s">
        <v>515</v>
      </c>
      <c r="G418" s="13">
        <v>4.0</v>
      </c>
      <c r="H418" s="14" t="s">
        <v>524</v>
      </c>
      <c r="I418" s="15"/>
      <c r="J418" s="16">
        <v>2.0</v>
      </c>
      <c r="K418" s="17" t="s">
        <v>526</v>
      </c>
      <c r="L418" s="15"/>
    </row>
    <row r="419">
      <c r="A419" s="13">
        <v>3.0</v>
      </c>
      <c r="B419" s="14" t="s">
        <v>446</v>
      </c>
      <c r="C419" s="13">
        <v>1.0</v>
      </c>
      <c r="D419" s="14" t="s">
        <v>505</v>
      </c>
      <c r="E419" s="13">
        <v>5.0</v>
      </c>
      <c r="F419" s="14" t="s">
        <v>515</v>
      </c>
      <c r="G419" s="13">
        <v>4.0</v>
      </c>
      <c r="H419" s="14" t="s">
        <v>524</v>
      </c>
      <c r="I419" s="15"/>
      <c r="J419" s="16">
        <v>3.0</v>
      </c>
      <c r="K419" s="17" t="s">
        <v>527</v>
      </c>
      <c r="L419" s="15"/>
    </row>
    <row r="420">
      <c r="A420" s="13">
        <v>3.0</v>
      </c>
      <c r="B420" s="14" t="s">
        <v>446</v>
      </c>
      <c r="C420" s="13">
        <v>1.0</v>
      </c>
      <c r="D420" s="14" t="s">
        <v>505</v>
      </c>
      <c r="E420" s="13">
        <v>5.0</v>
      </c>
      <c r="F420" s="14" t="s">
        <v>515</v>
      </c>
      <c r="G420" s="13">
        <v>4.0</v>
      </c>
      <c r="H420" s="14" t="s">
        <v>524</v>
      </c>
      <c r="I420" s="15"/>
      <c r="J420" s="16">
        <v>4.0</v>
      </c>
      <c r="K420" s="17" t="s">
        <v>528</v>
      </c>
      <c r="L420" s="15"/>
    </row>
    <row r="421">
      <c r="A421" s="13">
        <v>3.0</v>
      </c>
      <c r="B421" s="14" t="s">
        <v>446</v>
      </c>
      <c r="C421" s="13">
        <v>1.0</v>
      </c>
      <c r="D421" s="14" t="s">
        <v>505</v>
      </c>
      <c r="E421" s="13">
        <v>5.0</v>
      </c>
      <c r="F421" s="14" t="s">
        <v>515</v>
      </c>
      <c r="G421" s="13">
        <v>4.0</v>
      </c>
      <c r="H421" s="14" t="s">
        <v>524</v>
      </c>
      <c r="I421" s="15"/>
      <c r="J421" s="16">
        <v>5.0</v>
      </c>
      <c r="K421" s="17" t="s">
        <v>529</v>
      </c>
      <c r="L421" s="15"/>
    </row>
    <row r="422">
      <c r="A422" s="13">
        <v>3.0</v>
      </c>
      <c r="B422" s="14" t="s">
        <v>446</v>
      </c>
      <c r="C422" s="13">
        <v>1.0</v>
      </c>
      <c r="D422" s="14" t="s">
        <v>505</v>
      </c>
      <c r="E422" s="13">
        <v>5.0</v>
      </c>
      <c r="F422" s="14" t="s">
        <v>515</v>
      </c>
      <c r="G422" s="13">
        <v>5.0</v>
      </c>
      <c r="H422" s="14" t="s">
        <v>530</v>
      </c>
      <c r="I422" s="15"/>
      <c r="J422" s="16">
        <v>1.0</v>
      </c>
      <c r="K422" s="17" t="s">
        <v>502</v>
      </c>
      <c r="L422" s="15"/>
    </row>
    <row r="423">
      <c r="A423" s="13">
        <v>3.0</v>
      </c>
      <c r="B423" s="14" t="s">
        <v>446</v>
      </c>
      <c r="C423" s="13">
        <v>1.0</v>
      </c>
      <c r="D423" s="14" t="s">
        <v>505</v>
      </c>
      <c r="E423" s="13">
        <v>5.0</v>
      </c>
      <c r="F423" s="14" t="s">
        <v>515</v>
      </c>
      <c r="G423" s="13">
        <v>5.0</v>
      </c>
      <c r="H423" s="14" t="s">
        <v>530</v>
      </c>
      <c r="I423" s="15"/>
      <c r="J423" s="16">
        <v>2.0</v>
      </c>
      <c r="K423" s="17" t="s">
        <v>503</v>
      </c>
      <c r="L423" s="15"/>
    </row>
    <row r="424">
      <c r="A424" s="13">
        <v>3.0</v>
      </c>
      <c r="B424" s="14" t="s">
        <v>446</v>
      </c>
      <c r="C424" s="13">
        <v>1.0</v>
      </c>
      <c r="D424" s="14" t="s">
        <v>505</v>
      </c>
      <c r="E424" s="13">
        <v>5.0</v>
      </c>
      <c r="F424" s="14" t="s">
        <v>515</v>
      </c>
      <c r="G424" s="13">
        <v>5.0</v>
      </c>
      <c r="H424" s="14" t="s">
        <v>530</v>
      </c>
      <c r="I424" s="15"/>
      <c r="J424" s="16">
        <v>3.0</v>
      </c>
      <c r="K424" s="17" t="s">
        <v>531</v>
      </c>
      <c r="L424" s="15"/>
    </row>
    <row r="425">
      <c r="A425" s="13">
        <v>3.0</v>
      </c>
      <c r="B425" s="14" t="s">
        <v>446</v>
      </c>
      <c r="C425" s="13">
        <v>1.0</v>
      </c>
      <c r="D425" s="14" t="s">
        <v>505</v>
      </c>
      <c r="E425" s="13">
        <v>5.0</v>
      </c>
      <c r="F425" s="14" t="s">
        <v>515</v>
      </c>
      <c r="G425" s="13">
        <v>5.0</v>
      </c>
      <c r="H425" s="14" t="s">
        <v>530</v>
      </c>
      <c r="I425" s="15"/>
      <c r="J425" s="16">
        <v>4.0</v>
      </c>
      <c r="K425" s="17" t="s">
        <v>532</v>
      </c>
      <c r="L425" s="15"/>
    </row>
    <row r="426">
      <c r="A426" s="13">
        <v>3.0</v>
      </c>
      <c r="B426" s="14" t="s">
        <v>446</v>
      </c>
      <c r="C426" s="13">
        <v>1.0</v>
      </c>
      <c r="D426" s="14" t="s">
        <v>505</v>
      </c>
      <c r="E426" s="13">
        <v>5.0</v>
      </c>
      <c r="F426" s="14" t="s">
        <v>515</v>
      </c>
      <c r="G426" s="13">
        <v>5.0</v>
      </c>
      <c r="H426" s="14" t="s">
        <v>530</v>
      </c>
      <c r="I426" s="15"/>
      <c r="J426" s="16">
        <v>5.0</v>
      </c>
      <c r="K426" s="17" t="s">
        <v>533</v>
      </c>
      <c r="L426" s="15"/>
    </row>
    <row r="427">
      <c r="A427" s="13">
        <v>3.0</v>
      </c>
      <c r="B427" s="14" t="s">
        <v>446</v>
      </c>
      <c r="C427" s="13">
        <v>1.0</v>
      </c>
      <c r="D427" s="14" t="s">
        <v>505</v>
      </c>
      <c r="E427" s="13">
        <v>5.0</v>
      </c>
      <c r="F427" s="14" t="s">
        <v>515</v>
      </c>
      <c r="G427" s="13">
        <v>5.0</v>
      </c>
      <c r="H427" s="14" t="s">
        <v>530</v>
      </c>
      <c r="I427" s="15" t="s">
        <v>333</v>
      </c>
      <c r="J427" s="16">
        <v>6.0</v>
      </c>
      <c r="K427" s="17" t="s">
        <v>534</v>
      </c>
      <c r="L427" s="15"/>
    </row>
    <row r="428">
      <c r="A428" s="13">
        <v>3.0</v>
      </c>
      <c r="B428" s="14" t="s">
        <v>446</v>
      </c>
      <c r="C428" s="13">
        <v>1.0</v>
      </c>
      <c r="D428" s="14" t="s">
        <v>505</v>
      </c>
      <c r="E428" s="13">
        <v>5.0</v>
      </c>
      <c r="F428" s="14" t="s">
        <v>515</v>
      </c>
      <c r="G428" s="13">
        <v>5.0</v>
      </c>
      <c r="H428" s="14" t="s">
        <v>530</v>
      </c>
      <c r="I428" s="15" t="s">
        <v>333</v>
      </c>
      <c r="J428" s="16">
        <v>7.0</v>
      </c>
      <c r="K428" s="17" t="s">
        <v>535</v>
      </c>
      <c r="L428" s="15"/>
    </row>
    <row r="429">
      <c r="A429" s="13">
        <v>3.0</v>
      </c>
      <c r="B429" s="14" t="s">
        <v>446</v>
      </c>
      <c r="C429" s="13">
        <v>1.0</v>
      </c>
      <c r="D429" s="14" t="s">
        <v>505</v>
      </c>
      <c r="E429" s="13">
        <v>5.0</v>
      </c>
      <c r="F429" s="14" t="s">
        <v>515</v>
      </c>
      <c r="G429" s="13">
        <v>5.0</v>
      </c>
      <c r="H429" s="14" t="s">
        <v>530</v>
      </c>
      <c r="I429" s="15" t="s">
        <v>333</v>
      </c>
      <c r="J429" s="16">
        <v>8.0</v>
      </c>
      <c r="K429" s="17" t="s">
        <v>504</v>
      </c>
      <c r="L429" s="15"/>
    </row>
    <row r="430">
      <c r="A430" s="13">
        <v>3.0</v>
      </c>
      <c r="B430" s="14" t="s">
        <v>446</v>
      </c>
      <c r="C430" s="13">
        <v>1.0</v>
      </c>
      <c r="D430" s="14" t="s">
        <v>505</v>
      </c>
      <c r="E430" s="13">
        <v>6.0</v>
      </c>
      <c r="F430" s="14" t="s">
        <v>536</v>
      </c>
      <c r="G430" s="13">
        <v>1.0</v>
      </c>
      <c r="H430" s="14" t="s">
        <v>335</v>
      </c>
      <c r="I430" s="15" t="s">
        <v>333</v>
      </c>
      <c r="J430" s="16">
        <v>1.0</v>
      </c>
      <c r="K430" s="17" t="s">
        <v>537</v>
      </c>
      <c r="L430" s="15"/>
    </row>
    <row r="431">
      <c r="A431" s="13">
        <v>3.0</v>
      </c>
      <c r="B431" s="14" t="s">
        <v>446</v>
      </c>
      <c r="C431" s="13">
        <v>1.0</v>
      </c>
      <c r="D431" s="14" t="s">
        <v>505</v>
      </c>
      <c r="E431" s="13">
        <v>6.0</v>
      </c>
      <c r="F431" s="14" t="s">
        <v>536</v>
      </c>
      <c r="G431" s="13">
        <v>1.0</v>
      </c>
      <c r="H431" s="14" t="s">
        <v>335</v>
      </c>
      <c r="I431" s="15" t="s">
        <v>333</v>
      </c>
      <c r="J431" s="16">
        <v>2.0</v>
      </c>
      <c r="K431" s="17" t="s">
        <v>336</v>
      </c>
      <c r="L431" s="15"/>
    </row>
    <row r="432">
      <c r="A432" s="13">
        <v>3.0</v>
      </c>
      <c r="B432" s="14" t="s">
        <v>446</v>
      </c>
      <c r="C432" s="13">
        <v>1.0</v>
      </c>
      <c r="D432" s="14" t="s">
        <v>505</v>
      </c>
      <c r="E432" s="13">
        <v>6.0</v>
      </c>
      <c r="F432" s="14" t="s">
        <v>536</v>
      </c>
      <c r="G432" s="13">
        <v>1.0</v>
      </c>
      <c r="H432" s="14" t="s">
        <v>335</v>
      </c>
      <c r="I432" s="15" t="s">
        <v>338</v>
      </c>
      <c r="J432" s="16">
        <v>3.0</v>
      </c>
      <c r="K432" s="17" t="s">
        <v>337</v>
      </c>
      <c r="L432" s="15"/>
    </row>
    <row r="433">
      <c r="A433" s="13">
        <v>3.0</v>
      </c>
      <c r="B433" s="14" t="s">
        <v>446</v>
      </c>
      <c r="C433" s="13">
        <v>1.0</v>
      </c>
      <c r="D433" s="14" t="s">
        <v>505</v>
      </c>
      <c r="E433" s="13">
        <v>6.0</v>
      </c>
      <c r="F433" s="18" t="s">
        <v>536</v>
      </c>
      <c r="G433" s="19">
        <v>1.0</v>
      </c>
      <c r="H433" s="18" t="s">
        <v>335</v>
      </c>
      <c r="I433" s="15" t="s">
        <v>338</v>
      </c>
      <c r="J433" s="20">
        <v>4.0</v>
      </c>
      <c r="K433" s="21" t="s">
        <v>340</v>
      </c>
      <c r="L433" s="15"/>
    </row>
    <row r="434">
      <c r="A434" s="13">
        <v>3.0</v>
      </c>
      <c r="B434" s="14" t="s">
        <v>446</v>
      </c>
      <c r="C434" s="13">
        <v>1.0</v>
      </c>
      <c r="D434" s="14" t="s">
        <v>505</v>
      </c>
      <c r="E434" s="13">
        <v>6.0</v>
      </c>
      <c r="F434" s="18" t="s">
        <v>536</v>
      </c>
      <c r="G434" s="19">
        <v>1.0</v>
      </c>
      <c r="H434" s="18" t="s">
        <v>335</v>
      </c>
      <c r="I434" s="15" t="s">
        <v>338</v>
      </c>
      <c r="J434" s="16">
        <v>5.0</v>
      </c>
      <c r="K434" s="17" t="s">
        <v>538</v>
      </c>
      <c r="L434" s="15"/>
    </row>
    <row r="435">
      <c r="A435" s="13">
        <v>3.0</v>
      </c>
      <c r="B435" s="14" t="s">
        <v>446</v>
      </c>
      <c r="C435" s="13">
        <v>1.0</v>
      </c>
      <c r="D435" s="14" t="s">
        <v>505</v>
      </c>
      <c r="E435" s="13">
        <v>6.0</v>
      </c>
      <c r="F435" s="14" t="s">
        <v>536</v>
      </c>
      <c r="G435" s="13">
        <v>2.0</v>
      </c>
      <c r="H435" s="14" t="s">
        <v>341</v>
      </c>
      <c r="I435" s="15" t="s">
        <v>338</v>
      </c>
      <c r="J435" s="16">
        <v>1.0</v>
      </c>
      <c r="K435" s="17" t="s">
        <v>341</v>
      </c>
      <c r="L435" s="15"/>
    </row>
    <row r="436">
      <c r="A436" s="13">
        <v>3.0</v>
      </c>
      <c r="B436" s="14" t="s">
        <v>446</v>
      </c>
      <c r="C436" s="13">
        <v>1.0</v>
      </c>
      <c r="D436" s="14" t="s">
        <v>505</v>
      </c>
      <c r="E436" s="13">
        <v>6.0</v>
      </c>
      <c r="F436" s="14" t="s">
        <v>536</v>
      </c>
      <c r="G436" s="13">
        <v>2.0</v>
      </c>
      <c r="H436" s="14" t="s">
        <v>341</v>
      </c>
      <c r="I436" s="15" t="s">
        <v>338</v>
      </c>
      <c r="J436" s="16">
        <v>2.0</v>
      </c>
      <c r="K436" s="17" t="s">
        <v>342</v>
      </c>
      <c r="L436" s="15"/>
    </row>
    <row r="437">
      <c r="A437" s="13">
        <v>3.0</v>
      </c>
      <c r="B437" s="14" t="s">
        <v>446</v>
      </c>
      <c r="C437" s="13">
        <v>1.0</v>
      </c>
      <c r="D437" s="14" t="s">
        <v>505</v>
      </c>
      <c r="E437" s="13">
        <v>6.0</v>
      </c>
      <c r="F437" s="14" t="s">
        <v>536</v>
      </c>
      <c r="G437" s="13">
        <v>2.0</v>
      </c>
      <c r="H437" s="14" t="s">
        <v>341</v>
      </c>
      <c r="I437" s="15" t="s">
        <v>338</v>
      </c>
      <c r="J437" s="16">
        <v>3.0</v>
      </c>
      <c r="K437" s="17" t="s">
        <v>343</v>
      </c>
      <c r="L437" s="15"/>
    </row>
    <row r="438">
      <c r="A438" s="13">
        <v>3.0</v>
      </c>
      <c r="B438" s="14" t="s">
        <v>446</v>
      </c>
      <c r="C438" s="13">
        <v>1.0</v>
      </c>
      <c r="D438" s="14" t="s">
        <v>505</v>
      </c>
      <c r="E438" s="13">
        <v>6.0</v>
      </c>
      <c r="F438" s="14" t="s">
        <v>536</v>
      </c>
      <c r="G438" s="13">
        <v>2.0</v>
      </c>
      <c r="H438" s="14" t="s">
        <v>341</v>
      </c>
      <c r="I438" s="15" t="s">
        <v>345</v>
      </c>
      <c r="J438" s="16">
        <v>4.0</v>
      </c>
      <c r="K438" s="17" t="s">
        <v>344</v>
      </c>
      <c r="L438" s="15"/>
    </row>
    <row r="439">
      <c r="A439" s="13">
        <v>3.0</v>
      </c>
      <c r="B439" s="14" t="s">
        <v>446</v>
      </c>
      <c r="C439" s="13">
        <v>1.0</v>
      </c>
      <c r="D439" s="14" t="s">
        <v>505</v>
      </c>
      <c r="E439" s="13">
        <v>6.0</v>
      </c>
      <c r="F439" s="14" t="s">
        <v>536</v>
      </c>
      <c r="G439" s="13">
        <v>2.0</v>
      </c>
      <c r="H439" s="14" t="s">
        <v>341</v>
      </c>
      <c r="I439" s="15" t="s">
        <v>345</v>
      </c>
      <c r="J439" s="16">
        <v>5.0</v>
      </c>
      <c r="K439" s="17" t="s">
        <v>539</v>
      </c>
      <c r="L439" s="15"/>
    </row>
    <row r="440">
      <c r="A440" s="13">
        <v>3.0</v>
      </c>
      <c r="B440" s="14" t="s">
        <v>446</v>
      </c>
      <c r="C440" s="13">
        <v>1.0</v>
      </c>
      <c r="D440" s="14" t="s">
        <v>505</v>
      </c>
      <c r="E440" s="13">
        <v>6.0</v>
      </c>
      <c r="F440" s="14" t="s">
        <v>536</v>
      </c>
      <c r="G440" s="13">
        <v>2.0</v>
      </c>
      <c r="H440" s="14" t="s">
        <v>341</v>
      </c>
      <c r="I440" s="15" t="s">
        <v>345</v>
      </c>
      <c r="J440" s="16">
        <v>6.0</v>
      </c>
      <c r="K440" s="17" t="s">
        <v>347</v>
      </c>
      <c r="L440" s="15"/>
    </row>
    <row r="441">
      <c r="A441" s="13">
        <v>3.0</v>
      </c>
      <c r="B441" s="14" t="s">
        <v>446</v>
      </c>
      <c r="C441" s="13">
        <v>1.0</v>
      </c>
      <c r="D441" s="14" t="s">
        <v>505</v>
      </c>
      <c r="E441" s="13">
        <v>6.0</v>
      </c>
      <c r="F441" s="14" t="s">
        <v>536</v>
      </c>
      <c r="G441" s="13">
        <v>3.0</v>
      </c>
      <c r="H441" s="14" t="s">
        <v>348</v>
      </c>
      <c r="I441" s="15" t="s">
        <v>345</v>
      </c>
      <c r="J441" s="16">
        <v>1.0</v>
      </c>
      <c r="K441" s="17" t="s">
        <v>348</v>
      </c>
      <c r="L441" s="15"/>
    </row>
    <row r="442">
      <c r="A442" s="13">
        <v>3.0</v>
      </c>
      <c r="B442" s="14" t="s">
        <v>446</v>
      </c>
      <c r="C442" s="13">
        <v>1.0</v>
      </c>
      <c r="D442" s="14" t="s">
        <v>505</v>
      </c>
      <c r="E442" s="13">
        <v>6.0</v>
      </c>
      <c r="F442" s="14" t="s">
        <v>536</v>
      </c>
      <c r="G442" s="13">
        <v>3.0</v>
      </c>
      <c r="H442" s="14" t="s">
        <v>348</v>
      </c>
      <c r="I442" s="15" t="s">
        <v>350</v>
      </c>
      <c r="J442" s="16">
        <v>2.0</v>
      </c>
      <c r="K442" s="17" t="s">
        <v>540</v>
      </c>
      <c r="L442" s="15"/>
    </row>
    <row r="443">
      <c r="A443" s="13">
        <v>3.0</v>
      </c>
      <c r="B443" s="14" t="s">
        <v>446</v>
      </c>
      <c r="C443" s="13">
        <v>1.0</v>
      </c>
      <c r="D443" s="14" t="s">
        <v>505</v>
      </c>
      <c r="E443" s="13">
        <v>6.0</v>
      </c>
      <c r="F443" s="14" t="s">
        <v>536</v>
      </c>
      <c r="G443" s="13">
        <v>3.0</v>
      </c>
      <c r="H443" s="14" t="s">
        <v>348</v>
      </c>
      <c r="I443" s="15" t="s">
        <v>350</v>
      </c>
      <c r="J443" s="16">
        <v>3.0</v>
      </c>
      <c r="K443" s="17" t="s">
        <v>349</v>
      </c>
      <c r="L443" s="15"/>
    </row>
    <row r="444">
      <c r="A444" s="13">
        <v>3.0</v>
      </c>
      <c r="B444" s="14" t="s">
        <v>446</v>
      </c>
      <c r="C444" s="13">
        <v>1.0</v>
      </c>
      <c r="D444" s="14" t="s">
        <v>505</v>
      </c>
      <c r="E444" s="13">
        <v>6.0</v>
      </c>
      <c r="F444" s="14" t="s">
        <v>536</v>
      </c>
      <c r="G444" s="13">
        <v>3.0</v>
      </c>
      <c r="H444" s="14" t="s">
        <v>348</v>
      </c>
      <c r="I444" s="15" t="s">
        <v>350</v>
      </c>
      <c r="J444" s="16">
        <v>4.0</v>
      </c>
      <c r="K444" s="17" t="s">
        <v>351</v>
      </c>
      <c r="L444" s="15"/>
    </row>
    <row r="445">
      <c r="A445" s="13">
        <v>3.0</v>
      </c>
      <c r="B445" s="14" t="s">
        <v>446</v>
      </c>
      <c r="C445" s="13">
        <v>1.0</v>
      </c>
      <c r="D445" s="14" t="s">
        <v>505</v>
      </c>
      <c r="E445" s="13">
        <v>6.0</v>
      </c>
      <c r="F445" s="14" t="s">
        <v>536</v>
      </c>
      <c r="G445" s="13">
        <v>4.0</v>
      </c>
      <c r="H445" s="14" t="s">
        <v>353</v>
      </c>
      <c r="I445" s="15" t="s">
        <v>350</v>
      </c>
      <c r="J445" s="16">
        <v>1.0</v>
      </c>
      <c r="K445" s="17" t="s">
        <v>354</v>
      </c>
      <c r="L445" s="15"/>
    </row>
    <row r="446">
      <c r="A446" s="13">
        <v>3.0</v>
      </c>
      <c r="B446" s="14" t="s">
        <v>446</v>
      </c>
      <c r="C446" s="13">
        <v>1.0</v>
      </c>
      <c r="D446" s="14" t="s">
        <v>505</v>
      </c>
      <c r="E446" s="13">
        <v>6.0</v>
      </c>
      <c r="F446" s="14" t="s">
        <v>536</v>
      </c>
      <c r="G446" s="13">
        <v>4.0</v>
      </c>
      <c r="H446" s="14" t="s">
        <v>353</v>
      </c>
      <c r="I446" s="15" t="s">
        <v>350</v>
      </c>
      <c r="J446" s="16">
        <v>2.0</v>
      </c>
      <c r="K446" s="17" t="s">
        <v>355</v>
      </c>
      <c r="L446" s="15"/>
    </row>
    <row r="447">
      <c r="A447" s="13">
        <v>3.0</v>
      </c>
      <c r="B447" s="14" t="s">
        <v>446</v>
      </c>
      <c r="C447" s="13">
        <v>1.0</v>
      </c>
      <c r="D447" s="14" t="s">
        <v>505</v>
      </c>
      <c r="E447" s="13">
        <v>6.0</v>
      </c>
      <c r="F447" s="14" t="s">
        <v>536</v>
      </c>
      <c r="G447" s="13">
        <v>4.0</v>
      </c>
      <c r="H447" s="14" t="s">
        <v>353</v>
      </c>
      <c r="I447" s="15" t="s">
        <v>358</v>
      </c>
      <c r="J447" s="16">
        <v>3.0</v>
      </c>
      <c r="K447" s="17" t="s">
        <v>356</v>
      </c>
      <c r="L447" s="15"/>
    </row>
    <row r="448">
      <c r="A448" s="13">
        <v>3.0</v>
      </c>
      <c r="B448" s="14" t="s">
        <v>446</v>
      </c>
      <c r="C448" s="13">
        <v>1.0</v>
      </c>
      <c r="D448" s="14" t="s">
        <v>505</v>
      </c>
      <c r="E448" s="13">
        <v>6.0</v>
      </c>
      <c r="F448" s="14" t="s">
        <v>536</v>
      </c>
      <c r="G448" s="13">
        <v>4.0</v>
      </c>
      <c r="H448" s="14" t="s">
        <v>353</v>
      </c>
      <c r="I448" s="15" t="s">
        <v>358</v>
      </c>
      <c r="J448" s="16">
        <v>4.0</v>
      </c>
      <c r="K448" s="17" t="s">
        <v>357</v>
      </c>
      <c r="L448" s="15"/>
    </row>
    <row r="449">
      <c r="A449" s="13">
        <v>3.0</v>
      </c>
      <c r="B449" s="14" t="s">
        <v>446</v>
      </c>
      <c r="C449" s="13">
        <v>1.0</v>
      </c>
      <c r="D449" s="14" t="s">
        <v>505</v>
      </c>
      <c r="E449" s="13">
        <v>6.0</v>
      </c>
      <c r="F449" s="14" t="s">
        <v>536</v>
      </c>
      <c r="G449" s="13">
        <v>4.0</v>
      </c>
      <c r="H449" s="14" t="s">
        <v>353</v>
      </c>
      <c r="I449" s="15" t="s">
        <v>358</v>
      </c>
      <c r="J449" s="16">
        <v>5.0</v>
      </c>
      <c r="K449" s="17" t="s">
        <v>360</v>
      </c>
      <c r="L449" s="15"/>
    </row>
    <row r="450">
      <c r="A450" s="13">
        <v>3.0</v>
      </c>
      <c r="B450" s="14" t="s">
        <v>446</v>
      </c>
      <c r="C450" s="13">
        <v>1.0</v>
      </c>
      <c r="D450" s="14" t="s">
        <v>505</v>
      </c>
      <c r="E450" s="13">
        <v>7.0</v>
      </c>
      <c r="F450" s="14" t="s">
        <v>361</v>
      </c>
      <c r="G450" s="13">
        <v>1.0</v>
      </c>
      <c r="H450" s="14" t="s">
        <v>362</v>
      </c>
      <c r="I450" s="15" t="s">
        <v>358</v>
      </c>
      <c r="J450" s="16">
        <v>1.0</v>
      </c>
      <c r="K450" s="17" t="s">
        <v>541</v>
      </c>
      <c r="L450" s="15"/>
    </row>
    <row r="451">
      <c r="A451" s="13">
        <v>3.0</v>
      </c>
      <c r="B451" s="14" t="s">
        <v>446</v>
      </c>
      <c r="C451" s="13">
        <v>1.0</v>
      </c>
      <c r="D451" s="14" t="s">
        <v>505</v>
      </c>
      <c r="E451" s="13">
        <v>7.0</v>
      </c>
      <c r="F451" s="14" t="s">
        <v>361</v>
      </c>
      <c r="G451" s="13">
        <v>1.0</v>
      </c>
      <c r="H451" s="14" t="s">
        <v>362</v>
      </c>
      <c r="I451" s="15" t="s">
        <v>358</v>
      </c>
      <c r="J451" s="16">
        <v>2.0</v>
      </c>
      <c r="K451" s="17" t="s">
        <v>363</v>
      </c>
      <c r="L451" s="15"/>
    </row>
    <row r="452">
      <c r="A452" s="13">
        <v>3.0</v>
      </c>
      <c r="B452" s="14" t="s">
        <v>446</v>
      </c>
      <c r="C452" s="13">
        <v>1.0</v>
      </c>
      <c r="D452" s="14" t="s">
        <v>505</v>
      </c>
      <c r="E452" s="13">
        <v>7.0</v>
      </c>
      <c r="F452" s="14" t="s">
        <v>361</v>
      </c>
      <c r="G452" s="13">
        <v>1.0</v>
      </c>
      <c r="H452" s="14" t="s">
        <v>362</v>
      </c>
      <c r="I452" s="15" t="s">
        <v>358</v>
      </c>
      <c r="J452" s="16">
        <v>3.0</v>
      </c>
      <c r="K452" s="17" t="s">
        <v>364</v>
      </c>
      <c r="L452" s="15"/>
    </row>
    <row r="453">
      <c r="A453" s="13">
        <v>3.0</v>
      </c>
      <c r="B453" s="14" t="s">
        <v>446</v>
      </c>
      <c r="C453" s="13">
        <v>1.0</v>
      </c>
      <c r="D453" s="14" t="s">
        <v>505</v>
      </c>
      <c r="E453" s="13">
        <v>7.0</v>
      </c>
      <c r="F453" s="14" t="s">
        <v>361</v>
      </c>
      <c r="G453" s="13">
        <v>1.0</v>
      </c>
      <c r="H453" s="14" t="s">
        <v>362</v>
      </c>
      <c r="I453" s="15" t="s">
        <v>365</v>
      </c>
      <c r="J453" s="16">
        <v>4.0</v>
      </c>
      <c r="K453" s="17" t="s">
        <v>366</v>
      </c>
      <c r="L453" s="15"/>
    </row>
    <row r="454">
      <c r="A454" s="13">
        <v>3.0</v>
      </c>
      <c r="B454" s="14" t="s">
        <v>446</v>
      </c>
      <c r="C454" s="13">
        <v>1.0</v>
      </c>
      <c r="D454" s="14" t="s">
        <v>505</v>
      </c>
      <c r="E454" s="13">
        <v>7.0</v>
      </c>
      <c r="F454" s="14" t="s">
        <v>361</v>
      </c>
      <c r="G454" s="13">
        <v>1.0</v>
      </c>
      <c r="H454" s="14" t="s">
        <v>362</v>
      </c>
      <c r="I454" s="15" t="s">
        <v>365</v>
      </c>
      <c r="J454" s="16">
        <v>5.0</v>
      </c>
      <c r="K454" s="17" t="s">
        <v>367</v>
      </c>
      <c r="L454" s="15"/>
    </row>
    <row r="455">
      <c r="A455" s="13">
        <v>3.0</v>
      </c>
      <c r="B455" s="14" t="s">
        <v>446</v>
      </c>
      <c r="C455" s="13">
        <v>1.0</v>
      </c>
      <c r="D455" s="14" t="s">
        <v>505</v>
      </c>
      <c r="E455" s="13">
        <v>7.0</v>
      </c>
      <c r="F455" s="14" t="s">
        <v>361</v>
      </c>
      <c r="G455" s="13">
        <v>1.0</v>
      </c>
      <c r="H455" s="14" t="s">
        <v>362</v>
      </c>
      <c r="I455" s="15" t="s">
        <v>365</v>
      </c>
      <c r="J455" s="16">
        <v>6.0</v>
      </c>
      <c r="K455" s="17" t="s">
        <v>542</v>
      </c>
      <c r="L455" s="15"/>
    </row>
    <row r="456">
      <c r="A456" s="13">
        <v>3.0</v>
      </c>
      <c r="B456" s="14" t="s">
        <v>446</v>
      </c>
      <c r="C456" s="13">
        <v>1.0</v>
      </c>
      <c r="D456" s="14" t="s">
        <v>505</v>
      </c>
      <c r="E456" s="13">
        <v>7.0</v>
      </c>
      <c r="F456" s="14" t="s">
        <v>361</v>
      </c>
      <c r="G456" s="13">
        <v>2.0</v>
      </c>
      <c r="H456" s="14" t="s">
        <v>368</v>
      </c>
      <c r="I456" s="15" t="s">
        <v>365</v>
      </c>
      <c r="J456" s="16">
        <v>1.0</v>
      </c>
      <c r="K456" s="17" t="s">
        <v>369</v>
      </c>
      <c r="L456" s="15"/>
    </row>
    <row r="457">
      <c r="A457" s="13">
        <v>3.0</v>
      </c>
      <c r="B457" s="14" t="s">
        <v>446</v>
      </c>
      <c r="C457" s="13">
        <v>1.0</v>
      </c>
      <c r="D457" s="14" t="s">
        <v>505</v>
      </c>
      <c r="E457" s="13">
        <v>7.0</v>
      </c>
      <c r="F457" s="14" t="s">
        <v>361</v>
      </c>
      <c r="G457" s="13">
        <v>2.0</v>
      </c>
      <c r="H457" s="14" t="s">
        <v>368</v>
      </c>
      <c r="I457" s="15" t="s">
        <v>373</v>
      </c>
      <c r="J457" s="16">
        <v>2.0</v>
      </c>
      <c r="K457" s="17" t="s">
        <v>371</v>
      </c>
      <c r="L457" s="15"/>
    </row>
    <row r="458">
      <c r="A458" s="13">
        <v>3.0</v>
      </c>
      <c r="B458" s="14" t="s">
        <v>446</v>
      </c>
      <c r="C458" s="13">
        <v>1.0</v>
      </c>
      <c r="D458" s="14" t="s">
        <v>505</v>
      </c>
      <c r="E458" s="13">
        <v>7.0</v>
      </c>
      <c r="F458" s="14" t="s">
        <v>361</v>
      </c>
      <c r="G458" s="13">
        <v>2.0</v>
      </c>
      <c r="H458" s="14" t="s">
        <v>368</v>
      </c>
      <c r="I458" s="15" t="s">
        <v>373</v>
      </c>
      <c r="J458" s="16">
        <v>3.0</v>
      </c>
      <c r="K458" s="17" t="s">
        <v>372</v>
      </c>
      <c r="L458" s="15"/>
    </row>
    <row r="459">
      <c r="A459" s="13">
        <v>3.0</v>
      </c>
      <c r="B459" s="14" t="s">
        <v>446</v>
      </c>
      <c r="C459" s="13">
        <v>1.0</v>
      </c>
      <c r="D459" s="14" t="s">
        <v>505</v>
      </c>
      <c r="E459" s="13">
        <v>7.0</v>
      </c>
      <c r="F459" s="14" t="s">
        <v>361</v>
      </c>
      <c r="G459" s="13">
        <v>2.0</v>
      </c>
      <c r="H459" s="14" t="s">
        <v>368</v>
      </c>
      <c r="I459" s="15" t="s">
        <v>373</v>
      </c>
      <c r="J459" s="16">
        <v>4.0</v>
      </c>
      <c r="K459" s="17" t="s">
        <v>374</v>
      </c>
      <c r="L459" s="15"/>
    </row>
    <row r="460">
      <c r="A460" s="13">
        <v>3.0</v>
      </c>
      <c r="B460" s="14" t="s">
        <v>446</v>
      </c>
      <c r="C460" s="13">
        <v>1.0</v>
      </c>
      <c r="D460" s="14" t="s">
        <v>505</v>
      </c>
      <c r="E460" s="13">
        <v>7.0</v>
      </c>
      <c r="F460" s="14" t="s">
        <v>361</v>
      </c>
      <c r="G460" s="13">
        <v>3.0</v>
      </c>
      <c r="H460" s="14" t="s">
        <v>376</v>
      </c>
      <c r="I460" s="15" t="s">
        <v>373</v>
      </c>
      <c r="J460" s="16">
        <v>1.0</v>
      </c>
      <c r="K460" s="17" t="s">
        <v>377</v>
      </c>
      <c r="L460" s="15"/>
    </row>
    <row r="461">
      <c r="A461" s="13">
        <v>3.0</v>
      </c>
      <c r="B461" s="14" t="s">
        <v>446</v>
      </c>
      <c r="C461" s="13">
        <v>1.0</v>
      </c>
      <c r="D461" s="14" t="s">
        <v>505</v>
      </c>
      <c r="E461" s="13">
        <v>7.0</v>
      </c>
      <c r="F461" s="14" t="s">
        <v>361</v>
      </c>
      <c r="G461" s="13">
        <v>3.0</v>
      </c>
      <c r="H461" s="14" t="s">
        <v>376</v>
      </c>
      <c r="I461" s="15"/>
      <c r="J461" s="16">
        <v>2.0</v>
      </c>
      <c r="K461" s="17" t="s">
        <v>378</v>
      </c>
      <c r="L461" s="15"/>
    </row>
    <row r="462">
      <c r="A462" s="13">
        <v>3.0</v>
      </c>
      <c r="B462" s="14" t="s">
        <v>446</v>
      </c>
      <c r="C462" s="13">
        <v>1.0</v>
      </c>
      <c r="D462" s="14" t="s">
        <v>505</v>
      </c>
      <c r="E462" s="13">
        <v>7.0</v>
      </c>
      <c r="F462" s="14" t="s">
        <v>361</v>
      </c>
      <c r="G462" s="13">
        <v>3.0</v>
      </c>
      <c r="H462" s="14" t="s">
        <v>376</v>
      </c>
      <c r="I462" s="15"/>
      <c r="J462" s="16">
        <v>3.0</v>
      </c>
      <c r="K462" s="17" t="s">
        <v>379</v>
      </c>
      <c r="L462" s="15"/>
    </row>
    <row r="463">
      <c r="A463" s="13">
        <v>3.0</v>
      </c>
      <c r="B463" s="14" t="s">
        <v>446</v>
      </c>
      <c r="C463" s="13">
        <v>1.0</v>
      </c>
      <c r="D463" s="14" t="s">
        <v>505</v>
      </c>
      <c r="E463" s="13">
        <v>7.0</v>
      </c>
      <c r="F463" s="14" t="s">
        <v>361</v>
      </c>
      <c r="G463" s="13">
        <v>3.0</v>
      </c>
      <c r="H463" s="14" t="s">
        <v>376</v>
      </c>
      <c r="I463" s="15" t="s">
        <v>388</v>
      </c>
      <c r="J463" s="16">
        <v>4.0</v>
      </c>
      <c r="K463" s="17" t="s">
        <v>380</v>
      </c>
      <c r="L463" s="15"/>
    </row>
    <row r="464">
      <c r="A464" s="13">
        <v>3.0</v>
      </c>
      <c r="B464" s="14" t="s">
        <v>446</v>
      </c>
      <c r="C464" s="13">
        <v>1.0</v>
      </c>
      <c r="D464" s="14" t="s">
        <v>505</v>
      </c>
      <c r="E464" s="13">
        <v>7.0</v>
      </c>
      <c r="F464" s="14" t="s">
        <v>361</v>
      </c>
      <c r="G464" s="13">
        <v>4.0</v>
      </c>
      <c r="H464" s="14" t="s">
        <v>381</v>
      </c>
      <c r="I464" s="15" t="s">
        <v>388</v>
      </c>
      <c r="J464" s="16">
        <v>1.0</v>
      </c>
      <c r="K464" s="17" t="s">
        <v>382</v>
      </c>
      <c r="L464" s="15"/>
    </row>
    <row r="465">
      <c r="A465" s="13">
        <v>3.0</v>
      </c>
      <c r="B465" s="14" t="s">
        <v>446</v>
      </c>
      <c r="C465" s="13">
        <v>1.0</v>
      </c>
      <c r="D465" s="14" t="s">
        <v>505</v>
      </c>
      <c r="E465" s="13">
        <v>7.0</v>
      </c>
      <c r="F465" s="14" t="s">
        <v>361</v>
      </c>
      <c r="G465" s="13">
        <v>4.0</v>
      </c>
      <c r="H465" s="14" t="s">
        <v>381</v>
      </c>
      <c r="I465" s="15" t="s">
        <v>393</v>
      </c>
      <c r="J465" s="16">
        <v>2.0</v>
      </c>
      <c r="K465" s="17" t="s">
        <v>383</v>
      </c>
      <c r="L465" s="15"/>
    </row>
    <row r="466">
      <c r="A466" s="13">
        <v>3.0</v>
      </c>
      <c r="B466" s="14" t="s">
        <v>446</v>
      </c>
      <c r="C466" s="13">
        <v>1.0</v>
      </c>
      <c r="D466" s="14" t="s">
        <v>505</v>
      </c>
      <c r="E466" s="13">
        <v>7.0</v>
      </c>
      <c r="F466" s="14" t="s">
        <v>361</v>
      </c>
      <c r="G466" s="13">
        <v>4.0</v>
      </c>
      <c r="H466" s="14" t="s">
        <v>381</v>
      </c>
      <c r="I466" s="15" t="s">
        <v>395</v>
      </c>
      <c r="J466" s="16">
        <v>3.0</v>
      </c>
      <c r="K466" s="17" t="s">
        <v>389</v>
      </c>
      <c r="L466" s="15"/>
    </row>
    <row r="467">
      <c r="A467" s="13">
        <v>3.0</v>
      </c>
      <c r="B467" s="14" t="s">
        <v>446</v>
      </c>
      <c r="C467" s="13">
        <v>1.0</v>
      </c>
      <c r="D467" s="14" t="s">
        <v>505</v>
      </c>
      <c r="E467" s="13">
        <v>7.0</v>
      </c>
      <c r="F467" s="14" t="s">
        <v>361</v>
      </c>
      <c r="G467" s="13">
        <v>4.0</v>
      </c>
      <c r="H467" s="14" t="s">
        <v>381</v>
      </c>
      <c r="I467" s="15" t="s">
        <v>395</v>
      </c>
      <c r="J467" s="16">
        <v>4.0</v>
      </c>
      <c r="K467" s="17" t="s">
        <v>390</v>
      </c>
      <c r="L467" s="15"/>
    </row>
    <row r="468">
      <c r="A468" s="10">
        <v>4.0</v>
      </c>
      <c r="B468" s="11" t="s">
        <v>543</v>
      </c>
      <c r="C468" s="13">
        <v>1.0</v>
      </c>
      <c r="D468" s="11" t="s">
        <v>544</v>
      </c>
      <c r="E468" s="10">
        <v>1.0</v>
      </c>
      <c r="F468" s="11" t="s">
        <v>545</v>
      </c>
      <c r="G468" s="10">
        <v>1.0</v>
      </c>
      <c r="H468" s="11" t="s">
        <v>546</v>
      </c>
      <c r="I468" s="22" t="s">
        <v>395</v>
      </c>
      <c r="J468" s="10">
        <v>1.0</v>
      </c>
      <c r="K468" s="11" t="s">
        <v>547</v>
      </c>
      <c r="L468" s="22"/>
    </row>
    <row r="469">
      <c r="A469" s="10">
        <v>4.0</v>
      </c>
      <c r="B469" s="11" t="s">
        <v>543</v>
      </c>
      <c r="C469" s="13">
        <v>1.0</v>
      </c>
      <c r="D469" s="11" t="s">
        <v>544</v>
      </c>
      <c r="E469" s="10">
        <v>1.0</v>
      </c>
      <c r="F469" s="11" t="s">
        <v>545</v>
      </c>
      <c r="G469" s="10">
        <v>2.0</v>
      </c>
      <c r="H469" s="11" t="s">
        <v>548</v>
      </c>
      <c r="I469" s="22" t="s">
        <v>395</v>
      </c>
      <c r="J469" s="10">
        <v>1.0</v>
      </c>
      <c r="K469" s="11" t="s">
        <v>549</v>
      </c>
      <c r="L469" s="22"/>
    </row>
    <row r="470">
      <c r="A470" s="10">
        <v>4.0</v>
      </c>
      <c r="B470" s="11" t="s">
        <v>543</v>
      </c>
      <c r="C470" s="13">
        <v>1.0</v>
      </c>
      <c r="D470" s="11" t="s">
        <v>544</v>
      </c>
      <c r="E470" s="10">
        <v>1.0</v>
      </c>
      <c r="F470" s="11" t="s">
        <v>545</v>
      </c>
      <c r="G470" s="10">
        <v>2.0</v>
      </c>
      <c r="H470" s="11" t="s">
        <v>548</v>
      </c>
      <c r="I470" s="22" t="s">
        <v>395</v>
      </c>
      <c r="J470" s="10">
        <v>2.0</v>
      </c>
      <c r="K470" s="11" t="s">
        <v>550</v>
      </c>
      <c r="L470" s="22"/>
    </row>
    <row r="471">
      <c r="A471" s="10">
        <v>4.0</v>
      </c>
      <c r="B471" s="11" t="s">
        <v>543</v>
      </c>
      <c r="C471" s="13">
        <v>1.0</v>
      </c>
      <c r="D471" s="11" t="s">
        <v>544</v>
      </c>
      <c r="E471" s="10">
        <v>2.0</v>
      </c>
      <c r="F471" s="11" t="s">
        <v>551</v>
      </c>
      <c r="G471" s="10">
        <v>1.0</v>
      </c>
      <c r="H471" s="11" t="s">
        <v>552</v>
      </c>
      <c r="I471" s="22" t="s">
        <v>395</v>
      </c>
      <c r="J471" s="10">
        <v>1.0</v>
      </c>
      <c r="K471" s="11" t="s">
        <v>553</v>
      </c>
      <c r="L471" s="22"/>
    </row>
    <row r="472">
      <c r="A472" s="10">
        <v>4.0</v>
      </c>
      <c r="B472" s="11" t="s">
        <v>543</v>
      </c>
      <c r="C472" s="13">
        <v>1.0</v>
      </c>
      <c r="D472" s="11" t="s">
        <v>544</v>
      </c>
      <c r="E472" s="10">
        <v>2.0</v>
      </c>
      <c r="F472" s="11" t="s">
        <v>551</v>
      </c>
      <c r="G472" s="10">
        <v>1.0</v>
      </c>
      <c r="H472" s="11" t="s">
        <v>552</v>
      </c>
      <c r="I472" s="22" t="s">
        <v>405</v>
      </c>
      <c r="J472" s="10">
        <v>2.0</v>
      </c>
      <c r="K472" s="11" t="s">
        <v>554</v>
      </c>
      <c r="L472" s="22"/>
    </row>
    <row r="473">
      <c r="A473" s="10">
        <v>4.0</v>
      </c>
      <c r="B473" s="11" t="s">
        <v>543</v>
      </c>
      <c r="C473" s="13">
        <v>1.0</v>
      </c>
      <c r="D473" s="11" t="s">
        <v>544</v>
      </c>
      <c r="E473" s="10">
        <v>2.0</v>
      </c>
      <c r="F473" s="11" t="s">
        <v>551</v>
      </c>
      <c r="G473" s="10">
        <v>2.0</v>
      </c>
      <c r="H473" s="11" t="s">
        <v>555</v>
      </c>
      <c r="I473" s="22" t="s">
        <v>405</v>
      </c>
      <c r="J473" s="10">
        <v>1.0</v>
      </c>
      <c r="K473" s="11" t="s">
        <v>556</v>
      </c>
      <c r="L473" s="22"/>
    </row>
    <row r="474">
      <c r="A474" s="10">
        <v>4.0</v>
      </c>
      <c r="B474" s="11" t="s">
        <v>543</v>
      </c>
      <c r="C474" s="13">
        <v>1.0</v>
      </c>
      <c r="D474" s="11" t="s">
        <v>544</v>
      </c>
      <c r="E474" s="10">
        <v>2.0</v>
      </c>
      <c r="F474" s="11" t="s">
        <v>551</v>
      </c>
      <c r="G474" s="10">
        <v>2.0</v>
      </c>
      <c r="H474" s="11" t="s">
        <v>555</v>
      </c>
      <c r="I474" s="22" t="s">
        <v>405</v>
      </c>
      <c r="J474" s="10">
        <v>2.0</v>
      </c>
      <c r="K474" s="11" t="s">
        <v>557</v>
      </c>
      <c r="L474" s="22"/>
    </row>
    <row r="475">
      <c r="A475" s="10">
        <v>4.0</v>
      </c>
      <c r="B475" s="11" t="s">
        <v>543</v>
      </c>
      <c r="C475" s="13">
        <v>1.0</v>
      </c>
      <c r="D475" s="11" t="s">
        <v>544</v>
      </c>
      <c r="E475" s="10">
        <v>2.0</v>
      </c>
      <c r="F475" s="11" t="s">
        <v>551</v>
      </c>
      <c r="G475" s="10">
        <v>2.0</v>
      </c>
      <c r="H475" s="11" t="s">
        <v>555</v>
      </c>
      <c r="I475" s="22" t="s">
        <v>405</v>
      </c>
      <c r="J475" s="10">
        <v>3.0</v>
      </c>
      <c r="K475" s="11" t="s">
        <v>558</v>
      </c>
      <c r="L475" s="22"/>
    </row>
    <row r="476">
      <c r="A476" s="10">
        <v>4.0</v>
      </c>
      <c r="B476" s="11" t="s">
        <v>543</v>
      </c>
      <c r="C476" s="13">
        <v>1.0</v>
      </c>
      <c r="D476" s="11" t="s">
        <v>544</v>
      </c>
      <c r="E476" s="10">
        <v>2.0</v>
      </c>
      <c r="F476" s="11" t="s">
        <v>551</v>
      </c>
      <c r="G476" s="10">
        <v>2.0</v>
      </c>
      <c r="H476" s="11" t="s">
        <v>555</v>
      </c>
      <c r="I476" s="22" t="s">
        <v>405</v>
      </c>
      <c r="J476" s="10">
        <v>4.0</v>
      </c>
      <c r="K476" s="11" t="s">
        <v>559</v>
      </c>
      <c r="L476" s="22"/>
    </row>
    <row r="477">
      <c r="A477" s="10">
        <v>4.0</v>
      </c>
      <c r="B477" s="11" t="s">
        <v>543</v>
      </c>
      <c r="C477" s="13">
        <v>1.0</v>
      </c>
      <c r="D477" s="11" t="s">
        <v>544</v>
      </c>
      <c r="E477" s="10">
        <v>2.0</v>
      </c>
      <c r="F477" s="11" t="s">
        <v>551</v>
      </c>
      <c r="G477" s="10">
        <v>2.0</v>
      </c>
      <c r="H477" s="11" t="s">
        <v>555</v>
      </c>
      <c r="I477" s="22" t="s">
        <v>405</v>
      </c>
      <c r="J477" s="10">
        <v>5.0</v>
      </c>
      <c r="K477" s="11" t="s">
        <v>560</v>
      </c>
      <c r="L477" s="22"/>
    </row>
    <row r="478">
      <c r="A478" s="10">
        <v>4.0</v>
      </c>
      <c r="B478" s="11" t="s">
        <v>543</v>
      </c>
      <c r="C478" s="13">
        <v>1.0</v>
      </c>
      <c r="D478" s="11" t="s">
        <v>544</v>
      </c>
      <c r="E478" s="10">
        <v>2.0</v>
      </c>
      <c r="F478" s="11" t="s">
        <v>551</v>
      </c>
      <c r="G478" s="10">
        <v>2.0</v>
      </c>
      <c r="H478" s="11" t="s">
        <v>555</v>
      </c>
      <c r="I478" s="22" t="s">
        <v>413</v>
      </c>
      <c r="J478" s="10">
        <v>6.0</v>
      </c>
      <c r="K478" s="11" t="s">
        <v>561</v>
      </c>
      <c r="L478" s="22"/>
    </row>
    <row r="479">
      <c r="A479" s="10">
        <v>4.0</v>
      </c>
      <c r="B479" s="11" t="s">
        <v>543</v>
      </c>
      <c r="C479" s="13">
        <v>1.0</v>
      </c>
      <c r="D479" s="11" t="s">
        <v>544</v>
      </c>
      <c r="E479" s="10">
        <v>2.0</v>
      </c>
      <c r="F479" s="11" t="s">
        <v>551</v>
      </c>
      <c r="G479" s="10">
        <v>2.0</v>
      </c>
      <c r="H479" s="11" t="s">
        <v>555</v>
      </c>
      <c r="I479" s="22" t="s">
        <v>413</v>
      </c>
      <c r="J479" s="10">
        <v>7.0</v>
      </c>
      <c r="K479" s="11" t="s">
        <v>562</v>
      </c>
      <c r="L479" s="22"/>
    </row>
    <row r="480">
      <c r="A480" s="10">
        <v>4.0</v>
      </c>
      <c r="B480" s="11" t="s">
        <v>543</v>
      </c>
      <c r="C480" s="13">
        <v>1.0</v>
      </c>
      <c r="D480" s="11" t="s">
        <v>544</v>
      </c>
      <c r="E480" s="10">
        <v>2.0</v>
      </c>
      <c r="F480" s="11" t="s">
        <v>551</v>
      </c>
      <c r="G480" s="10">
        <v>3.0</v>
      </c>
      <c r="H480" s="11" t="s">
        <v>563</v>
      </c>
      <c r="I480" s="22" t="s">
        <v>413</v>
      </c>
      <c r="J480" s="10">
        <v>1.0</v>
      </c>
      <c r="K480" s="11" t="s">
        <v>564</v>
      </c>
      <c r="L480" s="22"/>
    </row>
    <row r="481">
      <c r="A481" s="10">
        <v>4.0</v>
      </c>
      <c r="B481" s="11" t="s">
        <v>543</v>
      </c>
      <c r="C481" s="13">
        <v>1.0</v>
      </c>
      <c r="D481" s="11" t="s">
        <v>544</v>
      </c>
      <c r="E481" s="10">
        <v>2.0</v>
      </c>
      <c r="F481" s="11" t="s">
        <v>551</v>
      </c>
      <c r="G481" s="10">
        <v>3.0</v>
      </c>
      <c r="H481" s="11" t="s">
        <v>563</v>
      </c>
      <c r="I481" s="22" t="s">
        <v>413</v>
      </c>
      <c r="J481" s="10">
        <v>2.0</v>
      </c>
      <c r="K481" s="11" t="s">
        <v>565</v>
      </c>
      <c r="L481" s="22"/>
    </row>
    <row r="482">
      <c r="A482" s="10">
        <v>4.0</v>
      </c>
      <c r="B482" s="11" t="s">
        <v>543</v>
      </c>
      <c r="C482" s="13">
        <v>1.0</v>
      </c>
      <c r="D482" s="11" t="s">
        <v>544</v>
      </c>
      <c r="E482" s="10">
        <v>2.0</v>
      </c>
      <c r="F482" s="11" t="s">
        <v>551</v>
      </c>
      <c r="G482" s="10">
        <v>3.0</v>
      </c>
      <c r="H482" s="11" t="s">
        <v>563</v>
      </c>
      <c r="I482" s="22" t="s">
        <v>413</v>
      </c>
      <c r="J482" s="10">
        <v>3.0</v>
      </c>
      <c r="K482" s="11" t="s">
        <v>566</v>
      </c>
      <c r="L482" s="22"/>
    </row>
    <row r="483">
      <c r="A483" s="10">
        <v>4.0</v>
      </c>
      <c r="B483" s="11" t="s">
        <v>543</v>
      </c>
      <c r="C483" s="13">
        <v>1.0</v>
      </c>
      <c r="D483" s="11" t="s">
        <v>544</v>
      </c>
      <c r="E483" s="10">
        <v>2.0</v>
      </c>
      <c r="F483" s="11" t="s">
        <v>551</v>
      </c>
      <c r="G483" s="10">
        <v>3.0</v>
      </c>
      <c r="H483" s="11" t="s">
        <v>563</v>
      </c>
      <c r="I483" s="22" t="s">
        <v>413</v>
      </c>
      <c r="J483" s="10">
        <v>4.0</v>
      </c>
      <c r="K483" s="11" t="s">
        <v>567</v>
      </c>
      <c r="L483" s="22"/>
    </row>
    <row r="484">
      <c r="A484" s="10">
        <v>4.0</v>
      </c>
      <c r="B484" s="11" t="s">
        <v>543</v>
      </c>
      <c r="C484" s="13">
        <v>1.0</v>
      </c>
      <c r="D484" s="11" t="s">
        <v>544</v>
      </c>
      <c r="E484" s="10">
        <v>2.0</v>
      </c>
      <c r="F484" s="11" t="s">
        <v>551</v>
      </c>
      <c r="G484" s="10">
        <v>3.0</v>
      </c>
      <c r="H484" s="11" t="s">
        <v>563</v>
      </c>
      <c r="I484" s="22" t="s">
        <v>413</v>
      </c>
      <c r="J484" s="10">
        <v>5.0</v>
      </c>
      <c r="K484" s="11" t="s">
        <v>568</v>
      </c>
      <c r="L484" s="22"/>
    </row>
    <row r="485">
      <c r="A485" s="10">
        <v>4.0</v>
      </c>
      <c r="B485" s="11" t="s">
        <v>543</v>
      </c>
      <c r="C485" s="13">
        <v>1.0</v>
      </c>
      <c r="D485" s="11" t="s">
        <v>544</v>
      </c>
      <c r="E485" s="10">
        <v>2.0</v>
      </c>
      <c r="F485" s="11" t="s">
        <v>551</v>
      </c>
      <c r="G485" s="10">
        <v>4.0</v>
      </c>
      <c r="H485" s="11" t="s">
        <v>569</v>
      </c>
      <c r="I485" s="22" t="s">
        <v>413</v>
      </c>
      <c r="J485" s="10">
        <v>1.0</v>
      </c>
      <c r="K485" s="11" t="s">
        <v>570</v>
      </c>
      <c r="L485" s="22"/>
    </row>
    <row r="486">
      <c r="A486" s="10">
        <v>4.0</v>
      </c>
      <c r="B486" s="11" t="s">
        <v>543</v>
      </c>
      <c r="C486" s="13">
        <v>1.0</v>
      </c>
      <c r="D486" s="11" t="s">
        <v>544</v>
      </c>
      <c r="E486" s="10">
        <v>2.0</v>
      </c>
      <c r="F486" s="11" t="s">
        <v>551</v>
      </c>
      <c r="G486" s="10">
        <v>4.0</v>
      </c>
      <c r="H486" s="11" t="s">
        <v>569</v>
      </c>
      <c r="I486" s="22" t="s">
        <v>413</v>
      </c>
      <c r="J486" s="10">
        <v>2.0</v>
      </c>
      <c r="K486" s="11" t="s">
        <v>571</v>
      </c>
      <c r="L486" s="22"/>
    </row>
    <row r="487">
      <c r="A487" s="10">
        <v>4.0</v>
      </c>
      <c r="B487" s="11" t="s">
        <v>543</v>
      </c>
      <c r="C487" s="13">
        <v>1.0</v>
      </c>
      <c r="D487" s="11" t="s">
        <v>544</v>
      </c>
      <c r="E487" s="10">
        <v>2.0</v>
      </c>
      <c r="F487" s="11" t="s">
        <v>551</v>
      </c>
      <c r="G487" s="10">
        <v>4.0</v>
      </c>
      <c r="H487" s="11" t="s">
        <v>569</v>
      </c>
      <c r="I487" s="22" t="s">
        <v>413</v>
      </c>
      <c r="J487" s="10">
        <v>3.0</v>
      </c>
      <c r="K487" s="11" t="s">
        <v>572</v>
      </c>
      <c r="L487" s="22"/>
    </row>
    <row r="488">
      <c r="A488" s="10">
        <v>4.0</v>
      </c>
      <c r="B488" s="11" t="s">
        <v>543</v>
      </c>
      <c r="C488" s="13">
        <v>1.0</v>
      </c>
      <c r="D488" s="11" t="s">
        <v>544</v>
      </c>
      <c r="E488" s="10">
        <v>2.0</v>
      </c>
      <c r="F488" s="11" t="s">
        <v>551</v>
      </c>
      <c r="G488" s="10">
        <v>4.0</v>
      </c>
      <c r="H488" s="11" t="s">
        <v>569</v>
      </c>
      <c r="I488" s="22" t="s">
        <v>426</v>
      </c>
      <c r="J488" s="10">
        <v>4.0</v>
      </c>
      <c r="K488" s="11" t="s">
        <v>573</v>
      </c>
      <c r="L488" s="22"/>
    </row>
    <row r="489">
      <c r="A489" s="10">
        <v>4.0</v>
      </c>
      <c r="B489" s="11" t="s">
        <v>543</v>
      </c>
      <c r="C489" s="13">
        <v>1.0</v>
      </c>
      <c r="D489" s="11" t="s">
        <v>544</v>
      </c>
      <c r="E489" s="10">
        <v>2.0</v>
      </c>
      <c r="F489" s="11" t="s">
        <v>551</v>
      </c>
      <c r="G489" s="10">
        <v>4.0</v>
      </c>
      <c r="H489" s="11" t="s">
        <v>569</v>
      </c>
      <c r="I489" s="22" t="s">
        <v>426</v>
      </c>
      <c r="J489" s="10">
        <v>5.0</v>
      </c>
      <c r="K489" s="11" t="s">
        <v>574</v>
      </c>
      <c r="L489" s="22"/>
    </row>
    <row r="490">
      <c r="A490" s="10">
        <v>4.0</v>
      </c>
      <c r="B490" s="11" t="s">
        <v>543</v>
      </c>
      <c r="C490" s="13">
        <v>1.0</v>
      </c>
      <c r="D490" s="11" t="s">
        <v>544</v>
      </c>
      <c r="E490" s="10">
        <v>2.0</v>
      </c>
      <c r="F490" s="11" t="s">
        <v>551</v>
      </c>
      <c r="G490" s="10">
        <v>4.0</v>
      </c>
      <c r="H490" s="11" t="s">
        <v>569</v>
      </c>
      <c r="I490" s="22" t="s">
        <v>426</v>
      </c>
      <c r="J490" s="10">
        <v>6.0</v>
      </c>
      <c r="K490" s="11" t="s">
        <v>575</v>
      </c>
      <c r="L490" s="22"/>
    </row>
    <row r="491">
      <c r="A491" s="10">
        <v>4.0</v>
      </c>
      <c r="B491" s="11" t="s">
        <v>543</v>
      </c>
      <c r="C491" s="13">
        <v>1.0</v>
      </c>
      <c r="D491" s="11" t="s">
        <v>544</v>
      </c>
      <c r="E491" s="10">
        <v>2.0</v>
      </c>
      <c r="F491" s="11" t="s">
        <v>551</v>
      </c>
      <c r="G491" s="10">
        <v>4.0</v>
      </c>
      <c r="H491" s="11" t="s">
        <v>569</v>
      </c>
      <c r="I491" s="22" t="s">
        <v>426</v>
      </c>
      <c r="J491" s="10">
        <v>7.0</v>
      </c>
      <c r="K491" s="11" t="s">
        <v>576</v>
      </c>
      <c r="L491" s="22"/>
    </row>
    <row r="492">
      <c r="A492" s="10">
        <v>4.0</v>
      </c>
      <c r="B492" s="11" t="s">
        <v>543</v>
      </c>
      <c r="C492" s="13">
        <v>1.0</v>
      </c>
      <c r="D492" s="11" t="s">
        <v>544</v>
      </c>
      <c r="E492" s="10">
        <v>2.0</v>
      </c>
      <c r="F492" s="11" t="s">
        <v>551</v>
      </c>
      <c r="G492" s="10">
        <v>4.0</v>
      </c>
      <c r="H492" s="11" t="s">
        <v>569</v>
      </c>
      <c r="I492" s="22" t="s">
        <v>426</v>
      </c>
      <c r="J492" s="10">
        <v>8.0</v>
      </c>
      <c r="K492" s="11" t="s">
        <v>577</v>
      </c>
      <c r="L492" s="22"/>
    </row>
    <row r="493">
      <c r="A493" s="10">
        <v>4.0</v>
      </c>
      <c r="B493" s="11" t="s">
        <v>543</v>
      </c>
      <c r="C493" s="13">
        <v>1.0</v>
      </c>
      <c r="D493" s="11" t="s">
        <v>544</v>
      </c>
      <c r="E493" s="10">
        <v>3.0</v>
      </c>
      <c r="F493" s="11" t="s">
        <v>578</v>
      </c>
      <c r="G493" s="10">
        <v>1.0</v>
      </c>
      <c r="H493" s="11" t="s">
        <v>579</v>
      </c>
      <c r="I493" s="22" t="s">
        <v>434</v>
      </c>
      <c r="J493" s="10">
        <v>1.0</v>
      </c>
      <c r="K493" s="11" t="s">
        <v>580</v>
      </c>
      <c r="L493" s="22"/>
    </row>
    <row r="494">
      <c r="A494" s="10">
        <v>4.0</v>
      </c>
      <c r="B494" s="11" t="s">
        <v>543</v>
      </c>
      <c r="C494" s="13">
        <v>1.0</v>
      </c>
      <c r="D494" s="11" t="s">
        <v>544</v>
      </c>
      <c r="E494" s="10">
        <v>3.0</v>
      </c>
      <c r="F494" s="11" t="s">
        <v>578</v>
      </c>
      <c r="G494" s="10">
        <v>1.0</v>
      </c>
      <c r="H494" s="11" t="s">
        <v>579</v>
      </c>
      <c r="I494" s="22" t="s">
        <v>434</v>
      </c>
      <c r="J494" s="10">
        <v>2.0</v>
      </c>
      <c r="K494" s="11" t="s">
        <v>581</v>
      </c>
      <c r="L494" s="22"/>
    </row>
    <row r="495">
      <c r="A495" s="10">
        <v>4.0</v>
      </c>
      <c r="B495" s="11" t="s">
        <v>543</v>
      </c>
      <c r="C495" s="13">
        <v>1.0</v>
      </c>
      <c r="D495" s="11" t="s">
        <v>544</v>
      </c>
      <c r="E495" s="10">
        <v>3.0</v>
      </c>
      <c r="F495" s="11" t="s">
        <v>578</v>
      </c>
      <c r="G495" s="10">
        <v>1.0</v>
      </c>
      <c r="H495" s="11" t="s">
        <v>579</v>
      </c>
      <c r="I495" s="22" t="s">
        <v>434</v>
      </c>
      <c r="J495" s="10">
        <v>3.0</v>
      </c>
      <c r="K495" s="11" t="s">
        <v>582</v>
      </c>
      <c r="L495" s="22"/>
    </row>
    <row r="496">
      <c r="A496" s="10">
        <v>4.0</v>
      </c>
      <c r="B496" s="11" t="s">
        <v>543</v>
      </c>
      <c r="C496" s="13">
        <v>1.0</v>
      </c>
      <c r="D496" s="11" t="s">
        <v>544</v>
      </c>
      <c r="E496" s="10">
        <v>3.0</v>
      </c>
      <c r="F496" s="11" t="s">
        <v>578</v>
      </c>
      <c r="G496" s="10">
        <v>2.0</v>
      </c>
      <c r="H496" s="11" t="s">
        <v>583</v>
      </c>
      <c r="I496" s="22" t="s">
        <v>434</v>
      </c>
      <c r="J496" s="10">
        <v>1.0</v>
      </c>
      <c r="K496" s="11" t="s">
        <v>584</v>
      </c>
      <c r="L496" s="22"/>
    </row>
    <row r="497">
      <c r="A497" s="10">
        <v>4.0</v>
      </c>
      <c r="B497" s="11" t="s">
        <v>543</v>
      </c>
      <c r="C497" s="13">
        <v>1.0</v>
      </c>
      <c r="D497" s="11" t="s">
        <v>544</v>
      </c>
      <c r="E497" s="10">
        <v>3.0</v>
      </c>
      <c r="F497" s="11" t="s">
        <v>578</v>
      </c>
      <c r="G497" s="10">
        <v>2.0</v>
      </c>
      <c r="H497" s="11" t="s">
        <v>583</v>
      </c>
      <c r="I497" s="22" t="s">
        <v>440</v>
      </c>
      <c r="J497" s="10">
        <v>2.0</v>
      </c>
      <c r="K497" s="11" t="s">
        <v>585</v>
      </c>
      <c r="L497" s="22"/>
    </row>
    <row r="498">
      <c r="A498" s="10">
        <v>4.0</v>
      </c>
      <c r="B498" s="11" t="s">
        <v>543</v>
      </c>
      <c r="C498" s="13">
        <v>1.0</v>
      </c>
      <c r="D498" s="11" t="s">
        <v>544</v>
      </c>
      <c r="E498" s="10">
        <v>3.0</v>
      </c>
      <c r="F498" s="11" t="s">
        <v>578</v>
      </c>
      <c r="G498" s="10">
        <v>2.0</v>
      </c>
      <c r="H498" s="11" t="s">
        <v>583</v>
      </c>
      <c r="I498" s="22" t="s">
        <v>586</v>
      </c>
      <c r="J498" s="10">
        <v>3.0</v>
      </c>
      <c r="K498" s="11" t="s">
        <v>587</v>
      </c>
      <c r="L498" s="22"/>
    </row>
    <row r="499">
      <c r="A499" s="10">
        <v>4.0</v>
      </c>
      <c r="B499" s="11" t="s">
        <v>543</v>
      </c>
      <c r="C499" s="13">
        <v>1.0</v>
      </c>
      <c r="D499" s="11" t="s">
        <v>544</v>
      </c>
      <c r="E499" s="10">
        <v>3.0</v>
      </c>
      <c r="F499" s="11" t="s">
        <v>578</v>
      </c>
      <c r="G499" s="10">
        <v>2.0</v>
      </c>
      <c r="H499" s="11" t="s">
        <v>583</v>
      </c>
      <c r="I499" s="22" t="s">
        <v>586</v>
      </c>
      <c r="J499" s="10">
        <v>4.0</v>
      </c>
      <c r="K499" s="11" t="s">
        <v>588</v>
      </c>
      <c r="L499" s="22"/>
    </row>
    <row r="500">
      <c r="A500" s="10">
        <v>4.0</v>
      </c>
      <c r="B500" s="11" t="s">
        <v>543</v>
      </c>
      <c r="C500" s="13">
        <v>1.0</v>
      </c>
      <c r="D500" s="11" t="s">
        <v>544</v>
      </c>
      <c r="E500" s="10">
        <v>3.0</v>
      </c>
      <c r="F500" s="11" t="s">
        <v>578</v>
      </c>
      <c r="G500" s="10">
        <v>3.0</v>
      </c>
      <c r="H500" s="11" t="s">
        <v>589</v>
      </c>
      <c r="I500" s="22" t="s">
        <v>590</v>
      </c>
      <c r="J500" s="10">
        <v>1.0</v>
      </c>
      <c r="K500" s="11" t="s">
        <v>591</v>
      </c>
      <c r="L500" s="22"/>
    </row>
    <row r="501">
      <c r="A501" s="10">
        <v>4.0</v>
      </c>
      <c r="B501" s="11" t="s">
        <v>543</v>
      </c>
      <c r="C501" s="13">
        <v>1.0</v>
      </c>
      <c r="D501" s="11" t="s">
        <v>544</v>
      </c>
      <c r="E501" s="10">
        <v>3.0</v>
      </c>
      <c r="F501" s="11" t="s">
        <v>578</v>
      </c>
      <c r="G501" s="10">
        <v>3.0</v>
      </c>
      <c r="H501" s="11" t="s">
        <v>589</v>
      </c>
      <c r="I501" s="22" t="s">
        <v>590</v>
      </c>
      <c r="J501" s="10">
        <v>2.0</v>
      </c>
      <c r="K501" s="11" t="s">
        <v>592</v>
      </c>
      <c r="L501" s="22"/>
    </row>
    <row r="502">
      <c r="A502" s="10">
        <v>4.0</v>
      </c>
      <c r="B502" s="11" t="s">
        <v>543</v>
      </c>
      <c r="C502" s="13">
        <v>1.0</v>
      </c>
      <c r="D502" s="11" t="s">
        <v>544</v>
      </c>
      <c r="E502" s="10">
        <v>3.0</v>
      </c>
      <c r="F502" s="11" t="s">
        <v>578</v>
      </c>
      <c r="G502" s="10">
        <v>3.0</v>
      </c>
      <c r="H502" s="11" t="s">
        <v>589</v>
      </c>
      <c r="I502" s="22" t="s">
        <v>590</v>
      </c>
      <c r="J502" s="10">
        <v>3.0</v>
      </c>
      <c r="K502" s="11" t="s">
        <v>593</v>
      </c>
      <c r="L502" s="22"/>
    </row>
    <row r="503">
      <c r="A503" s="10">
        <v>4.0</v>
      </c>
      <c r="B503" s="11" t="s">
        <v>543</v>
      </c>
      <c r="C503" s="13">
        <v>1.0</v>
      </c>
      <c r="D503" s="11" t="s">
        <v>544</v>
      </c>
      <c r="E503" s="10">
        <v>3.0</v>
      </c>
      <c r="F503" s="11" t="s">
        <v>578</v>
      </c>
      <c r="G503" s="10">
        <v>3.0</v>
      </c>
      <c r="H503" s="11" t="s">
        <v>589</v>
      </c>
      <c r="I503" s="22" t="s">
        <v>590</v>
      </c>
      <c r="J503" s="10">
        <v>4.0</v>
      </c>
      <c r="K503" s="11" t="s">
        <v>594</v>
      </c>
      <c r="L503" s="22"/>
    </row>
    <row r="504">
      <c r="A504" s="10">
        <v>4.0</v>
      </c>
      <c r="B504" s="11" t="s">
        <v>543</v>
      </c>
      <c r="C504" s="13">
        <v>1.0</v>
      </c>
      <c r="D504" s="11" t="s">
        <v>544</v>
      </c>
      <c r="E504" s="10">
        <v>3.0</v>
      </c>
      <c r="F504" s="11" t="s">
        <v>578</v>
      </c>
      <c r="G504" s="10">
        <v>3.0</v>
      </c>
      <c r="H504" s="11" t="s">
        <v>589</v>
      </c>
      <c r="I504" s="22" t="s">
        <v>590</v>
      </c>
      <c r="J504" s="10">
        <v>5.0</v>
      </c>
      <c r="K504" s="11" t="s">
        <v>595</v>
      </c>
      <c r="L504" s="22"/>
    </row>
    <row r="505">
      <c r="A505" s="10">
        <v>4.0</v>
      </c>
      <c r="B505" s="11" t="s">
        <v>543</v>
      </c>
      <c r="C505" s="13">
        <v>1.0</v>
      </c>
      <c r="D505" s="11" t="s">
        <v>544</v>
      </c>
      <c r="E505" s="10">
        <v>4.0</v>
      </c>
      <c r="F505" s="11" t="s">
        <v>596</v>
      </c>
      <c r="G505" s="10">
        <v>1.0</v>
      </c>
      <c r="H505" s="11" t="s">
        <v>597</v>
      </c>
      <c r="I505" s="22" t="s">
        <v>598</v>
      </c>
      <c r="J505" s="10">
        <v>1.0</v>
      </c>
      <c r="K505" s="11" t="s">
        <v>599</v>
      </c>
      <c r="L505" s="22"/>
    </row>
    <row r="506">
      <c r="A506" s="10">
        <v>4.0</v>
      </c>
      <c r="B506" s="11" t="s">
        <v>543</v>
      </c>
      <c r="C506" s="13">
        <v>1.0</v>
      </c>
      <c r="D506" s="11" t="s">
        <v>544</v>
      </c>
      <c r="E506" s="10">
        <v>4.0</v>
      </c>
      <c r="F506" s="11" t="s">
        <v>596</v>
      </c>
      <c r="G506" s="10">
        <v>1.0</v>
      </c>
      <c r="H506" s="11" t="s">
        <v>597</v>
      </c>
      <c r="I506" s="22" t="s">
        <v>598</v>
      </c>
      <c r="J506" s="10">
        <v>2.0</v>
      </c>
      <c r="K506" s="11" t="s">
        <v>600</v>
      </c>
      <c r="L506" s="22"/>
    </row>
    <row r="507">
      <c r="A507" s="10">
        <v>4.0</v>
      </c>
      <c r="B507" s="11" t="s">
        <v>543</v>
      </c>
      <c r="C507" s="13">
        <v>1.0</v>
      </c>
      <c r="D507" s="11" t="s">
        <v>544</v>
      </c>
      <c r="E507" s="10">
        <v>4.0</v>
      </c>
      <c r="F507" s="11" t="s">
        <v>596</v>
      </c>
      <c r="G507" s="10">
        <v>2.0</v>
      </c>
      <c r="H507" s="11" t="s">
        <v>601</v>
      </c>
      <c r="I507" s="22" t="s">
        <v>602</v>
      </c>
      <c r="J507" s="10">
        <v>1.0</v>
      </c>
      <c r="K507" s="11" t="s">
        <v>603</v>
      </c>
      <c r="L507" s="22"/>
    </row>
    <row r="508">
      <c r="A508" s="10">
        <v>4.0</v>
      </c>
      <c r="B508" s="11" t="s">
        <v>543</v>
      </c>
      <c r="C508" s="13">
        <v>1.0</v>
      </c>
      <c r="D508" s="11" t="s">
        <v>544</v>
      </c>
      <c r="E508" s="10">
        <v>4.0</v>
      </c>
      <c r="F508" s="11" t="s">
        <v>596</v>
      </c>
      <c r="G508" s="10">
        <v>2.0</v>
      </c>
      <c r="H508" s="11" t="s">
        <v>601</v>
      </c>
      <c r="I508" s="22" t="s">
        <v>602</v>
      </c>
      <c r="J508" s="10">
        <v>2.0</v>
      </c>
      <c r="K508" s="11" t="s">
        <v>604</v>
      </c>
      <c r="L508" s="22"/>
    </row>
    <row r="509">
      <c r="A509" s="10">
        <v>4.0</v>
      </c>
      <c r="B509" s="11" t="s">
        <v>543</v>
      </c>
      <c r="C509" s="13">
        <v>1.0</v>
      </c>
      <c r="D509" s="11" t="s">
        <v>544</v>
      </c>
      <c r="E509" s="10">
        <v>4.0</v>
      </c>
      <c r="F509" s="11" t="s">
        <v>596</v>
      </c>
      <c r="G509" s="10">
        <v>2.0</v>
      </c>
      <c r="H509" s="11" t="s">
        <v>601</v>
      </c>
      <c r="I509" s="22" t="s">
        <v>602</v>
      </c>
      <c r="J509" s="10">
        <v>3.0</v>
      </c>
      <c r="K509" s="11" t="s">
        <v>605</v>
      </c>
      <c r="L509" s="22"/>
    </row>
    <row r="510">
      <c r="A510" s="10">
        <v>4.0</v>
      </c>
      <c r="B510" s="11" t="s">
        <v>543</v>
      </c>
      <c r="C510" s="13">
        <v>1.0</v>
      </c>
      <c r="D510" s="11" t="s">
        <v>544</v>
      </c>
      <c r="E510" s="10">
        <v>4.0</v>
      </c>
      <c r="F510" s="11" t="s">
        <v>596</v>
      </c>
      <c r="G510" s="10">
        <v>2.0</v>
      </c>
      <c r="H510" s="11" t="s">
        <v>601</v>
      </c>
      <c r="I510" s="22" t="s">
        <v>602</v>
      </c>
      <c r="J510" s="10">
        <v>4.0</v>
      </c>
      <c r="K510" s="11" t="s">
        <v>606</v>
      </c>
      <c r="L510" s="22"/>
    </row>
    <row r="511">
      <c r="A511" s="10">
        <v>4.0</v>
      </c>
      <c r="B511" s="11" t="s">
        <v>543</v>
      </c>
      <c r="C511" s="13">
        <v>1.0</v>
      </c>
      <c r="D511" s="11" t="s">
        <v>544</v>
      </c>
      <c r="E511" s="10">
        <v>4.0</v>
      </c>
      <c r="F511" s="11" t="s">
        <v>596</v>
      </c>
      <c r="G511" s="10">
        <v>2.0</v>
      </c>
      <c r="H511" s="11" t="s">
        <v>601</v>
      </c>
      <c r="I511" s="22" t="s">
        <v>602</v>
      </c>
      <c r="J511" s="10">
        <v>5.0</v>
      </c>
      <c r="K511" s="11" t="s">
        <v>607</v>
      </c>
      <c r="L511" s="22"/>
    </row>
    <row r="512">
      <c r="A512" s="10">
        <v>4.0</v>
      </c>
      <c r="B512" s="11" t="s">
        <v>543</v>
      </c>
      <c r="C512" s="13">
        <v>1.0</v>
      </c>
      <c r="D512" s="11" t="s">
        <v>544</v>
      </c>
      <c r="E512" s="10">
        <v>4.0</v>
      </c>
      <c r="F512" s="11" t="s">
        <v>596</v>
      </c>
      <c r="G512" s="10">
        <v>2.0</v>
      </c>
      <c r="H512" s="11" t="s">
        <v>601</v>
      </c>
      <c r="I512" s="22" t="s">
        <v>602</v>
      </c>
      <c r="J512" s="10">
        <v>6.0</v>
      </c>
      <c r="K512" s="11" t="s">
        <v>608</v>
      </c>
      <c r="L512" s="22"/>
    </row>
    <row r="513">
      <c r="A513" s="10">
        <v>4.0</v>
      </c>
      <c r="B513" s="11" t="s">
        <v>543</v>
      </c>
      <c r="C513" s="13">
        <v>1.0</v>
      </c>
      <c r="D513" s="11" t="s">
        <v>544</v>
      </c>
      <c r="E513" s="10">
        <v>5.0</v>
      </c>
      <c r="F513" s="11" t="s">
        <v>609</v>
      </c>
      <c r="G513" s="10">
        <v>1.0</v>
      </c>
      <c r="H513" s="11" t="s">
        <v>610</v>
      </c>
      <c r="I513" s="22"/>
      <c r="J513" s="10">
        <v>1.0</v>
      </c>
      <c r="K513" s="11" t="s">
        <v>137</v>
      </c>
      <c r="L513" s="22"/>
    </row>
    <row r="514">
      <c r="A514" s="10">
        <v>4.0</v>
      </c>
      <c r="B514" s="11" t="s">
        <v>543</v>
      </c>
      <c r="C514" s="13">
        <v>1.0</v>
      </c>
      <c r="D514" s="11" t="s">
        <v>544</v>
      </c>
      <c r="E514" s="10">
        <v>5.0</v>
      </c>
      <c r="F514" s="11" t="s">
        <v>609</v>
      </c>
      <c r="G514" s="10">
        <v>1.0</v>
      </c>
      <c r="H514" s="11" t="s">
        <v>610</v>
      </c>
      <c r="I514" s="22"/>
      <c r="J514" s="10">
        <v>2.0</v>
      </c>
      <c r="K514" s="11" t="s">
        <v>611</v>
      </c>
      <c r="L514" s="22"/>
    </row>
    <row r="515">
      <c r="A515" s="10">
        <v>4.0</v>
      </c>
      <c r="B515" s="11" t="s">
        <v>543</v>
      </c>
      <c r="C515" s="13">
        <v>1.0</v>
      </c>
      <c r="D515" s="11" t="s">
        <v>544</v>
      </c>
      <c r="E515" s="10">
        <v>5.0</v>
      </c>
      <c r="F515" s="11" t="s">
        <v>609</v>
      </c>
      <c r="G515" s="10">
        <v>2.0</v>
      </c>
      <c r="H515" s="11" t="s">
        <v>612</v>
      </c>
      <c r="I515" s="22" t="s">
        <v>613</v>
      </c>
      <c r="J515" s="10">
        <v>1.0</v>
      </c>
      <c r="K515" s="11" t="s">
        <v>614</v>
      </c>
      <c r="L515" s="22"/>
    </row>
    <row r="516">
      <c r="A516" s="10">
        <v>4.0</v>
      </c>
      <c r="B516" s="11" t="s">
        <v>543</v>
      </c>
      <c r="C516" s="13">
        <v>1.0</v>
      </c>
      <c r="D516" s="11" t="s">
        <v>544</v>
      </c>
      <c r="E516" s="10">
        <v>5.0</v>
      </c>
      <c r="F516" s="11" t="s">
        <v>609</v>
      </c>
      <c r="G516" s="10">
        <v>2.0</v>
      </c>
      <c r="H516" s="11" t="s">
        <v>612</v>
      </c>
      <c r="I516" s="22" t="s">
        <v>613</v>
      </c>
      <c r="J516" s="10">
        <v>2.0</v>
      </c>
      <c r="K516" s="11" t="s">
        <v>615</v>
      </c>
      <c r="L516" s="22"/>
    </row>
    <row r="517">
      <c r="A517" s="10">
        <v>4.0</v>
      </c>
      <c r="B517" s="11" t="s">
        <v>543</v>
      </c>
      <c r="C517" s="13">
        <v>1.0</v>
      </c>
      <c r="D517" s="11" t="s">
        <v>544</v>
      </c>
      <c r="E517" s="10">
        <v>5.0</v>
      </c>
      <c r="F517" s="11" t="s">
        <v>609</v>
      </c>
      <c r="G517" s="10">
        <v>2.0</v>
      </c>
      <c r="H517" s="11" t="s">
        <v>612</v>
      </c>
      <c r="I517" s="22" t="s">
        <v>613</v>
      </c>
      <c r="J517" s="10">
        <v>3.0</v>
      </c>
      <c r="K517" s="11" t="s">
        <v>616</v>
      </c>
      <c r="L517" s="22"/>
    </row>
    <row r="518">
      <c r="A518" s="10">
        <v>4.0</v>
      </c>
      <c r="B518" s="11" t="s">
        <v>543</v>
      </c>
      <c r="C518" s="13">
        <v>1.0</v>
      </c>
      <c r="D518" s="11" t="s">
        <v>544</v>
      </c>
      <c r="E518" s="10">
        <v>5.0</v>
      </c>
      <c r="F518" s="11" t="s">
        <v>609</v>
      </c>
      <c r="G518" s="10">
        <v>3.0</v>
      </c>
      <c r="H518" s="11" t="s">
        <v>617</v>
      </c>
      <c r="I518" s="22"/>
      <c r="J518" s="10">
        <v>1.0</v>
      </c>
      <c r="K518" s="11" t="s">
        <v>618</v>
      </c>
      <c r="L518" s="22"/>
    </row>
    <row r="519">
      <c r="A519" s="10">
        <v>4.0</v>
      </c>
      <c r="B519" s="11" t="s">
        <v>543</v>
      </c>
      <c r="C519" s="13">
        <v>1.0</v>
      </c>
      <c r="D519" s="11" t="s">
        <v>544</v>
      </c>
      <c r="E519" s="10">
        <v>5.0</v>
      </c>
      <c r="F519" s="11" t="s">
        <v>609</v>
      </c>
      <c r="G519" s="10">
        <v>3.0</v>
      </c>
      <c r="H519" s="11" t="s">
        <v>617</v>
      </c>
      <c r="I519" s="22"/>
      <c r="J519" s="10">
        <v>2.0</v>
      </c>
      <c r="K519" s="11" t="s">
        <v>619</v>
      </c>
      <c r="L519" s="22"/>
    </row>
    <row r="520">
      <c r="A520" s="10">
        <v>4.0</v>
      </c>
      <c r="B520" s="11" t="s">
        <v>543</v>
      </c>
      <c r="C520" s="13">
        <v>1.0</v>
      </c>
      <c r="D520" s="11" t="s">
        <v>544</v>
      </c>
      <c r="E520" s="10">
        <v>5.0</v>
      </c>
      <c r="F520" s="11" t="s">
        <v>609</v>
      </c>
      <c r="G520" s="10">
        <v>3.0</v>
      </c>
      <c r="H520" s="11" t="s">
        <v>617</v>
      </c>
      <c r="I520" s="22"/>
      <c r="J520" s="10">
        <v>3.0</v>
      </c>
      <c r="K520" s="11" t="s">
        <v>620</v>
      </c>
      <c r="L520" s="22"/>
    </row>
    <row r="521">
      <c r="A521" s="10">
        <v>4.0</v>
      </c>
      <c r="B521" s="11" t="s">
        <v>543</v>
      </c>
      <c r="C521" s="13">
        <v>1.0</v>
      </c>
      <c r="D521" s="11" t="s">
        <v>544</v>
      </c>
      <c r="E521" s="10">
        <v>5.0</v>
      </c>
      <c r="F521" s="11" t="s">
        <v>609</v>
      </c>
      <c r="G521" s="10">
        <v>3.0</v>
      </c>
      <c r="H521" s="11" t="s">
        <v>617</v>
      </c>
      <c r="I521" s="22"/>
      <c r="J521" s="10">
        <v>4.0</v>
      </c>
      <c r="K521" s="11" t="s">
        <v>292</v>
      </c>
      <c r="L521" s="22"/>
    </row>
    <row r="522">
      <c r="A522" s="10">
        <v>4.0</v>
      </c>
      <c r="B522" s="11" t="s">
        <v>543</v>
      </c>
      <c r="C522" s="13">
        <v>1.0</v>
      </c>
      <c r="D522" s="11" t="s">
        <v>544</v>
      </c>
      <c r="E522" s="10">
        <v>5.0</v>
      </c>
      <c r="F522" s="11" t="s">
        <v>609</v>
      </c>
      <c r="G522" s="10">
        <v>4.0</v>
      </c>
      <c r="H522" s="11" t="s">
        <v>621</v>
      </c>
      <c r="I522" s="22" t="s">
        <v>622</v>
      </c>
      <c r="J522" s="10">
        <v>1.0</v>
      </c>
      <c r="K522" s="11" t="s">
        <v>623</v>
      </c>
      <c r="L522" s="22"/>
    </row>
    <row r="523">
      <c r="A523" s="10">
        <v>4.0</v>
      </c>
      <c r="B523" s="11" t="s">
        <v>543</v>
      </c>
      <c r="C523" s="13">
        <v>1.0</v>
      </c>
      <c r="D523" s="11" t="s">
        <v>544</v>
      </c>
      <c r="E523" s="10">
        <v>5.0</v>
      </c>
      <c r="F523" s="11" t="s">
        <v>609</v>
      </c>
      <c r="G523" s="10">
        <v>4.0</v>
      </c>
      <c r="H523" s="11" t="s">
        <v>621</v>
      </c>
      <c r="I523" s="22" t="s">
        <v>622</v>
      </c>
      <c r="J523" s="10">
        <v>2.0</v>
      </c>
      <c r="K523" s="11" t="s">
        <v>624</v>
      </c>
      <c r="L523" s="22"/>
    </row>
    <row r="524">
      <c r="A524" s="10">
        <v>4.0</v>
      </c>
      <c r="B524" s="11" t="s">
        <v>543</v>
      </c>
      <c r="C524" s="13">
        <v>1.0</v>
      </c>
      <c r="D524" s="11" t="s">
        <v>544</v>
      </c>
      <c r="E524" s="10">
        <v>5.0</v>
      </c>
      <c r="F524" s="11" t="s">
        <v>609</v>
      </c>
      <c r="G524" s="10">
        <v>4.0</v>
      </c>
      <c r="H524" s="11" t="s">
        <v>621</v>
      </c>
      <c r="I524" s="22" t="s">
        <v>622</v>
      </c>
      <c r="J524" s="10">
        <v>3.0</v>
      </c>
      <c r="K524" s="11" t="s">
        <v>625</v>
      </c>
      <c r="L524" s="22"/>
    </row>
    <row r="525">
      <c r="A525" s="10">
        <v>4.0</v>
      </c>
      <c r="B525" s="11" t="s">
        <v>543</v>
      </c>
      <c r="C525" s="13">
        <v>1.0</v>
      </c>
      <c r="D525" s="11" t="s">
        <v>544</v>
      </c>
      <c r="E525" s="10">
        <v>5.0</v>
      </c>
      <c r="F525" s="11" t="s">
        <v>609</v>
      </c>
      <c r="G525" s="10">
        <v>4.0</v>
      </c>
      <c r="H525" s="11" t="s">
        <v>621</v>
      </c>
      <c r="I525" s="22" t="s">
        <v>622</v>
      </c>
      <c r="J525" s="10">
        <v>4.0</v>
      </c>
      <c r="K525" s="11" t="s">
        <v>626</v>
      </c>
      <c r="L525" s="22"/>
    </row>
    <row r="526">
      <c r="A526" s="10">
        <v>4.0</v>
      </c>
      <c r="B526" s="11" t="s">
        <v>543</v>
      </c>
      <c r="C526" s="13">
        <v>1.0</v>
      </c>
      <c r="D526" s="11" t="s">
        <v>544</v>
      </c>
      <c r="E526" s="10">
        <v>5.0</v>
      </c>
      <c r="F526" s="11" t="s">
        <v>609</v>
      </c>
      <c r="G526" s="10">
        <v>4.0</v>
      </c>
      <c r="H526" s="11" t="s">
        <v>621</v>
      </c>
      <c r="I526" s="22" t="s">
        <v>622</v>
      </c>
      <c r="J526" s="10">
        <v>5.0</v>
      </c>
      <c r="K526" s="11" t="s">
        <v>627</v>
      </c>
      <c r="L526" s="22"/>
    </row>
    <row r="527">
      <c r="A527" s="10">
        <v>4.0</v>
      </c>
      <c r="B527" s="11" t="s">
        <v>543</v>
      </c>
      <c r="C527" s="13">
        <v>1.0</v>
      </c>
      <c r="D527" s="11" t="s">
        <v>544</v>
      </c>
      <c r="E527" s="10">
        <v>5.0</v>
      </c>
      <c r="F527" s="11" t="s">
        <v>609</v>
      </c>
      <c r="G527" s="10">
        <v>4.0</v>
      </c>
      <c r="H527" s="11" t="s">
        <v>621</v>
      </c>
      <c r="I527" s="22" t="s">
        <v>622</v>
      </c>
      <c r="J527" s="10">
        <v>6.0</v>
      </c>
      <c r="K527" s="11" t="s">
        <v>304</v>
      </c>
      <c r="L527" s="22"/>
    </row>
    <row r="528">
      <c r="A528" s="10">
        <v>4.0</v>
      </c>
      <c r="B528" s="11" t="s">
        <v>543</v>
      </c>
      <c r="C528" s="13">
        <v>1.0</v>
      </c>
      <c r="D528" s="11" t="s">
        <v>544</v>
      </c>
      <c r="E528" s="10">
        <v>5.0</v>
      </c>
      <c r="F528" s="11" t="s">
        <v>609</v>
      </c>
      <c r="G528" s="10">
        <v>5.0</v>
      </c>
      <c r="H528" s="11" t="s">
        <v>628</v>
      </c>
      <c r="I528" s="22"/>
      <c r="J528" s="10">
        <v>1.0</v>
      </c>
      <c r="K528" s="11" t="s">
        <v>308</v>
      </c>
      <c r="L528" s="22"/>
    </row>
    <row r="529">
      <c r="A529" s="10">
        <v>4.0</v>
      </c>
      <c r="B529" s="11" t="s">
        <v>543</v>
      </c>
      <c r="C529" s="13">
        <v>1.0</v>
      </c>
      <c r="D529" s="11" t="s">
        <v>544</v>
      </c>
      <c r="E529" s="10">
        <v>5.0</v>
      </c>
      <c r="F529" s="11" t="s">
        <v>609</v>
      </c>
      <c r="G529" s="10">
        <v>6.0</v>
      </c>
      <c r="H529" s="11" t="s">
        <v>629</v>
      </c>
      <c r="I529" s="22" t="s">
        <v>630</v>
      </c>
      <c r="J529" s="10">
        <v>1.0</v>
      </c>
      <c r="K529" s="11" t="s">
        <v>631</v>
      </c>
      <c r="L529" s="22"/>
    </row>
    <row r="530">
      <c r="A530" s="10">
        <v>4.0</v>
      </c>
      <c r="B530" s="11" t="s">
        <v>543</v>
      </c>
      <c r="C530" s="13">
        <v>1.0</v>
      </c>
      <c r="D530" s="11" t="s">
        <v>544</v>
      </c>
      <c r="E530" s="10">
        <v>5.0</v>
      </c>
      <c r="F530" s="11" t="s">
        <v>609</v>
      </c>
      <c r="G530" s="10">
        <v>6.0</v>
      </c>
      <c r="H530" s="11" t="s">
        <v>629</v>
      </c>
      <c r="I530" s="22" t="s">
        <v>630</v>
      </c>
      <c r="J530" s="10">
        <v>2.0</v>
      </c>
      <c r="K530" s="11" t="s">
        <v>632</v>
      </c>
      <c r="L530" s="22"/>
    </row>
    <row r="531">
      <c r="A531" s="10">
        <v>4.0</v>
      </c>
      <c r="B531" s="11" t="s">
        <v>543</v>
      </c>
      <c r="C531" s="13">
        <v>1.0</v>
      </c>
      <c r="D531" s="11" t="s">
        <v>544</v>
      </c>
      <c r="E531" s="10">
        <v>5.0</v>
      </c>
      <c r="F531" s="11" t="s">
        <v>609</v>
      </c>
      <c r="G531" s="10">
        <v>7.0</v>
      </c>
      <c r="H531" s="11" t="s">
        <v>633</v>
      </c>
      <c r="I531" s="22" t="s">
        <v>634</v>
      </c>
      <c r="J531" s="10">
        <v>1.0</v>
      </c>
      <c r="K531" s="11" t="s">
        <v>635</v>
      </c>
      <c r="L531" s="22"/>
    </row>
    <row r="532">
      <c r="A532" s="10">
        <v>4.0</v>
      </c>
      <c r="B532" s="11" t="s">
        <v>543</v>
      </c>
      <c r="C532" s="13">
        <v>1.0</v>
      </c>
      <c r="D532" s="11" t="s">
        <v>544</v>
      </c>
      <c r="E532" s="10">
        <v>5.0</v>
      </c>
      <c r="F532" s="11" t="s">
        <v>609</v>
      </c>
      <c r="G532" s="10">
        <v>7.0</v>
      </c>
      <c r="H532" s="11" t="s">
        <v>633</v>
      </c>
      <c r="I532" s="22" t="s">
        <v>634</v>
      </c>
      <c r="J532" s="10">
        <v>2.0</v>
      </c>
      <c r="K532" s="11" t="s">
        <v>636</v>
      </c>
      <c r="L532" s="22"/>
    </row>
    <row r="533">
      <c r="A533" s="10">
        <v>4.0</v>
      </c>
      <c r="B533" s="11" t="s">
        <v>543</v>
      </c>
      <c r="C533" s="13">
        <v>1.0</v>
      </c>
      <c r="D533" s="11" t="s">
        <v>544</v>
      </c>
      <c r="E533" s="10">
        <v>5.0</v>
      </c>
      <c r="F533" s="11" t="s">
        <v>609</v>
      </c>
      <c r="G533" s="10">
        <v>7.0</v>
      </c>
      <c r="H533" s="11" t="s">
        <v>633</v>
      </c>
      <c r="I533" s="22" t="s">
        <v>634</v>
      </c>
      <c r="J533" s="10">
        <v>3.0</v>
      </c>
      <c r="K533" s="11" t="s">
        <v>637</v>
      </c>
      <c r="L533" s="23"/>
    </row>
    <row r="534">
      <c r="A534" s="10">
        <v>4.0</v>
      </c>
      <c r="B534" s="11" t="s">
        <v>543</v>
      </c>
      <c r="C534" s="13">
        <v>1.0</v>
      </c>
      <c r="D534" s="11" t="s">
        <v>544</v>
      </c>
      <c r="E534" s="10">
        <v>5.0</v>
      </c>
      <c r="F534" s="11" t="s">
        <v>609</v>
      </c>
      <c r="G534" s="10">
        <v>7.0</v>
      </c>
      <c r="H534" s="11" t="s">
        <v>633</v>
      </c>
      <c r="I534" s="22" t="s">
        <v>634</v>
      </c>
      <c r="J534" s="10">
        <v>4.0</v>
      </c>
      <c r="K534" s="11" t="s">
        <v>638</v>
      </c>
      <c r="L534" s="22"/>
    </row>
    <row r="535">
      <c r="A535" s="10">
        <v>4.0</v>
      </c>
      <c r="B535" s="11" t="s">
        <v>543</v>
      </c>
      <c r="C535" s="13">
        <v>1.0</v>
      </c>
      <c r="D535" s="11" t="s">
        <v>544</v>
      </c>
      <c r="E535" s="10">
        <v>5.0</v>
      </c>
      <c r="F535" s="11" t="s">
        <v>609</v>
      </c>
      <c r="G535" s="10">
        <v>7.0</v>
      </c>
      <c r="H535" s="11" t="s">
        <v>633</v>
      </c>
      <c r="I535" s="22" t="s">
        <v>634</v>
      </c>
      <c r="J535" s="10">
        <v>5.0</v>
      </c>
      <c r="K535" s="11" t="s">
        <v>639</v>
      </c>
      <c r="L535" s="22"/>
    </row>
    <row r="536">
      <c r="A536" s="10">
        <v>4.0</v>
      </c>
      <c r="B536" s="11" t="s">
        <v>543</v>
      </c>
      <c r="C536" s="13">
        <v>1.0</v>
      </c>
      <c r="D536" s="11" t="s">
        <v>544</v>
      </c>
      <c r="E536" s="10">
        <v>5.0</v>
      </c>
      <c r="F536" s="11" t="s">
        <v>609</v>
      </c>
      <c r="G536" s="10">
        <v>7.0</v>
      </c>
      <c r="H536" s="11" t="s">
        <v>633</v>
      </c>
      <c r="I536" s="22" t="s">
        <v>634</v>
      </c>
      <c r="J536" s="10">
        <v>6.0</v>
      </c>
      <c r="K536" s="11" t="s">
        <v>640</v>
      </c>
      <c r="L536" s="22"/>
    </row>
    <row r="537">
      <c r="A537" s="10">
        <v>4.0</v>
      </c>
      <c r="B537" s="11" t="s">
        <v>543</v>
      </c>
      <c r="C537" s="13">
        <v>1.0</v>
      </c>
      <c r="D537" s="11" t="s">
        <v>544</v>
      </c>
      <c r="E537" s="10">
        <v>5.0</v>
      </c>
      <c r="F537" s="11" t="s">
        <v>609</v>
      </c>
      <c r="G537" s="10">
        <v>7.0</v>
      </c>
      <c r="H537" s="11" t="s">
        <v>633</v>
      </c>
      <c r="I537" s="22" t="s">
        <v>634</v>
      </c>
      <c r="J537" s="10">
        <v>7.0</v>
      </c>
      <c r="K537" s="11" t="s">
        <v>641</v>
      </c>
      <c r="L537" s="23"/>
    </row>
    <row r="538">
      <c r="A538" s="10">
        <v>4.0</v>
      </c>
      <c r="B538" s="11" t="s">
        <v>543</v>
      </c>
      <c r="C538" s="13">
        <v>1.0</v>
      </c>
      <c r="D538" s="11" t="s">
        <v>544</v>
      </c>
      <c r="E538" s="10">
        <v>5.0</v>
      </c>
      <c r="F538" s="11" t="s">
        <v>609</v>
      </c>
      <c r="G538" s="10">
        <v>7.0</v>
      </c>
      <c r="H538" s="11" t="s">
        <v>633</v>
      </c>
      <c r="I538" s="22" t="s">
        <v>634</v>
      </c>
      <c r="J538" s="10">
        <v>8.0</v>
      </c>
      <c r="K538" s="11" t="s">
        <v>642</v>
      </c>
      <c r="L538" s="23"/>
    </row>
    <row r="539">
      <c r="A539" s="10">
        <v>4.0</v>
      </c>
      <c r="B539" s="11" t="s">
        <v>543</v>
      </c>
      <c r="C539" s="13">
        <v>1.0</v>
      </c>
      <c r="D539" s="11" t="s">
        <v>544</v>
      </c>
      <c r="E539" s="10">
        <v>5.0</v>
      </c>
      <c r="F539" s="11" t="s">
        <v>609</v>
      </c>
      <c r="G539" s="10">
        <v>7.0</v>
      </c>
      <c r="H539" s="11" t="s">
        <v>633</v>
      </c>
      <c r="I539" s="22" t="s">
        <v>634</v>
      </c>
      <c r="J539" s="10">
        <v>9.0</v>
      </c>
      <c r="K539" s="11" t="s">
        <v>643</v>
      </c>
      <c r="L539" s="23"/>
    </row>
    <row r="540">
      <c r="A540" s="10">
        <v>4.0</v>
      </c>
      <c r="B540" s="11" t="s">
        <v>543</v>
      </c>
      <c r="C540" s="13">
        <v>1.0</v>
      </c>
      <c r="D540" s="11" t="s">
        <v>544</v>
      </c>
      <c r="E540" s="10">
        <v>5.0</v>
      </c>
      <c r="F540" s="11" t="s">
        <v>609</v>
      </c>
      <c r="G540" s="10">
        <v>7.0</v>
      </c>
      <c r="H540" s="11" t="s">
        <v>633</v>
      </c>
      <c r="I540" s="22" t="s">
        <v>634</v>
      </c>
      <c r="J540" s="10">
        <v>10.0</v>
      </c>
      <c r="K540" s="11" t="s">
        <v>644</v>
      </c>
      <c r="L540" s="22"/>
    </row>
    <row r="541">
      <c r="A541" s="10">
        <v>4.0</v>
      </c>
      <c r="B541" s="11" t="s">
        <v>543</v>
      </c>
      <c r="C541" s="13">
        <v>1.0</v>
      </c>
      <c r="D541" s="11" t="s">
        <v>544</v>
      </c>
      <c r="E541" s="10">
        <v>5.0</v>
      </c>
      <c r="F541" s="11" t="s">
        <v>609</v>
      </c>
      <c r="G541" s="10">
        <v>7.0</v>
      </c>
      <c r="H541" s="11" t="s">
        <v>633</v>
      </c>
      <c r="I541" s="22" t="s">
        <v>634</v>
      </c>
      <c r="J541" s="10">
        <v>11.0</v>
      </c>
      <c r="K541" s="11" t="s">
        <v>645</v>
      </c>
      <c r="L541" s="22"/>
    </row>
    <row r="542">
      <c r="A542" s="10">
        <v>4.0</v>
      </c>
      <c r="B542" s="11" t="s">
        <v>543</v>
      </c>
      <c r="C542" s="13">
        <v>1.0</v>
      </c>
      <c r="D542" s="11" t="s">
        <v>544</v>
      </c>
      <c r="E542" s="10">
        <v>5.0</v>
      </c>
      <c r="F542" s="11" t="s">
        <v>609</v>
      </c>
      <c r="G542" s="10">
        <v>7.0</v>
      </c>
      <c r="H542" s="11" t="s">
        <v>633</v>
      </c>
      <c r="I542" s="22" t="s">
        <v>634</v>
      </c>
      <c r="J542" s="10">
        <v>12.0</v>
      </c>
      <c r="K542" s="11" t="s">
        <v>646</v>
      </c>
      <c r="L542" s="23"/>
    </row>
    <row r="543">
      <c r="A543" s="10">
        <v>4.0</v>
      </c>
      <c r="B543" s="11" t="s">
        <v>543</v>
      </c>
      <c r="C543" s="13">
        <v>1.0</v>
      </c>
      <c r="D543" s="11" t="s">
        <v>544</v>
      </c>
      <c r="E543" s="10">
        <v>5.0</v>
      </c>
      <c r="F543" s="11" t="s">
        <v>609</v>
      </c>
      <c r="G543" s="10">
        <v>7.0</v>
      </c>
      <c r="H543" s="11" t="s">
        <v>633</v>
      </c>
      <c r="I543" s="22" t="s">
        <v>634</v>
      </c>
      <c r="J543" s="10">
        <v>13.0</v>
      </c>
      <c r="K543" s="11" t="s">
        <v>647</v>
      </c>
      <c r="L543" s="22"/>
    </row>
    <row r="544">
      <c r="A544" s="10">
        <v>4.0</v>
      </c>
      <c r="B544" s="11" t="s">
        <v>543</v>
      </c>
      <c r="C544" s="13">
        <v>1.0</v>
      </c>
      <c r="D544" s="11" t="s">
        <v>544</v>
      </c>
      <c r="E544" s="10">
        <v>5.0</v>
      </c>
      <c r="F544" s="11" t="s">
        <v>609</v>
      </c>
      <c r="G544" s="10">
        <v>7.0</v>
      </c>
      <c r="H544" s="11" t="s">
        <v>633</v>
      </c>
      <c r="I544" s="22" t="s">
        <v>634</v>
      </c>
      <c r="J544" s="10">
        <v>14.0</v>
      </c>
      <c r="K544" s="11" t="s">
        <v>648</v>
      </c>
      <c r="L544" s="23"/>
    </row>
    <row r="545">
      <c r="A545" s="10">
        <v>4.0</v>
      </c>
      <c r="B545" s="11" t="s">
        <v>543</v>
      </c>
      <c r="C545" s="13">
        <v>1.0</v>
      </c>
      <c r="D545" s="11" t="s">
        <v>544</v>
      </c>
      <c r="E545" s="10">
        <v>5.0</v>
      </c>
      <c r="F545" s="11" t="s">
        <v>609</v>
      </c>
      <c r="G545" s="10">
        <v>7.0</v>
      </c>
      <c r="H545" s="11" t="s">
        <v>633</v>
      </c>
      <c r="I545" s="22" t="s">
        <v>634</v>
      </c>
      <c r="J545" s="10">
        <v>15.0</v>
      </c>
      <c r="K545" s="11" t="s">
        <v>649</v>
      </c>
      <c r="L545" s="23"/>
    </row>
    <row r="546">
      <c r="A546" s="10">
        <v>4.0</v>
      </c>
      <c r="B546" s="11" t="s">
        <v>543</v>
      </c>
      <c r="C546" s="13">
        <v>1.0</v>
      </c>
      <c r="D546" s="11" t="s">
        <v>544</v>
      </c>
      <c r="E546" s="10">
        <v>5.0</v>
      </c>
      <c r="F546" s="11" t="s">
        <v>609</v>
      </c>
      <c r="G546" s="10">
        <v>7.0</v>
      </c>
      <c r="H546" s="11" t="s">
        <v>633</v>
      </c>
      <c r="I546" s="22" t="s">
        <v>634</v>
      </c>
      <c r="J546" s="10">
        <v>16.0</v>
      </c>
      <c r="K546" s="11" t="s">
        <v>650</v>
      </c>
      <c r="L546" s="23"/>
    </row>
    <row r="547">
      <c r="A547" s="10">
        <v>4.0</v>
      </c>
      <c r="B547" s="11" t="s">
        <v>543</v>
      </c>
      <c r="C547" s="13">
        <v>1.0</v>
      </c>
      <c r="D547" s="11" t="s">
        <v>544</v>
      </c>
      <c r="E547" s="10">
        <v>5.0</v>
      </c>
      <c r="F547" s="11" t="s">
        <v>609</v>
      </c>
      <c r="G547" s="10">
        <v>7.0</v>
      </c>
      <c r="H547" s="11" t="s">
        <v>633</v>
      </c>
      <c r="I547" s="22" t="s">
        <v>634</v>
      </c>
      <c r="J547" s="10">
        <v>17.0</v>
      </c>
      <c r="K547" s="11" t="s">
        <v>323</v>
      </c>
      <c r="L547" s="22"/>
    </row>
    <row r="548">
      <c r="A548" s="10">
        <v>4.0</v>
      </c>
      <c r="B548" s="11" t="s">
        <v>543</v>
      </c>
      <c r="C548" s="13">
        <v>1.0</v>
      </c>
      <c r="D548" s="11" t="s">
        <v>544</v>
      </c>
      <c r="E548" s="10">
        <v>5.0</v>
      </c>
      <c r="F548" s="11" t="s">
        <v>609</v>
      </c>
      <c r="G548" s="10">
        <v>7.0</v>
      </c>
      <c r="H548" s="11" t="s">
        <v>633</v>
      </c>
      <c r="I548" s="22" t="s">
        <v>634</v>
      </c>
      <c r="J548" s="10">
        <v>18.0</v>
      </c>
      <c r="K548" s="11" t="s">
        <v>324</v>
      </c>
      <c r="L548" s="22"/>
    </row>
    <row r="549">
      <c r="A549" s="10">
        <v>4.0</v>
      </c>
      <c r="B549" s="11" t="s">
        <v>543</v>
      </c>
      <c r="C549" s="13">
        <v>1.0</v>
      </c>
      <c r="D549" s="11" t="s">
        <v>544</v>
      </c>
      <c r="E549" s="10">
        <v>5.0</v>
      </c>
      <c r="F549" s="11" t="s">
        <v>609</v>
      </c>
      <c r="G549" s="10">
        <v>8.0</v>
      </c>
      <c r="H549" s="11" t="s">
        <v>651</v>
      </c>
      <c r="I549" s="22" t="s">
        <v>652</v>
      </c>
      <c r="J549" s="10">
        <v>1.0</v>
      </c>
      <c r="K549" s="11" t="s">
        <v>653</v>
      </c>
      <c r="L549" s="22"/>
    </row>
    <row r="550">
      <c r="A550" s="10">
        <v>4.0</v>
      </c>
      <c r="B550" s="11" t="s">
        <v>543</v>
      </c>
      <c r="C550" s="13">
        <v>1.0</v>
      </c>
      <c r="D550" s="11" t="s">
        <v>544</v>
      </c>
      <c r="E550" s="10">
        <v>5.0</v>
      </c>
      <c r="F550" s="11" t="s">
        <v>609</v>
      </c>
      <c r="G550" s="10">
        <v>8.0</v>
      </c>
      <c r="H550" s="11" t="s">
        <v>651</v>
      </c>
      <c r="I550" s="22" t="s">
        <v>652</v>
      </c>
      <c r="J550" s="10">
        <v>2.0</v>
      </c>
      <c r="K550" s="11" t="s">
        <v>654</v>
      </c>
      <c r="L550" s="22"/>
    </row>
    <row r="551">
      <c r="A551" s="10">
        <v>4.0</v>
      </c>
      <c r="B551" s="11" t="s">
        <v>543</v>
      </c>
      <c r="C551" s="13">
        <v>1.0</v>
      </c>
      <c r="D551" s="11" t="s">
        <v>544</v>
      </c>
      <c r="E551" s="10">
        <v>5.0</v>
      </c>
      <c r="F551" s="11" t="s">
        <v>609</v>
      </c>
      <c r="G551" s="10">
        <v>8.0</v>
      </c>
      <c r="H551" s="11" t="s">
        <v>651</v>
      </c>
      <c r="I551" s="22" t="s">
        <v>652</v>
      </c>
      <c r="J551" s="10">
        <v>3.0</v>
      </c>
      <c r="K551" s="11" t="s">
        <v>655</v>
      </c>
      <c r="L551" s="22"/>
    </row>
    <row r="552">
      <c r="A552" s="10">
        <v>4.0</v>
      </c>
      <c r="B552" s="11" t="s">
        <v>543</v>
      </c>
      <c r="C552" s="13">
        <v>1.0</v>
      </c>
      <c r="D552" s="11" t="s">
        <v>544</v>
      </c>
      <c r="E552" s="10">
        <v>5.0</v>
      </c>
      <c r="F552" s="11" t="s">
        <v>609</v>
      </c>
      <c r="G552" s="10">
        <v>8.0</v>
      </c>
      <c r="H552" s="11" t="s">
        <v>651</v>
      </c>
      <c r="I552" s="22" t="s">
        <v>652</v>
      </c>
      <c r="J552" s="10">
        <v>4.0</v>
      </c>
      <c r="K552" s="11" t="s">
        <v>656</v>
      </c>
      <c r="L552" s="22"/>
    </row>
    <row r="553">
      <c r="A553" s="10">
        <v>4.0</v>
      </c>
      <c r="B553" s="11" t="s">
        <v>543</v>
      </c>
      <c r="C553" s="13">
        <v>1.0</v>
      </c>
      <c r="D553" s="11" t="s">
        <v>544</v>
      </c>
      <c r="E553" s="10">
        <v>5.0</v>
      </c>
      <c r="F553" s="11" t="s">
        <v>609</v>
      </c>
      <c r="G553" s="10">
        <v>8.0</v>
      </c>
      <c r="H553" s="11" t="s">
        <v>651</v>
      </c>
      <c r="I553" s="22" t="s">
        <v>652</v>
      </c>
      <c r="J553" s="10">
        <v>5.0</v>
      </c>
      <c r="K553" s="11" t="s">
        <v>518</v>
      </c>
      <c r="L553" s="22"/>
    </row>
    <row r="554">
      <c r="A554" s="10">
        <v>4.0</v>
      </c>
      <c r="B554" s="11" t="s">
        <v>543</v>
      </c>
      <c r="C554" s="13">
        <v>1.0</v>
      </c>
      <c r="D554" s="11" t="s">
        <v>544</v>
      </c>
      <c r="E554" s="10">
        <v>5.0</v>
      </c>
      <c r="F554" s="11" t="s">
        <v>609</v>
      </c>
      <c r="G554" s="10">
        <v>9.0</v>
      </c>
      <c r="H554" s="11" t="s">
        <v>657</v>
      </c>
      <c r="I554" s="22"/>
      <c r="J554" s="10">
        <v>1.0</v>
      </c>
      <c r="K554" s="11" t="s">
        <v>658</v>
      </c>
      <c r="L554" s="22"/>
    </row>
    <row r="555">
      <c r="A555" s="10">
        <v>4.0</v>
      </c>
      <c r="B555" s="11" t="s">
        <v>543</v>
      </c>
      <c r="C555" s="13">
        <v>1.0</v>
      </c>
      <c r="D555" s="11" t="s">
        <v>544</v>
      </c>
      <c r="E555" s="10">
        <v>5.0</v>
      </c>
      <c r="F555" s="11" t="s">
        <v>609</v>
      </c>
      <c r="G555" s="10">
        <v>9.0</v>
      </c>
      <c r="H555" s="11" t="s">
        <v>657</v>
      </c>
      <c r="I555" s="22"/>
      <c r="J555" s="10">
        <v>2.0</v>
      </c>
      <c r="K555" s="11" t="s">
        <v>659</v>
      </c>
      <c r="L555" s="22"/>
    </row>
    <row r="556">
      <c r="A556" s="10">
        <v>4.0</v>
      </c>
      <c r="B556" s="11" t="s">
        <v>543</v>
      </c>
      <c r="C556" s="13">
        <v>1.0</v>
      </c>
      <c r="D556" s="11" t="s">
        <v>544</v>
      </c>
      <c r="E556" s="10">
        <v>5.0</v>
      </c>
      <c r="F556" s="11" t="s">
        <v>609</v>
      </c>
      <c r="G556" s="10">
        <v>10.0</v>
      </c>
      <c r="H556" s="11" t="s">
        <v>660</v>
      </c>
      <c r="I556" s="22"/>
      <c r="J556" s="10">
        <v>1.0</v>
      </c>
      <c r="K556" s="11" t="s">
        <v>661</v>
      </c>
      <c r="L556" s="22"/>
    </row>
    <row r="557">
      <c r="A557" s="10">
        <v>4.0</v>
      </c>
      <c r="B557" s="11" t="s">
        <v>543</v>
      </c>
      <c r="C557" s="13">
        <v>1.0</v>
      </c>
      <c r="D557" s="11" t="s">
        <v>544</v>
      </c>
      <c r="E557" s="10">
        <v>5.0</v>
      </c>
      <c r="F557" s="11" t="s">
        <v>609</v>
      </c>
      <c r="G557" s="10">
        <v>10.0</v>
      </c>
      <c r="H557" s="11" t="s">
        <v>660</v>
      </c>
      <c r="I557" s="22"/>
      <c r="J557" s="10">
        <v>2.0</v>
      </c>
      <c r="K557" s="11" t="s">
        <v>662</v>
      </c>
      <c r="L557" s="22"/>
    </row>
    <row r="558">
      <c r="A558" s="10">
        <v>4.0</v>
      </c>
      <c r="B558" s="11" t="s">
        <v>543</v>
      </c>
      <c r="C558" s="13">
        <v>1.0</v>
      </c>
      <c r="D558" s="11" t="s">
        <v>544</v>
      </c>
      <c r="E558" s="10">
        <v>5.0</v>
      </c>
      <c r="F558" s="11" t="s">
        <v>609</v>
      </c>
      <c r="G558" s="10">
        <v>11.0</v>
      </c>
      <c r="H558" s="11" t="s">
        <v>663</v>
      </c>
      <c r="I558" s="22" t="s">
        <v>664</v>
      </c>
      <c r="J558" s="10">
        <v>1.0</v>
      </c>
      <c r="K558" s="11" t="s">
        <v>665</v>
      </c>
      <c r="L558" s="22"/>
    </row>
    <row r="559">
      <c r="A559" s="10">
        <v>4.0</v>
      </c>
      <c r="B559" s="11" t="s">
        <v>543</v>
      </c>
      <c r="C559" s="13">
        <v>1.0</v>
      </c>
      <c r="D559" s="11" t="s">
        <v>544</v>
      </c>
      <c r="E559" s="10">
        <v>5.0</v>
      </c>
      <c r="F559" s="11" t="s">
        <v>609</v>
      </c>
      <c r="G559" s="10">
        <v>11.0</v>
      </c>
      <c r="H559" s="11" t="s">
        <v>663</v>
      </c>
      <c r="I559" s="22" t="s">
        <v>664</v>
      </c>
      <c r="J559" s="10">
        <v>2.0</v>
      </c>
      <c r="K559" s="11" t="s">
        <v>666</v>
      </c>
      <c r="L559" s="22"/>
    </row>
    <row r="560">
      <c r="A560" s="10">
        <v>4.0</v>
      </c>
      <c r="B560" s="11" t="s">
        <v>543</v>
      </c>
      <c r="C560" s="13">
        <v>1.0</v>
      </c>
      <c r="D560" s="11" t="s">
        <v>544</v>
      </c>
      <c r="E560" s="10">
        <v>5.0</v>
      </c>
      <c r="F560" s="11" t="s">
        <v>609</v>
      </c>
      <c r="G560" s="10">
        <v>11.0</v>
      </c>
      <c r="H560" s="11" t="s">
        <v>663</v>
      </c>
      <c r="I560" s="22" t="s">
        <v>664</v>
      </c>
      <c r="J560" s="10">
        <v>3.0</v>
      </c>
      <c r="K560" s="11" t="s">
        <v>355</v>
      </c>
      <c r="L560" s="22"/>
    </row>
    <row r="561">
      <c r="A561" s="10">
        <v>4.0</v>
      </c>
      <c r="B561" s="11" t="s">
        <v>543</v>
      </c>
      <c r="C561" s="13">
        <v>1.0</v>
      </c>
      <c r="D561" s="11" t="s">
        <v>544</v>
      </c>
      <c r="E561" s="10">
        <v>5.0</v>
      </c>
      <c r="F561" s="11" t="s">
        <v>609</v>
      </c>
      <c r="G561" s="10">
        <v>11.0</v>
      </c>
      <c r="H561" s="11" t="s">
        <v>663</v>
      </c>
      <c r="I561" s="22" t="s">
        <v>664</v>
      </c>
      <c r="J561" s="10">
        <v>4.0</v>
      </c>
      <c r="K561" s="11" t="s">
        <v>667</v>
      </c>
      <c r="L561" s="22"/>
    </row>
    <row r="562">
      <c r="A562" s="10">
        <v>4.0</v>
      </c>
      <c r="B562" s="11" t="s">
        <v>543</v>
      </c>
      <c r="C562" s="13">
        <v>1.0</v>
      </c>
      <c r="D562" s="11" t="s">
        <v>544</v>
      </c>
      <c r="E562" s="10">
        <v>5.0</v>
      </c>
      <c r="F562" s="11" t="s">
        <v>609</v>
      </c>
      <c r="G562" s="10">
        <v>12.0</v>
      </c>
      <c r="H562" s="11" t="s">
        <v>668</v>
      </c>
      <c r="I562" s="22" t="s">
        <v>669</v>
      </c>
      <c r="J562" s="10">
        <v>1.0</v>
      </c>
      <c r="K562" s="11" t="s">
        <v>670</v>
      </c>
      <c r="L562" s="22"/>
    </row>
    <row r="563">
      <c r="A563" s="10">
        <v>4.0</v>
      </c>
      <c r="B563" s="11" t="s">
        <v>543</v>
      </c>
      <c r="C563" s="13">
        <v>1.0</v>
      </c>
      <c r="D563" s="11" t="s">
        <v>544</v>
      </c>
      <c r="E563" s="10">
        <v>5.0</v>
      </c>
      <c r="F563" s="11" t="s">
        <v>609</v>
      </c>
      <c r="G563" s="10">
        <v>12.0</v>
      </c>
      <c r="H563" s="11" t="s">
        <v>668</v>
      </c>
      <c r="I563" s="22" t="s">
        <v>669</v>
      </c>
      <c r="J563" s="10">
        <v>2.0</v>
      </c>
      <c r="K563" s="11" t="s">
        <v>671</v>
      </c>
      <c r="L563" s="22"/>
    </row>
    <row r="564">
      <c r="A564" s="10">
        <v>4.0</v>
      </c>
      <c r="B564" s="11" t="s">
        <v>543</v>
      </c>
      <c r="C564" s="13">
        <v>1.0</v>
      </c>
      <c r="D564" s="11" t="s">
        <v>544</v>
      </c>
      <c r="E564" s="10">
        <v>5.0</v>
      </c>
      <c r="F564" s="11" t="s">
        <v>609</v>
      </c>
      <c r="G564" s="10">
        <v>12.0</v>
      </c>
      <c r="H564" s="11" t="s">
        <v>668</v>
      </c>
      <c r="I564" s="22" t="s">
        <v>669</v>
      </c>
      <c r="J564" s="10">
        <v>3.0</v>
      </c>
      <c r="K564" s="11" t="s">
        <v>672</v>
      </c>
      <c r="L564" s="22"/>
    </row>
    <row r="565">
      <c r="A565" s="10">
        <v>4.0</v>
      </c>
      <c r="B565" s="11" t="s">
        <v>543</v>
      </c>
      <c r="C565" s="13">
        <v>1.0</v>
      </c>
      <c r="D565" s="11" t="s">
        <v>544</v>
      </c>
      <c r="E565" s="10">
        <v>5.0</v>
      </c>
      <c r="F565" s="11" t="s">
        <v>609</v>
      </c>
      <c r="G565" s="10">
        <v>12.0</v>
      </c>
      <c r="H565" s="11" t="s">
        <v>668</v>
      </c>
      <c r="I565" s="22" t="s">
        <v>669</v>
      </c>
      <c r="J565" s="10">
        <v>4.0</v>
      </c>
      <c r="K565" s="11" t="s">
        <v>673</v>
      </c>
      <c r="L565" s="22"/>
    </row>
    <row r="566">
      <c r="A566" s="10">
        <v>4.0</v>
      </c>
      <c r="B566" s="11" t="s">
        <v>543</v>
      </c>
      <c r="C566" s="13">
        <v>1.0</v>
      </c>
      <c r="D566" s="11" t="s">
        <v>544</v>
      </c>
      <c r="E566" s="10">
        <v>5.0</v>
      </c>
      <c r="F566" s="11" t="s">
        <v>609</v>
      </c>
      <c r="G566" s="10">
        <v>12.0</v>
      </c>
      <c r="H566" s="11" t="s">
        <v>668</v>
      </c>
      <c r="I566" s="22" t="s">
        <v>669</v>
      </c>
      <c r="J566" s="10">
        <v>5.0</v>
      </c>
      <c r="K566" s="11" t="s">
        <v>360</v>
      </c>
      <c r="L566" s="22"/>
    </row>
    <row r="567">
      <c r="A567" s="10">
        <v>4.0</v>
      </c>
      <c r="B567" s="11" t="s">
        <v>543</v>
      </c>
      <c r="C567" s="13">
        <v>1.0</v>
      </c>
      <c r="D567" s="11" t="s">
        <v>544</v>
      </c>
      <c r="E567" s="10">
        <v>6.0</v>
      </c>
      <c r="F567" s="11" t="s">
        <v>674</v>
      </c>
      <c r="G567" s="10">
        <v>1.0</v>
      </c>
      <c r="H567" s="11" t="s">
        <v>675</v>
      </c>
      <c r="I567" s="22" t="s">
        <v>676</v>
      </c>
      <c r="J567" s="10">
        <v>1.0</v>
      </c>
      <c r="K567" s="11" t="s">
        <v>677</v>
      </c>
      <c r="L567" s="22"/>
    </row>
    <row r="568">
      <c r="A568" s="10">
        <v>4.0</v>
      </c>
      <c r="B568" s="11" t="s">
        <v>543</v>
      </c>
      <c r="C568" s="13">
        <v>1.0</v>
      </c>
      <c r="D568" s="11" t="s">
        <v>544</v>
      </c>
      <c r="E568" s="10">
        <v>6.0</v>
      </c>
      <c r="F568" s="11" t="s">
        <v>674</v>
      </c>
      <c r="G568" s="10">
        <v>1.0</v>
      </c>
      <c r="H568" s="11" t="s">
        <v>675</v>
      </c>
      <c r="I568" s="22" t="s">
        <v>676</v>
      </c>
      <c r="J568" s="10">
        <v>2.0</v>
      </c>
      <c r="K568" s="11" t="s">
        <v>678</v>
      </c>
      <c r="L568" s="22"/>
    </row>
    <row r="569">
      <c r="A569" s="10">
        <v>4.0</v>
      </c>
      <c r="B569" s="11" t="s">
        <v>543</v>
      </c>
      <c r="C569" s="13">
        <v>1.0</v>
      </c>
      <c r="D569" s="11" t="s">
        <v>544</v>
      </c>
      <c r="E569" s="10">
        <v>6.0</v>
      </c>
      <c r="F569" s="11" t="s">
        <v>674</v>
      </c>
      <c r="G569" s="10">
        <v>1.0</v>
      </c>
      <c r="H569" s="11" t="s">
        <v>675</v>
      </c>
      <c r="I569" s="22" t="s">
        <v>676</v>
      </c>
      <c r="J569" s="10">
        <v>3.0</v>
      </c>
      <c r="K569" s="11" t="s">
        <v>679</v>
      </c>
      <c r="L569" s="22"/>
    </row>
    <row r="570">
      <c r="A570" s="10">
        <v>4.0</v>
      </c>
      <c r="B570" s="11" t="s">
        <v>543</v>
      </c>
      <c r="C570" s="13">
        <v>1.0</v>
      </c>
      <c r="D570" s="11" t="s">
        <v>544</v>
      </c>
      <c r="E570" s="10">
        <v>6.0</v>
      </c>
      <c r="F570" s="11" t="s">
        <v>674</v>
      </c>
      <c r="G570" s="10">
        <v>1.0</v>
      </c>
      <c r="H570" s="11" t="s">
        <v>675</v>
      </c>
      <c r="I570" s="22" t="s">
        <v>676</v>
      </c>
      <c r="J570" s="10">
        <v>4.0</v>
      </c>
      <c r="K570" s="11" t="s">
        <v>680</v>
      </c>
      <c r="L570" s="22"/>
    </row>
    <row r="571">
      <c r="A571" s="10">
        <v>4.0</v>
      </c>
      <c r="B571" s="11" t="s">
        <v>543</v>
      </c>
      <c r="C571" s="13">
        <v>1.0</v>
      </c>
      <c r="D571" s="11" t="s">
        <v>544</v>
      </c>
      <c r="E571" s="10">
        <v>6.0</v>
      </c>
      <c r="F571" s="11" t="s">
        <v>674</v>
      </c>
      <c r="G571" s="10">
        <v>2.0</v>
      </c>
      <c r="H571" s="11" t="s">
        <v>681</v>
      </c>
      <c r="I571" s="22" t="s">
        <v>682</v>
      </c>
      <c r="J571" s="10">
        <v>1.0</v>
      </c>
      <c r="K571" s="11" t="s">
        <v>683</v>
      </c>
      <c r="L571" s="22"/>
    </row>
    <row r="572">
      <c r="A572" s="10">
        <v>4.0</v>
      </c>
      <c r="B572" s="11" t="s">
        <v>543</v>
      </c>
      <c r="C572" s="13">
        <v>1.0</v>
      </c>
      <c r="D572" s="11" t="s">
        <v>544</v>
      </c>
      <c r="E572" s="10">
        <v>6.0</v>
      </c>
      <c r="F572" s="11" t="s">
        <v>674</v>
      </c>
      <c r="G572" s="10">
        <v>2.0</v>
      </c>
      <c r="H572" s="11" t="s">
        <v>681</v>
      </c>
      <c r="I572" s="22" t="s">
        <v>682</v>
      </c>
      <c r="J572" s="10">
        <v>2.0</v>
      </c>
      <c r="K572" s="11" t="s">
        <v>684</v>
      </c>
      <c r="L572" s="22"/>
    </row>
    <row r="573">
      <c r="A573" s="10">
        <v>4.0</v>
      </c>
      <c r="B573" s="11" t="s">
        <v>543</v>
      </c>
      <c r="C573" s="13">
        <v>1.0</v>
      </c>
      <c r="D573" s="11" t="s">
        <v>544</v>
      </c>
      <c r="E573" s="10">
        <v>6.0</v>
      </c>
      <c r="F573" s="11" t="s">
        <v>674</v>
      </c>
      <c r="G573" s="10">
        <v>2.0</v>
      </c>
      <c r="H573" s="11" t="s">
        <v>681</v>
      </c>
      <c r="I573" s="22" t="s">
        <v>682</v>
      </c>
      <c r="J573" s="10">
        <v>3.0</v>
      </c>
      <c r="K573" s="11" t="s">
        <v>685</v>
      </c>
      <c r="L573" s="22"/>
    </row>
    <row r="574">
      <c r="A574" s="10">
        <v>4.0</v>
      </c>
      <c r="B574" s="11" t="s">
        <v>543</v>
      </c>
      <c r="C574" s="13">
        <v>1.0</v>
      </c>
      <c r="D574" s="11" t="s">
        <v>544</v>
      </c>
      <c r="E574" s="10">
        <v>6.0</v>
      </c>
      <c r="F574" s="11" t="s">
        <v>674</v>
      </c>
      <c r="G574" s="10">
        <v>2.0</v>
      </c>
      <c r="H574" s="11" t="s">
        <v>681</v>
      </c>
      <c r="I574" s="22" t="s">
        <v>682</v>
      </c>
      <c r="J574" s="10">
        <v>4.0</v>
      </c>
      <c r="K574" s="11" t="s">
        <v>686</v>
      </c>
      <c r="L574" s="22"/>
    </row>
    <row r="575">
      <c r="A575" s="10">
        <v>4.0</v>
      </c>
      <c r="B575" s="11" t="s">
        <v>543</v>
      </c>
      <c r="C575" s="13">
        <v>1.0</v>
      </c>
      <c r="D575" s="11" t="s">
        <v>544</v>
      </c>
      <c r="E575" s="10">
        <v>6.0</v>
      </c>
      <c r="F575" s="11" t="s">
        <v>674</v>
      </c>
      <c r="G575" s="10">
        <v>2.0</v>
      </c>
      <c r="H575" s="11" t="s">
        <v>681</v>
      </c>
      <c r="I575" s="22" t="s">
        <v>682</v>
      </c>
      <c r="J575" s="10">
        <v>5.0</v>
      </c>
      <c r="K575" s="11" t="s">
        <v>687</v>
      </c>
      <c r="L575" s="22"/>
    </row>
    <row r="576">
      <c r="A576" s="10">
        <v>4.0</v>
      </c>
      <c r="B576" s="11" t="s">
        <v>543</v>
      </c>
      <c r="C576" s="13">
        <v>1.0</v>
      </c>
      <c r="D576" s="11" t="s">
        <v>544</v>
      </c>
      <c r="E576" s="10">
        <v>7.0</v>
      </c>
      <c r="F576" s="11" t="s">
        <v>688</v>
      </c>
      <c r="G576" s="10">
        <v>1.0</v>
      </c>
      <c r="H576" s="11" t="s">
        <v>689</v>
      </c>
      <c r="I576" s="22" t="s">
        <v>690</v>
      </c>
      <c r="J576" s="10">
        <v>1.0</v>
      </c>
      <c r="K576" s="11" t="s">
        <v>691</v>
      </c>
      <c r="L576" s="22"/>
    </row>
    <row r="577">
      <c r="A577" s="10">
        <v>4.0</v>
      </c>
      <c r="B577" s="11" t="s">
        <v>543</v>
      </c>
      <c r="C577" s="13">
        <v>1.0</v>
      </c>
      <c r="D577" s="11" t="s">
        <v>544</v>
      </c>
      <c r="E577" s="10">
        <v>7.0</v>
      </c>
      <c r="F577" s="11" t="s">
        <v>688</v>
      </c>
      <c r="G577" s="10">
        <v>1.0</v>
      </c>
      <c r="H577" s="11" t="s">
        <v>689</v>
      </c>
      <c r="I577" s="22" t="s">
        <v>690</v>
      </c>
      <c r="J577" s="10">
        <v>2.0</v>
      </c>
      <c r="K577" s="11" t="s">
        <v>692</v>
      </c>
      <c r="L577" s="22"/>
    </row>
    <row r="578">
      <c r="A578" s="10">
        <v>4.0</v>
      </c>
      <c r="B578" s="11" t="s">
        <v>543</v>
      </c>
      <c r="C578" s="13">
        <v>1.0</v>
      </c>
      <c r="D578" s="11" t="s">
        <v>544</v>
      </c>
      <c r="E578" s="10">
        <v>7.0</v>
      </c>
      <c r="F578" s="11" t="s">
        <v>688</v>
      </c>
      <c r="G578" s="10">
        <v>1.0</v>
      </c>
      <c r="H578" s="11" t="s">
        <v>689</v>
      </c>
      <c r="I578" s="22" t="s">
        <v>690</v>
      </c>
      <c r="J578" s="10">
        <v>3.0</v>
      </c>
      <c r="K578" s="11" t="s">
        <v>693</v>
      </c>
      <c r="L578" s="22"/>
    </row>
    <row r="579">
      <c r="A579" s="10">
        <v>4.0</v>
      </c>
      <c r="B579" s="11" t="s">
        <v>543</v>
      </c>
      <c r="C579" s="13">
        <v>1.0</v>
      </c>
      <c r="D579" s="11" t="s">
        <v>544</v>
      </c>
      <c r="E579" s="10">
        <v>7.0</v>
      </c>
      <c r="F579" s="11" t="s">
        <v>688</v>
      </c>
      <c r="G579" s="10">
        <v>1.0</v>
      </c>
      <c r="H579" s="11" t="s">
        <v>689</v>
      </c>
      <c r="I579" s="22" t="s">
        <v>690</v>
      </c>
      <c r="J579" s="10">
        <v>4.0</v>
      </c>
      <c r="K579" s="11" t="s">
        <v>694</v>
      </c>
      <c r="L579" s="22"/>
    </row>
    <row r="580">
      <c r="A580" s="10">
        <v>4.0</v>
      </c>
      <c r="B580" s="11" t="s">
        <v>543</v>
      </c>
      <c r="C580" s="13">
        <v>1.0</v>
      </c>
      <c r="D580" s="11" t="s">
        <v>544</v>
      </c>
      <c r="E580" s="10">
        <v>7.0</v>
      </c>
      <c r="F580" s="11" t="s">
        <v>688</v>
      </c>
      <c r="G580" s="10">
        <v>1.0</v>
      </c>
      <c r="H580" s="11" t="s">
        <v>689</v>
      </c>
      <c r="I580" s="22" t="s">
        <v>690</v>
      </c>
      <c r="J580" s="10">
        <v>5.0</v>
      </c>
      <c r="K580" s="11" t="s">
        <v>695</v>
      </c>
      <c r="L580" s="22"/>
    </row>
    <row r="581">
      <c r="A581" s="10">
        <v>4.0</v>
      </c>
      <c r="B581" s="11" t="s">
        <v>543</v>
      </c>
      <c r="C581" s="13">
        <v>1.0</v>
      </c>
      <c r="D581" s="11" t="s">
        <v>544</v>
      </c>
      <c r="E581" s="10">
        <v>7.0</v>
      </c>
      <c r="F581" s="11" t="s">
        <v>688</v>
      </c>
      <c r="G581" s="10">
        <v>2.0</v>
      </c>
      <c r="H581" s="11" t="s">
        <v>696</v>
      </c>
      <c r="I581" s="22"/>
      <c r="J581" s="10">
        <v>1.0</v>
      </c>
      <c r="K581" s="11" t="s">
        <v>697</v>
      </c>
      <c r="L581" s="22"/>
    </row>
    <row r="582">
      <c r="A582" s="10">
        <v>4.0</v>
      </c>
      <c r="B582" s="11" t="s">
        <v>543</v>
      </c>
      <c r="C582" s="13">
        <v>1.0</v>
      </c>
      <c r="D582" s="11" t="s">
        <v>544</v>
      </c>
      <c r="E582" s="10">
        <v>7.0</v>
      </c>
      <c r="F582" s="11" t="s">
        <v>688</v>
      </c>
      <c r="G582" s="10">
        <v>2.0</v>
      </c>
      <c r="H582" s="11" t="s">
        <v>696</v>
      </c>
      <c r="I582" s="22"/>
      <c r="J582" s="10">
        <v>2.0</v>
      </c>
      <c r="K582" s="11" t="s">
        <v>698</v>
      </c>
      <c r="L582" s="22"/>
    </row>
    <row r="583">
      <c r="A583" s="10">
        <v>4.0</v>
      </c>
      <c r="B583" s="11" t="s">
        <v>543</v>
      </c>
      <c r="C583" s="13">
        <v>1.0</v>
      </c>
      <c r="D583" s="11" t="s">
        <v>544</v>
      </c>
      <c r="E583" s="10">
        <v>7.0</v>
      </c>
      <c r="F583" s="11" t="s">
        <v>688</v>
      </c>
      <c r="G583" s="10">
        <v>2.0</v>
      </c>
      <c r="H583" s="11" t="s">
        <v>696</v>
      </c>
      <c r="I583" s="22"/>
      <c r="J583" s="10">
        <v>3.0</v>
      </c>
      <c r="K583" s="11" t="s">
        <v>699</v>
      </c>
      <c r="L583" s="22"/>
    </row>
    <row r="584">
      <c r="A584" s="10">
        <v>4.0</v>
      </c>
      <c r="B584" s="11" t="s">
        <v>543</v>
      </c>
      <c r="C584" s="13">
        <v>1.0</v>
      </c>
      <c r="D584" s="11" t="s">
        <v>544</v>
      </c>
      <c r="E584" s="10">
        <v>7.0</v>
      </c>
      <c r="F584" s="11" t="s">
        <v>688</v>
      </c>
      <c r="G584" s="10">
        <v>2.0</v>
      </c>
      <c r="H584" s="11" t="s">
        <v>696</v>
      </c>
      <c r="I584" s="22"/>
      <c r="J584" s="10">
        <v>4.0</v>
      </c>
      <c r="K584" s="11" t="s">
        <v>700</v>
      </c>
      <c r="L584" s="22"/>
    </row>
    <row r="585">
      <c r="A585" s="10">
        <v>4.0</v>
      </c>
      <c r="B585" s="11" t="s">
        <v>543</v>
      </c>
      <c r="C585" s="13">
        <v>1.0</v>
      </c>
      <c r="D585" s="11" t="s">
        <v>544</v>
      </c>
      <c r="E585" s="10">
        <v>7.0</v>
      </c>
      <c r="F585" s="11" t="s">
        <v>688</v>
      </c>
      <c r="G585" s="10">
        <v>2.0</v>
      </c>
      <c r="H585" s="11" t="s">
        <v>696</v>
      </c>
      <c r="I585" s="22"/>
      <c r="J585" s="10">
        <v>5.0</v>
      </c>
      <c r="K585" s="11" t="s">
        <v>701</v>
      </c>
      <c r="L585" s="22"/>
    </row>
    <row r="586">
      <c r="A586" s="10">
        <v>4.0</v>
      </c>
      <c r="B586" s="11" t="s">
        <v>543</v>
      </c>
      <c r="C586" s="13">
        <v>1.0</v>
      </c>
      <c r="D586" s="11" t="s">
        <v>544</v>
      </c>
      <c r="E586" s="10">
        <v>7.0</v>
      </c>
      <c r="F586" s="11" t="s">
        <v>688</v>
      </c>
      <c r="G586" s="10">
        <v>3.0</v>
      </c>
      <c r="H586" s="11" t="s">
        <v>702</v>
      </c>
      <c r="I586" s="22" t="s">
        <v>703</v>
      </c>
      <c r="J586" s="10">
        <v>1.0</v>
      </c>
      <c r="K586" s="11" t="s">
        <v>704</v>
      </c>
      <c r="L586" s="22"/>
    </row>
    <row r="587">
      <c r="A587" s="10">
        <v>4.0</v>
      </c>
      <c r="B587" s="11" t="s">
        <v>543</v>
      </c>
      <c r="C587" s="13">
        <v>1.0</v>
      </c>
      <c r="D587" s="11" t="s">
        <v>544</v>
      </c>
      <c r="E587" s="10">
        <v>7.0</v>
      </c>
      <c r="F587" s="11" t="s">
        <v>688</v>
      </c>
      <c r="G587" s="10">
        <v>3.0</v>
      </c>
      <c r="H587" s="11" t="s">
        <v>702</v>
      </c>
      <c r="I587" s="22" t="s">
        <v>703</v>
      </c>
      <c r="J587" s="10">
        <v>2.0</v>
      </c>
      <c r="K587" s="11" t="s">
        <v>705</v>
      </c>
      <c r="L587" s="22"/>
    </row>
    <row r="588">
      <c r="A588" s="10">
        <v>4.0</v>
      </c>
      <c r="B588" s="11" t="s">
        <v>543</v>
      </c>
      <c r="C588" s="13">
        <v>1.0</v>
      </c>
      <c r="D588" s="11" t="s">
        <v>544</v>
      </c>
      <c r="E588" s="10">
        <v>7.0</v>
      </c>
      <c r="F588" s="11" t="s">
        <v>688</v>
      </c>
      <c r="G588" s="10">
        <v>3.0</v>
      </c>
      <c r="H588" s="11" t="s">
        <v>702</v>
      </c>
      <c r="I588" s="22" t="s">
        <v>703</v>
      </c>
      <c r="J588" s="10">
        <v>3.0</v>
      </c>
      <c r="K588" s="11" t="s">
        <v>706</v>
      </c>
      <c r="L588" s="22"/>
    </row>
    <row r="589">
      <c r="A589" s="10">
        <v>4.0</v>
      </c>
      <c r="B589" s="11" t="s">
        <v>543</v>
      </c>
      <c r="C589" s="13">
        <v>1.0</v>
      </c>
      <c r="D589" s="11" t="s">
        <v>544</v>
      </c>
      <c r="E589" s="10">
        <v>7.0</v>
      </c>
      <c r="F589" s="11" t="s">
        <v>688</v>
      </c>
      <c r="G589" s="10">
        <v>3.0</v>
      </c>
      <c r="H589" s="11" t="s">
        <v>702</v>
      </c>
      <c r="I589" s="22" t="s">
        <v>703</v>
      </c>
      <c r="J589" s="10">
        <v>4.0</v>
      </c>
      <c r="K589" s="11" t="s">
        <v>707</v>
      </c>
      <c r="L589" s="22"/>
    </row>
    <row r="590">
      <c r="A590" s="10">
        <v>4.0</v>
      </c>
      <c r="B590" s="11" t="s">
        <v>543</v>
      </c>
      <c r="C590" s="13">
        <v>1.0</v>
      </c>
      <c r="D590" s="11" t="s">
        <v>544</v>
      </c>
      <c r="E590" s="10">
        <v>7.0</v>
      </c>
      <c r="F590" s="11" t="s">
        <v>688</v>
      </c>
      <c r="G590" s="10">
        <v>3.0</v>
      </c>
      <c r="H590" s="11" t="s">
        <v>702</v>
      </c>
      <c r="I590" s="22" t="s">
        <v>703</v>
      </c>
      <c r="J590" s="10">
        <v>5.0</v>
      </c>
      <c r="K590" s="11" t="s">
        <v>708</v>
      </c>
      <c r="L590" s="22"/>
    </row>
    <row r="591">
      <c r="A591" s="10">
        <v>4.0</v>
      </c>
      <c r="B591" s="11" t="s">
        <v>543</v>
      </c>
      <c r="C591" s="13">
        <v>1.0</v>
      </c>
      <c r="D591" s="11" t="s">
        <v>544</v>
      </c>
      <c r="E591" s="10">
        <v>7.0</v>
      </c>
      <c r="F591" s="11" t="s">
        <v>688</v>
      </c>
      <c r="G591" s="10">
        <v>4.0</v>
      </c>
      <c r="H591" s="11" t="s">
        <v>709</v>
      </c>
      <c r="I591" s="22" t="s">
        <v>710</v>
      </c>
      <c r="J591" s="10">
        <v>1.0</v>
      </c>
      <c r="K591" s="11" t="s">
        <v>711</v>
      </c>
      <c r="L591" s="22"/>
    </row>
    <row r="592">
      <c r="A592" s="10">
        <v>4.0</v>
      </c>
      <c r="B592" s="11" t="s">
        <v>543</v>
      </c>
      <c r="C592" s="13">
        <v>1.0</v>
      </c>
      <c r="D592" s="11" t="s">
        <v>544</v>
      </c>
      <c r="E592" s="10">
        <v>7.0</v>
      </c>
      <c r="F592" s="11" t="s">
        <v>688</v>
      </c>
      <c r="G592" s="10">
        <v>4.0</v>
      </c>
      <c r="H592" s="11" t="s">
        <v>709</v>
      </c>
      <c r="I592" s="22" t="s">
        <v>710</v>
      </c>
      <c r="J592" s="10">
        <v>2.0</v>
      </c>
      <c r="K592" s="11" t="s">
        <v>712</v>
      </c>
      <c r="L592" s="22"/>
    </row>
    <row r="593">
      <c r="A593" s="10">
        <v>4.0</v>
      </c>
      <c r="B593" s="11" t="s">
        <v>543</v>
      </c>
      <c r="C593" s="13">
        <v>1.0</v>
      </c>
      <c r="D593" s="11" t="s">
        <v>544</v>
      </c>
      <c r="E593" s="10">
        <v>7.0</v>
      </c>
      <c r="F593" s="11" t="s">
        <v>688</v>
      </c>
      <c r="G593" s="10">
        <v>4.0</v>
      </c>
      <c r="H593" s="11" t="s">
        <v>709</v>
      </c>
      <c r="I593" s="22" t="s">
        <v>710</v>
      </c>
      <c r="J593" s="10">
        <v>3.0</v>
      </c>
      <c r="K593" s="11" t="s">
        <v>713</v>
      </c>
      <c r="L593" s="22"/>
    </row>
    <row r="594">
      <c r="A594" s="10">
        <v>4.0</v>
      </c>
      <c r="B594" s="11" t="s">
        <v>543</v>
      </c>
      <c r="C594" s="13">
        <v>1.0</v>
      </c>
      <c r="D594" s="11" t="s">
        <v>544</v>
      </c>
      <c r="E594" s="10">
        <v>7.0</v>
      </c>
      <c r="F594" s="11" t="s">
        <v>688</v>
      </c>
      <c r="G594" s="10">
        <v>4.0</v>
      </c>
      <c r="H594" s="11" t="s">
        <v>709</v>
      </c>
      <c r="I594" s="22" t="s">
        <v>710</v>
      </c>
      <c r="J594" s="10">
        <v>4.0</v>
      </c>
      <c r="K594" s="11" t="s">
        <v>714</v>
      </c>
      <c r="L594" s="22"/>
    </row>
    <row r="595">
      <c r="A595" s="10">
        <v>4.0</v>
      </c>
      <c r="B595" s="11" t="s">
        <v>543</v>
      </c>
      <c r="C595" s="13">
        <v>1.0</v>
      </c>
      <c r="D595" s="11" t="s">
        <v>544</v>
      </c>
      <c r="E595" s="10">
        <v>7.0</v>
      </c>
      <c r="F595" s="11" t="s">
        <v>688</v>
      </c>
      <c r="G595" s="10">
        <v>4.0</v>
      </c>
      <c r="H595" s="11" t="s">
        <v>709</v>
      </c>
      <c r="I595" s="22" t="s">
        <v>710</v>
      </c>
      <c r="J595" s="10">
        <v>5.0</v>
      </c>
      <c r="K595" s="11" t="s">
        <v>715</v>
      </c>
      <c r="L595" s="22"/>
    </row>
    <row r="596">
      <c r="A596" s="10">
        <v>4.0</v>
      </c>
      <c r="B596" s="11" t="s">
        <v>543</v>
      </c>
      <c r="C596" s="13">
        <v>1.0</v>
      </c>
      <c r="D596" s="11" t="s">
        <v>544</v>
      </c>
      <c r="E596" s="10">
        <v>8.0</v>
      </c>
      <c r="F596" s="11" t="s">
        <v>716</v>
      </c>
      <c r="G596" s="10">
        <v>1.0</v>
      </c>
      <c r="H596" s="11" t="s">
        <v>717</v>
      </c>
      <c r="I596" s="22"/>
      <c r="J596" s="10">
        <v>1.0</v>
      </c>
      <c r="K596" s="11" t="s">
        <v>718</v>
      </c>
      <c r="L596" s="22"/>
    </row>
    <row r="597">
      <c r="A597" s="10">
        <v>4.0</v>
      </c>
      <c r="B597" s="11" t="s">
        <v>543</v>
      </c>
      <c r="C597" s="13">
        <v>1.0</v>
      </c>
      <c r="D597" s="11" t="s">
        <v>544</v>
      </c>
      <c r="E597" s="10">
        <v>8.0</v>
      </c>
      <c r="F597" s="11" t="s">
        <v>716</v>
      </c>
      <c r="G597" s="10">
        <v>1.0</v>
      </c>
      <c r="H597" s="11" t="s">
        <v>717</v>
      </c>
      <c r="I597" s="22"/>
      <c r="J597" s="10">
        <v>2.0</v>
      </c>
      <c r="K597" s="11" t="s">
        <v>719</v>
      </c>
      <c r="L597" s="22"/>
    </row>
    <row r="598">
      <c r="A598" s="10">
        <v>4.0</v>
      </c>
      <c r="B598" s="11" t="s">
        <v>543</v>
      </c>
      <c r="C598" s="13">
        <v>1.0</v>
      </c>
      <c r="D598" s="11" t="s">
        <v>544</v>
      </c>
      <c r="E598" s="10">
        <v>8.0</v>
      </c>
      <c r="F598" s="11" t="s">
        <v>716</v>
      </c>
      <c r="G598" s="10">
        <v>1.0</v>
      </c>
      <c r="H598" s="11" t="s">
        <v>717</v>
      </c>
      <c r="I598" s="22"/>
      <c r="J598" s="10">
        <v>3.0</v>
      </c>
      <c r="K598" s="11" t="s">
        <v>720</v>
      </c>
      <c r="L598" s="22"/>
    </row>
    <row r="599">
      <c r="A599" s="10">
        <v>4.0</v>
      </c>
      <c r="B599" s="11" t="s">
        <v>543</v>
      </c>
      <c r="C599" s="13">
        <v>1.0</v>
      </c>
      <c r="D599" s="11" t="s">
        <v>544</v>
      </c>
      <c r="E599" s="10">
        <v>8.0</v>
      </c>
      <c r="F599" s="11" t="s">
        <v>716</v>
      </c>
      <c r="G599" s="10">
        <v>2.0</v>
      </c>
      <c r="H599" s="11" t="s">
        <v>721</v>
      </c>
      <c r="I599" s="22" t="s">
        <v>722</v>
      </c>
      <c r="J599" s="10">
        <v>1.0</v>
      </c>
      <c r="K599" s="11" t="s">
        <v>723</v>
      </c>
      <c r="L599" s="22"/>
    </row>
    <row r="600">
      <c r="A600" s="10">
        <v>4.0</v>
      </c>
      <c r="B600" s="11" t="s">
        <v>543</v>
      </c>
      <c r="C600" s="13">
        <v>1.0</v>
      </c>
      <c r="D600" s="11" t="s">
        <v>544</v>
      </c>
      <c r="E600" s="10">
        <v>8.0</v>
      </c>
      <c r="F600" s="11" t="s">
        <v>716</v>
      </c>
      <c r="G600" s="10">
        <v>2.0</v>
      </c>
      <c r="H600" s="11" t="s">
        <v>721</v>
      </c>
      <c r="I600" s="22" t="s">
        <v>722</v>
      </c>
      <c r="J600" s="10">
        <v>2.0</v>
      </c>
      <c r="K600" s="11" t="s">
        <v>724</v>
      </c>
      <c r="L600" s="22"/>
    </row>
    <row r="601">
      <c r="A601" s="10">
        <v>4.0</v>
      </c>
      <c r="B601" s="11" t="s">
        <v>543</v>
      </c>
      <c r="C601" s="13">
        <v>1.0</v>
      </c>
      <c r="D601" s="11" t="s">
        <v>544</v>
      </c>
      <c r="E601" s="10">
        <v>8.0</v>
      </c>
      <c r="F601" s="11" t="s">
        <v>716</v>
      </c>
      <c r="G601" s="10">
        <v>3.0</v>
      </c>
      <c r="H601" s="11" t="s">
        <v>725</v>
      </c>
      <c r="I601" s="22" t="s">
        <v>726</v>
      </c>
      <c r="J601" s="10">
        <v>1.0</v>
      </c>
      <c r="K601" s="11" t="s">
        <v>727</v>
      </c>
      <c r="L601" s="22"/>
    </row>
    <row r="602">
      <c r="A602" s="10">
        <v>4.0</v>
      </c>
      <c r="B602" s="11" t="s">
        <v>543</v>
      </c>
      <c r="C602" s="13">
        <v>1.0</v>
      </c>
      <c r="D602" s="11" t="s">
        <v>544</v>
      </c>
      <c r="E602" s="10">
        <v>8.0</v>
      </c>
      <c r="F602" s="11" t="s">
        <v>716</v>
      </c>
      <c r="G602" s="10">
        <v>3.0</v>
      </c>
      <c r="H602" s="11" t="s">
        <v>725</v>
      </c>
      <c r="I602" s="22" t="s">
        <v>726</v>
      </c>
      <c r="J602" s="10">
        <v>2.0</v>
      </c>
      <c r="K602" s="11" t="s">
        <v>728</v>
      </c>
      <c r="L602" s="22"/>
    </row>
    <row r="603">
      <c r="A603" s="10">
        <v>4.0</v>
      </c>
      <c r="B603" s="11" t="s">
        <v>543</v>
      </c>
      <c r="C603" s="13">
        <v>1.0</v>
      </c>
      <c r="D603" s="11" t="s">
        <v>544</v>
      </c>
      <c r="E603" s="10">
        <v>8.0</v>
      </c>
      <c r="F603" s="11" t="s">
        <v>716</v>
      </c>
      <c r="G603" s="10">
        <v>3.0</v>
      </c>
      <c r="H603" s="11" t="s">
        <v>725</v>
      </c>
      <c r="I603" s="22" t="s">
        <v>726</v>
      </c>
      <c r="J603" s="10">
        <v>3.0</v>
      </c>
      <c r="K603" s="11" t="s">
        <v>729</v>
      </c>
      <c r="L603" s="22"/>
    </row>
    <row r="604">
      <c r="A604" s="10">
        <v>4.0</v>
      </c>
      <c r="B604" s="11" t="s">
        <v>543</v>
      </c>
      <c r="C604" s="13">
        <v>1.0</v>
      </c>
      <c r="D604" s="11" t="s">
        <v>544</v>
      </c>
      <c r="E604" s="10">
        <v>8.0</v>
      </c>
      <c r="F604" s="11" t="s">
        <v>716</v>
      </c>
      <c r="G604" s="10">
        <v>3.0</v>
      </c>
      <c r="H604" s="11" t="s">
        <v>725</v>
      </c>
      <c r="I604" s="22" t="s">
        <v>726</v>
      </c>
      <c r="J604" s="10">
        <v>4.0</v>
      </c>
      <c r="K604" s="11" t="s">
        <v>730</v>
      </c>
      <c r="L604" s="22"/>
    </row>
    <row r="605">
      <c r="A605" s="10">
        <v>4.0</v>
      </c>
      <c r="B605" s="11" t="s">
        <v>543</v>
      </c>
      <c r="C605" s="13">
        <v>1.0</v>
      </c>
      <c r="D605" s="11" t="s">
        <v>544</v>
      </c>
      <c r="E605" s="10">
        <v>8.0</v>
      </c>
      <c r="F605" s="11" t="s">
        <v>716</v>
      </c>
      <c r="G605" s="10">
        <v>3.0</v>
      </c>
      <c r="H605" s="11" t="s">
        <v>725</v>
      </c>
      <c r="I605" s="22" t="s">
        <v>726</v>
      </c>
      <c r="J605" s="10">
        <v>5.0</v>
      </c>
      <c r="K605" s="11" t="s">
        <v>731</v>
      </c>
      <c r="L605" s="22"/>
    </row>
    <row r="606">
      <c r="A606" s="10">
        <v>4.0</v>
      </c>
      <c r="B606" s="11" t="s">
        <v>543</v>
      </c>
      <c r="C606" s="13">
        <v>1.0</v>
      </c>
      <c r="D606" s="11" t="s">
        <v>544</v>
      </c>
      <c r="E606" s="10">
        <v>8.0</v>
      </c>
      <c r="F606" s="11" t="s">
        <v>716</v>
      </c>
      <c r="G606" s="10">
        <v>4.0</v>
      </c>
      <c r="H606" s="11" t="s">
        <v>732</v>
      </c>
      <c r="I606" s="22" t="s">
        <v>733</v>
      </c>
      <c r="J606" s="10">
        <v>1.0</v>
      </c>
      <c r="K606" s="11" t="s">
        <v>734</v>
      </c>
      <c r="L606" s="22"/>
    </row>
    <row r="607">
      <c r="A607" s="10">
        <v>4.0</v>
      </c>
      <c r="B607" s="11" t="s">
        <v>543</v>
      </c>
      <c r="C607" s="13">
        <v>1.0</v>
      </c>
      <c r="D607" s="11" t="s">
        <v>544</v>
      </c>
      <c r="E607" s="10">
        <v>8.0</v>
      </c>
      <c r="F607" s="11" t="s">
        <v>716</v>
      </c>
      <c r="G607" s="10">
        <v>4.0</v>
      </c>
      <c r="H607" s="11" t="s">
        <v>732</v>
      </c>
      <c r="I607" s="22" t="s">
        <v>733</v>
      </c>
      <c r="J607" s="10">
        <v>2.0</v>
      </c>
      <c r="K607" s="11" t="s">
        <v>735</v>
      </c>
      <c r="L607" s="22"/>
    </row>
    <row r="608">
      <c r="A608" s="10">
        <v>4.0</v>
      </c>
      <c r="B608" s="11" t="s">
        <v>543</v>
      </c>
      <c r="C608" s="13">
        <v>1.0</v>
      </c>
      <c r="D608" s="11" t="s">
        <v>544</v>
      </c>
      <c r="E608" s="10">
        <v>8.0</v>
      </c>
      <c r="F608" s="11" t="s">
        <v>716</v>
      </c>
      <c r="G608" s="10">
        <v>4.0</v>
      </c>
      <c r="H608" s="11" t="s">
        <v>732</v>
      </c>
      <c r="I608" s="22" t="s">
        <v>733</v>
      </c>
      <c r="J608" s="10">
        <v>3.0</v>
      </c>
      <c r="K608" s="11" t="s">
        <v>736</v>
      </c>
      <c r="L608" s="22"/>
    </row>
    <row r="609">
      <c r="A609" s="10">
        <v>4.0</v>
      </c>
      <c r="B609" s="11" t="s">
        <v>543</v>
      </c>
      <c r="C609" s="13">
        <v>1.0</v>
      </c>
      <c r="D609" s="11" t="s">
        <v>544</v>
      </c>
      <c r="E609" s="10">
        <v>8.0</v>
      </c>
      <c r="F609" s="11" t="s">
        <v>716</v>
      </c>
      <c r="G609" s="10">
        <v>4.0</v>
      </c>
      <c r="H609" s="11" t="s">
        <v>732</v>
      </c>
      <c r="I609" s="22" t="s">
        <v>733</v>
      </c>
      <c r="J609" s="10">
        <v>4.0</v>
      </c>
      <c r="K609" s="11" t="s">
        <v>737</v>
      </c>
      <c r="L609" s="22"/>
    </row>
    <row r="610">
      <c r="A610" s="10">
        <v>4.0</v>
      </c>
      <c r="B610" s="11" t="s">
        <v>543</v>
      </c>
      <c r="C610" s="13">
        <v>1.0</v>
      </c>
      <c r="D610" s="11" t="s">
        <v>544</v>
      </c>
      <c r="E610" s="10">
        <v>8.0</v>
      </c>
      <c r="F610" s="11" t="s">
        <v>716</v>
      </c>
      <c r="G610" s="10">
        <v>4.0</v>
      </c>
      <c r="H610" s="11" t="s">
        <v>732</v>
      </c>
      <c r="I610" s="22" t="s">
        <v>733</v>
      </c>
      <c r="J610" s="10">
        <v>5.0</v>
      </c>
      <c r="K610" s="11" t="s">
        <v>738</v>
      </c>
      <c r="L610" s="22"/>
    </row>
    <row r="611">
      <c r="A611" s="10">
        <v>4.0</v>
      </c>
      <c r="B611" s="11" t="s">
        <v>543</v>
      </c>
      <c r="C611" s="13">
        <v>1.0</v>
      </c>
      <c r="D611" s="11" t="s">
        <v>544</v>
      </c>
      <c r="E611" s="10">
        <v>8.0</v>
      </c>
      <c r="F611" s="11" t="s">
        <v>716</v>
      </c>
      <c r="G611" s="10">
        <v>5.0</v>
      </c>
      <c r="H611" s="11" t="s">
        <v>739</v>
      </c>
      <c r="I611" s="22" t="s">
        <v>740</v>
      </c>
      <c r="J611" s="10">
        <v>1.0</v>
      </c>
      <c r="K611" s="11" t="s">
        <v>741</v>
      </c>
      <c r="L611" s="22"/>
    </row>
    <row r="612">
      <c r="A612" s="10">
        <v>4.0</v>
      </c>
      <c r="B612" s="11" t="s">
        <v>543</v>
      </c>
      <c r="C612" s="13">
        <v>1.0</v>
      </c>
      <c r="D612" s="11" t="s">
        <v>544</v>
      </c>
      <c r="E612" s="10">
        <v>8.0</v>
      </c>
      <c r="F612" s="11" t="s">
        <v>716</v>
      </c>
      <c r="G612" s="10">
        <v>5.0</v>
      </c>
      <c r="H612" s="11" t="s">
        <v>739</v>
      </c>
      <c r="I612" s="22" t="s">
        <v>740</v>
      </c>
      <c r="J612" s="10">
        <v>2.0</v>
      </c>
      <c r="K612" s="11" t="s">
        <v>742</v>
      </c>
      <c r="L612" s="22"/>
    </row>
    <row r="613">
      <c r="A613" s="10">
        <v>4.0</v>
      </c>
      <c r="B613" s="11" t="s">
        <v>543</v>
      </c>
      <c r="C613" s="13">
        <v>1.0</v>
      </c>
      <c r="D613" s="11" t="s">
        <v>544</v>
      </c>
      <c r="E613" s="10">
        <v>8.0</v>
      </c>
      <c r="F613" s="11" t="s">
        <v>716</v>
      </c>
      <c r="G613" s="10">
        <v>5.0</v>
      </c>
      <c r="H613" s="11" t="s">
        <v>739</v>
      </c>
      <c r="I613" s="22" t="s">
        <v>740</v>
      </c>
      <c r="J613" s="10">
        <v>3.0</v>
      </c>
      <c r="K613" s="11" t="s">
        <v>743</v>
      </c>
      <c r="L613" s="22"/>
    </row>
    <row r="614">
      <c r="A614" s="10">
        <v>4.0</v>
      </c>
      <c r="B614" s="11" t="s">
        <v>543</v>
      </c>
      <c r="C614" s="13">
        <v>1.0</v>
      </c>
      <c r="D614" s="11" t="s">
        <v>544</v>
      </c>
      <c r="E614" s="10">
        <v>8.0</v>
      </c>
      <c r="F614" s="11" t="s">
        <v>716</v>
      </c>
      <c r="G614" s="10">
        <v>5.0</v>
      </c>
      <c r="H614" s="11" t="s">
        <v>739</v>
      </c>
      <c r="I614" s="22" t="s">
        <v>740</v>
      </c>
      <c r="J614" s="10">
        <v>4.0</v>
      </c>
      <c r="K614" s="11" t="s">
        <v>744</v>
      </c>
      <c r="L614" s="22"/>
    </row>
    <row r="615">
      <c r="A615" s="10">
        <v>4.0</v>
      </c>
      <c r="B615" s="11" t="s">
        <v>543</v>
      </c>
      <c r="C615" s="13">
        <v>1.0</v>
      </c>
      <c r="D615" s="11" t="s">
        <v>544</v>
      </c>
      <c r="E615" s="10">
        <v>8.0</v>
      </c>
      <c r="F615" s="11" t="s">
        <v>716</v>
      </c>
      <c r="G615" s="10">
        <v>5.0</v>
      </c>
      <c r="H615" s="11" t="s">
        <v>739</v>
      </c>
      <c r="I615" s="22" t="s">
        <v>740</v>
      </c>
      <c r="J615" s="10">
        <v>5.0</v>
      </c>
      <c r="K615" s="11" t="s">
        <v>745</v>
      </c>
      <c r="L615" s="22"/>
    </row>
    <row r="616">
      <c r="A616" s="10">
        <v>4.0</v>
      </c>
      <c r="B616" s="11" t="s">
        <v>543</v>
      </c>
      <c r="C616" s="13">
        <v>1.0</v>
      </c>
      <c r="D616" s="11" t="s">
        <v>544</v>
      </c>
      <c r="E616" s="10">
        <v>8.0</v>
      </c>
      <c r="F616" s="11" t="s">
        <v>716</v>
      </c>
      <c r="G616" s="10">
        <v>5.0</v>
      </c>
      <c r="H616" s="11" t="s">
        <v>739</v>
      </c>
      <c r="I616" s="22" t="s">
        <v>740</v>
      </c>
      <c r="J616" s="10">
        <v>6.0</v>
      </c>
      <c r="K616" s="11" t="s">
        <v>746</v>
      </c>
      <c r="L616" s="22"/>
    </row>
    <row r="617">
      <c r="A617" s="10">
        <v>4.0</v>
      </c>
      <c r="B617" s="11" t="s">
        <v>543</v>
      </c>
      <c r="C617" s="13">
        <v>1.0</v>
      </c>
      <c r="D617" s="11" t="s">
        <v>544</v>
      </c>
      <c r="E617" s="10">
        <v>8.0</v>
      </c>
      <c r="F617" s="11" t="s">
        <v>716</v>
      </c>
      <c r="G617" s="10">
        <v>6.0</v>
      </c>
      <c r="H617" s="11" t="s">
        <v>747</v>
      </c>
      <c r="I617" s="22" t="s">
        <v>748</v>
      </c>
      <c r="J617" s="10">
        <v>1.0</v>
      </c>
      <c r="K617" s="11" t="s">
        <v>749</v>
      </c>
      <c r="L617" s="22"/>
    </row>
    <row r="618">
      <c r="A618" s="10">
        <v>4.0</v>
      </c>
      <c r="B618" s="11" t="s">
        <v>543</v>
      </c>
      <c r="C618" s="13">
        <v>1.0</v>
      </c>
      <c r="D618" s="11" t="s">
        <v>544</v>
      </c>
      <c r="E618" s="10">
        <v>8.0</v>
      </c>
      <c r="F618" s="11" t="s">
        <v>716</v>
      </c>
      <c r="G618" s="10">
        <v>6.0</v>
      </c>
      <c r="H618" s="11" t="s">
        <v>747</v>
      </c>
      <c r="I618" s="22" t="s">
        <v>748</v>
      </c>
      <c r="J618" s="10">
        <v>2.0</v>
      </c>
      <c r="K618" s="11" t="s">
        <v>750</v>
      </c>
      <c r="L618" s="22"/>
    </row>
    <row r="619">
      <c r="A619" s="10">
        <v>4.0</v>
      </c>
      <c r="B619" s="11" t="s">
        <v>543</v>
      </c>
      <c r="C619" s="13">
        <v>1.0</v>
      </c>
      <c r="D619" s="11" t="s">
        <v>544</v>
      </c>
      <c r="E619" s="10">
        <v>8.0</v>
      </c>
      <c r="F619" s="11" t="s">
        <v>716</v>
      </c>
      <c r="G619" s="10">
        <v>7.0</v>
      </c>
      <c r="H619" s="11" t="s">
        <v>751</v>
      </c>
      <c r="I619" s="22" t="s">
        <v>752</v>
      </c>
      <c r="J619" s="10">
        <v>1.0</v>
      </c>
      <c r="K619" s="11" t="s">
        <v>753</v>
      </c>
      <c r="L619" s="22"/>
    </row>
    <row r="620">
      <c r="A620" s="10">
        <v>4.0</v>
      </c>
      <c r="B620" s="11" t="s">
        <v>543</v>
      </c>
      <c r="C620" s="10">
        <v>2.0</v>
      </c>
      <c r="D620" s="11" t="s">
        <v>754</v>
      </c>
      <c r="E620" s="10">
        <v>1.0</v>
      </c>
      <c r="F620" s="11" t="s">
        <v>755</v>
      </c>
      <c r="G620" s="10">
        <v>1.0</v>
      </c>
      <c r="H620" s="11" t="s">
        <v>756</v>
      </c>
      <c r="I620" s="22" t="s">
        <v>757</v>
      </c>
      <c r="J620" s="10">
        <v>1.0</v>
      </c>
      <c r="K620" s="11" t="s">
        <v>758</v>
      </c>
      <c r="L620" s="22"/>
    </row>
    <row r="621">
      <c r="A621" s="10">
        <v>4.0</v>
      </c>
      <c r="B621" s="11" t="s">
        <v>543</v>
      </c>
      <c r="C621" s="10">
        <v>2.0</v>
      </c>
      <c r="D621" s="11" t="s">
        <v>754</v>
      </c>
      <c r="E621" s="10">
        <v>1.0</v>
      </c>
      <c r="F621" s="11" t="s">
        <v>755</v>
      </c>
      <c r="G621" s="10">
        <v>1.0</v>
      </c>
      <c r="H621" s="11" t="s">
        <v>756</v>
      </c>
      <c r="I621" s="22" t="s">
        <v>757</v>
      </c>
      <c r="J621" s="10">
        <v>2.0</v>
      </c>
      <c r="K621" s="11" t="s">
        <v>759</v>
      </c>
      <c r="L621" s="22"/>
    </row>
    <row r="622">
      <c r="A622" s="10">
        <v>4.0</v>
      </c>
      <c r="B622" s="11" t="s">
        <v>543</v>
      </c>
      <c r="C622" s="10">
        <v>2.0</v>
      </c>
      <c r="D622" s="11" t="s">
        <v>754</v>
      </c>
      <c r="E622" s="10">
        <v>1.0</v>
      </c>
      <c r="F622" s="11" t="s">
        <v>755</v>
      </c>
      <c r="G622" s="10">
        <v>1.0</v>
      </c>
      <c r="H622" s="11" t="s">
        <v>756</v>
      </c>
      <c r="I622" s="22" t="s">
        <v>757</v>
      </c>
      <c r="J622" s="10">
        <v>3.0</v>
      </c>
      <c r="K622" s="11" t="s">
        <v>760</v>
      </c>
      <c r="L622" s="22"/>
    </row>
    <row r="623">
      <c r="A623" s="10">
        <v>4.0</v>
      </c>
      <c r="B623" s="11" t="s">
        <v>543</v>
      </c>
      <c r="C623" s="10">
        <v>2.0</v>
      </c>
      <c r="D623" s="11" t="s">
        <v>754</v>
      </c>
      <c r="E623" s="10">
        <v>1.0</v>
      </c>
      <c r="F623" s="11" t="s">
        <v>755</v>
      </c>
      <c r="G623" s="10">
        <v>1.0</v>
      </c>
      <c r="H623" s="11" t="s">
        <v>756</v>
      </c>
      <c r="I623" s="22" t="s">
        <v>757</v>
      </c>
      <c r="J623" s="10">
        <v>4.0</v>
      </c>
      <c r="K623" s="11" t="s">
        <v>761</v>
      </c>
      <c r="L623" s="22"/>
    </row>
    <row r="624">
      <c r="A624" s="10">
        <v>4.0</v>
      </c>
      <c r="B624" s="11" t="s">
        <v>543</v>
      </c>
      <c r="C624" s="10">
        <v>2.0</v>
      </c>
      <c r="D624" s="11" t="s">
        <v>754</v>
      </c>
      <c r="E624" s="10">
        <v>1.0</v>
      </c>
      <c r="F624" s="11" t="s">
        <v>755</v>
      </c>
      <c r="G624" s="10">
        <v>1.0</v>
      </c>
      <c r="H624" s="11" t="s">
        <v>756</v>
      </c>
      <c r="I624" s="22" t="s">
        <v>757</v>
      </c>
      <c r="J624" s="10">
        <v>5.0</v>
      </c>
      <c r="K624" s="11" t="s">
        <v>762</v>
      </c>
      <c r="L624" s="22"/>
    </row>
    <row r="625">
      <c r="A625" s="10">
        <v>4.0</v>
      </c>
      <c r="B625" s="11" t="s">
        <v>543</v>
      </c>
      <c r="C625" s="10">
        <v>2.0</v>
      </c>
      <c r="D625" s="11" t="s">
        <v>754</v>
      </c>
      <c r="E625" s="10">
        <v>1.0</v>
      </c>
      <c r="F625" s="11" t="s">
        <v>755</v>
      </c>
      <c r="G625" s="10">
        <v>1.0</v>
      </c>
      <c r="H625" s="11" t="s">
        <v>756</v>
      </c>
      <c r="I625" s="22" t="s">
        <v>757</v>
      </c>
      <c r="J625" s="10">
        <v>6.0</v>
      </c>
      <c r="K625" s="11" t="s">
        <v>763</v>
      </c>
      <c r="L625" s="22"/>
    </row>
    <row r="626">
      <c r="A626" s="10">
        <v>4.0</v>
      </c>
      <c r="B626" s="11" t="s">
        <v>543</v>
      </c>
      <c r="C626" s="10">
        <v>2.0</v>
      </c>
      <c r="D626" s="11" t="s">
        <v>754</v>
      </c>
      <c r="E626" s="10">
        <v>1.0</v>
      </c>
      <c r="F626" s="11" t="s">
        <v>755</v>
      </c>
      <c r="G626" s="10">
        <v>1.0</v>
      </c>
      <c r="H626" s="11" t="s">
        <v>756</v>
      </c>
      <c r="I626" s="22" t="s">
        <v>757</v>
      </c>
      <c r="J626" s="10">
        <v>7.0</v>
      </c>
      <c r="K626" s="11" t="s">
        <v>764</v>
      </c>
      <c r="L626" s="22"/>
    </row>
    <row r="627">
      <c r="A627" s="10">
        <v>4.0</v>
      </c>
      <c r="B627" s="11" t="s">
        <v>543</v>
      </c>
      <c r="C627" s="10">
        <v>2.0</v>
      </c>
      <c r="D627" s="11" t="s">
        <v>754</v>
      </c>
      <c r="E627" s="10">
        <v>1.0</v>
      </c>
      <c r="F627" s="11" t="s">
        <v>755</v>
      </c>
      <c r="G627" s="10">
        <v>1.0</v>
      </c>
      <c r="H627" s="11" t="s">
        <v>756</v>
      </c>
      <c r="I627" s="22" t="s">
        <v>757</v>
      </c>
      <c r="J627" s="10">
        <v>8.0</v>
      </c>
      <c r="K627" s="11" t="s">
        <v>765</v>
      </c>
      <c r="L627" s="22"/>
    </row>
    <row r="628">
      <c r="A628" s="10">
        <v>4.0</v>
      </c>
      <c r="B628" s="11" t="s">
        <v>543</v>
      </c>
      <c r="C628" s="10">
        <v>2.0</v>
      </c>
      <c r="D628" s="11" t="s">
        <v>754</v>
      </c>
      <c r="E628" s="10">
        <v>1.0</v>
      </c>
      <c r="F628" s="11" t="s">
        <v>755</v>
      </c>
      <c r="G628" s="10">
        <v>1.0</v>
      </c>
      <c r="H628" s="11" t="s">
        <v>756</v>
      </c>
      <c r="I628" s="22" t="s">
        <v>757</v>
      </c>
      <c r="J628" s="10">
        <v>9.0</v>
      </c>
      <c r="K628" s="11" t="s">
        <v>766</v>
      </c>
      <c r="L628" s="22"/>
    </row>
    <row r="629">
      <c r="A629" s="10">
        <v>4.0</v>
      </c>
      <c r="B629" s="11" t="s">
        <v>543</v>
      </c>
      <c r="C629" s="10">
        <v>2.0</v>
      </c>
      <c r="D629" s="11" t="s">
        <v>754</v>
      </c>
      <c r="E629" s="10">
        <v>1.0</v>
      </c>
      <c r="F629" s="11" t="s">
        <v>755</v>
      </c>
      <c r="G629" s="10">
        <v>1.0</v>
      </c>
      <c r="H629" s="11" t="s">
        <v>756</v>
      </c>
      <c r="I629" s="22" t="s">
        <v>757</v>
      </c>
      <c r="J629" s="10">
        <v>10.0</v>
      </c>
      <c r="K629" s="11" t="s">
        <v>767</v>
      </c>
      <c r="L629" s="22"/>
    </row>
    <row r="630">
      <c r="A630" s="10">
        <v>4.0</v>
      </c>
      <c r="B630" s="11" t="s">
        <v>543</v>
      </c>
      <c r="C630" s="10">
        <v>2.0</v>
      </c>
      <c r="D630" s="11" t="s">
        <v>754</v>
      </c>
      <c r="E630" s="10">
        <v>1.0</v>
      </c>
      <c r="F630" s="11" t="s">
        <v>755</v>
      </c>
      <c r="G630" s="10">
        <v>1.0</v>
      </c>
      <c r="H630" s="11" t="s">
        <v>756</v>
      </c>
      <c r="I630" s="22" t="s">
        <v>757</v>
      </c>
      <c r="J630" s="10">
        <v>11.0</v>
      </c>
      <c r="K630" s="11" t="s">
        <v>768</v>
      </c>
      <c r="L630" s="22"/>
    </row>
    <row r="631">
      <c r="A631" s="10">
        <v>4.0</v>
      </c>
      <c r="B631" s="11" t="s">
        <v>543</v>
      </c>
      <c r="C631" s="10">
        <v>2.0</v>
      </c>
      <c r="D631" s="11" t="s">
        <v>754</v>
      </c>
      <c r="E631" s="10">
        <v>1.0</v>
      </c>
      <c r="F631" s="11" t="s">
        <v>755</v>
      </c>
      <c r="G631" s="10">
        <v>1.0</v>
      </c>
      <c r="H631" s="11" t="s">
        <v>756</v>
      </c>
      <c r="I631" s="22" t="s">
        <v>757</v>
      </c>
      <c r="J631" s="10">
        <v>12.0</v>
      </c>
      <c r="K631" s="11" t="s">
        <v>769</v>
      </c>
      <c r="L631" s="22"/>
    </row>
    <row r="632">
      <c r="A632" s="10">
        <v>4.0</v>
      </c>
      <c r="B632" s="11" t="s">
        <v>543</v>
      </c>
      <c r="C632" s="10">
        <v>2.0</v>
      </c>
      <c r="D632" s="11" t="s">
        <v>754</v>
      </c>
      <c r="E632" s="10">
        <v>1.0</v>
      </c>
      <c r="F632" s="11" t="s">
        <v>755</v>
      </c>
      <c r="G632" s="10">
        <v>1.0</v>
      </c>
      <c r="H632" s="11" t="s">
        <v>756</v>
      </c>
      <c r="I632" s="22" t="s">
        <v>757</v>
      </c>
      <c r="J632" s="10">
        <v>13.0</v>
      </c>
      <c r="K632" s="11" t="s">
        <v>770</v>
      </c>
      <c r="L632" s="22"/>
    </row>
    <row r="633">
      <c r="A633" s="10">
        <v>4.0</v>
      </c>
      <c r="B633" s="11" t="s">
        <v>543</v>
      </c>
      <c r="C633" s="10">
        <v>2.0</v>
      </c>
      <c r="D633" s="11" t="s">
        <v>754</v>
      </c>
      <c r="E633" s="10">
        <v>1.0</v>
      </c>
      <c r="F633" s="11" t="s">
        <v>755</v>
      </c>
      <c r="G633" s="10">
        <v>2.0</v>
      </c>
      <c r="H633" s="11" t="s">
        <v>771</v>
      </c>
      <c r="I633" s="22" t="s">
        <v>772</v>
      </c>
      <c r="J633" s="10">
        <v>1.0</v>
      </c>
      <c r="K633" s="11" t="s">
        <v>773</v>
      </c>
      <c r="L633" s="22"/>
    </row>
    <row r="634">
      <c r="A634" s="10">
        <v>4.0</v>
      </c>
      <c r="B634" s="11" t="s">
        <v>543</v>
      </c>
      <c r="C634" s="10">
        <v>2.0</v>
      </c>
      <c r="D634" s="11" t="s">
        <v>754</v>
      </c>
      <c r="E634" s="10">
        <v>1.0</v>
      </c>
      <c r="F634" s="11" t="s">
        <v>755</v>
      </c>
      <c r="G634" s="10">
        <v>2.0</v>
      </c>
      <c r="H634" s="11" t="s">
        <v>771</v>
      </c>
      <c r="I634" s="22" t="s">
        <v>772</v>
      </c>
      <c r="J634" s="10">
        <v>2.0</v>
      </c>
      <c r="K634" s="11" t="s">
        <v>774</v>
      </c>
      <c r="L634" s="22"/>
    </row>
    <row r="635">
      <c r="A635" s="10">
        <v>4.0</v>
      </c>
      <c r="B635" s="11" t="s">
        <v>543</v>
      </c>
      <c r="C635" s="10">
        <v>2.0</v>
      </c>
      <c r="D635" s="11" t="s">
        <v>754</v>
      </c>
      <c r="E635" s="10">
        <v>1.0</v>
      </c>
      <c r="F635" s="11" t="s">
        <v>755</v>
      </c>
      <c r="G635" s="10">
        <v>2.0</v>
      </c>
      <c r="H635" s="11" t="s">
        <v>771</v>
      </c>
      <c r="I635" s="22" t="s">
        <v>772</v>
      </c>
      <c r="J635" s="10">
        <v>3.0</v>
      </c>
      <c r="K635" s="11" t="s">
        <v>775</v>
      </c>
      <c r="L635" s="22"/>
    </row>
    <row r="636">
      <c r="A636" s="10">
        <v>4.0</v>
      </c>
      <c r="B636" s="11" t="s">
        <v>543</v>
      </c>
      <c r="C636" s="10">
        <v>2.0</v>
      </c>
      <c r="D636" s="11" t="s">
        <v>754</v>
      </c>
      <c r="E636" s="10">
        <v>1.0</v>
      </c>
      <c r="F636" s="11" t="s">
        <v>755</v>
      </c>
      <c r="G636" s="10">
        <v>2.0</v>
      </c>
      <c r="H636" s="11" t="s">
        <v>771</v>
      </c>
      <c r="I636" s="22" t="s">
        <v>772</v>
      </c>
      <c r="J636" s="10">
        <v>4.0</v>
      </c>
      <c r="K636" s="11" t="s">
        <v>776</v>
      </c>
      <c r="L636" s="22"/>
    </row>
    <row r="637">
      <c r="A637" s="10">
        <v>4.0</v>
      </c>
      <c r="B637" s="11" t="s">
        <v>543</v>
      </c>
      <c r="C637" s="10">
        <v>2.0</v>
      </c>
      <c r="D637" s="11" t="s">
        <v>754</v>
      </c>
      <c r="E637" s="10">
        <v>1.0</v>
      </c>
      <c r="F637" s="11" t="s">
        <v>755</v>
      </c>
      <c r="G637" s="10">
        <v>2.0</v>
      </c>
      <c r="H637" s="11" t="s">
        <v>771</v>
      </c>
      <c r="I637" s="22" t="s">
        <v>772</v>
      </c>
      <c r="J637" s="10">
        <v>5.0</v>
      </c>
      <c r="K637" s="11" t="s">
        <v>777</v>
      </c>
      <c r="L637" s="22"/>
    </row>
    <row r="638">
      <c r="A638" s="10">
        <v>4.0</v>
      </c>
      <c r="B638" s="11" t="s">
        <v>543</v>
      </c>
      <c r="C638" s="10">
        <v>2.0</v>
      </c>
      <c r="D638" s="11" t="s">
        <v>754</v>
      </c>
      <c r="E638" s="10">
        <v>1.0</v>
      </c>
      <c r="F638" s="11" t="s">
        <v>755</v>
      </c>
      <c r="G638" s="10">
        <v>2.0</v>
      </c>
      <c r="H638" s="11" t="s">
        <v>771</v>
      </c>
      <c r="I638" s="22" t="s">
        <v>772</v>
      </c>
      <c r="J638" s="10">
        <v>6.0</v>
      </c>
      <c r="K638" s="11" t="s">
        <v>778</v>
      </c>
      <c r="L638" s="22"/>
    </row>
    <row r="639">
      <c r="A639" s="10">
        <v>4.0</v>
      </c>
      <c r="B639" s="11" t="s">
        <v>543</v>
      </c>
      <c r="C639" s="10">
        <v>2.0</v>
      </c>
      <c r="D639" s="11" t="s">
        <v>754</v>
      </c>
      <c r="E639" s="10">
        <v>1.0</v>
      </c>
      <c r="F639" s="11" t="s">
        <v>755</v>
      </c>
      <c r="G639" s="10">
        <v>2.0</v>
      </c>
      <c r="H639" s="11" t="s">
        <v>771</v>
      </c>
      <c r="I639" s="22" t="s">
        <v>772</v>
      </c>
      <c r="J639" s="10">
        <v>7.0</v>
      </c>
      <c r="K639" s="11" t="s">
        <v>779</v>
      </c>
      <c r="L639" s="22"/>
    </row>
    <row r="640">
      <c r="A640" s="10">
        <v>4.0</v>
      </c>
      <c r="B640" s="11" t="s">
        <v>543</v>
      </c>
      <c r="C640" s="10">
        <v>2.0</v>
      </c>
      <c r="D640" s="11" t="s">
        <v>754</v>
      </c>
      <c r="E640" s="10">
        <v>1.0</v>
      </c>
      <c r="F640" s="11" t="s">
        <v>755</v>
      </c>
      <c r="G640" s="10">
        <v>2.0</v>
      </c>
      <c r="H640" s="11" t="s">
        <v>771</v>
      </c>
      <c r="I640" s="22" t="s">
        <v>772</v>
      </c>
      <c r="J640" s="10">
        <v>8.0</v>
      </c>
      <c r="K640" s="11" t="s">
        <v>780</v>
      </c>
      <c r="L640" s="22"/>
    </row>
    <row r="641">
      <c r="A641" s="10">
        <v>4.0</v>
      </c>
      <c r="B641" s="11" t="s">
        <v>543</v>
      </c>
      <c r="C641" s="10">
        <v>2.0</v>
      </c>
      <c r="D641" s="11" t="s">
        <v>754</v>
      </c>
      <c r="E641" s="10">
        <v>1.0</v>
      </c>
      <c r="F641" s="11" t="s">
        <v>755</v>
      </c>
      <c r="G641" s="10">
        <v>2.0</v>
      </c>
      <c r="H641" s="11" t="s">
        <v>771</v>
      </c>
      <c r="I641" s="22" t="s">
        <v>772</v>
      </c>
      <c r="J641" s="10">
        <v>9.0</v>
      </c>
      <c r="K641" s="11" t="s">
        <v>781</v>
      </c>
      <c r="L641" s="22"/>
    </row>
    <row r="642">
      <c r="A642" s="10">
        <v>4.0</v>
      </c>
      <c r="B642" s="11" t="s">
        <v>543</v>
      </c>
      <c r="C642" s="10">
        <v>2.0</v>
      </c>
      <c r="D642" s="11" t="s">
        <v>754</v>
      </c>
      <c r="E642" s="10">
        <v>1.0</v>
      </c>
      <c r="F642" s="11" t="s">
        <v>755</v>
      </c>
      <c r="G642" s="10">
        <v>2.0</v>
      </c>
      <c r="H642" s="11" t="s">
        <v>771</v>
      </c>
      <c r="I642" s="22" t="s">
        <v>772</v>
      </c>
      <c r="J642" s="10">
        <v>10.0</v>
      </c>
      <c r="K642" s="11" t="s">
        <v>782</v>
      </c>
      <c r="L642" s="22"/>
    </row>
    <row r="643">
      <c r="A643" s="10">
        <v>4.0</v>
      </c>
      <c r="B643" s="11" t="s">
        <v>543</v>
      </c>
      <c r="C643" s="10">
        <v>2.0</v>
      </c>
      <c r="D643" s="11" t="s">
        <v>754</v>
      </c>
      <c r="E643" s="10">
        <v>1.0</v>
      </c>
      <c r="F643" s="11" t="s">
        <v>755</v>
      </c>
      <c r="G643" s="10">
        <v>2.0</v>
      </c>
      <c r="H643" s="11" t="s">
        <v>771</v>
      </c>
      <c r="I643" s="22" t="s">
        <v>772</v>
      </c>
      <c r="J643" s="10">
        <v>11.0</v>
      </c>
      <c r="K643" s="11" t="s">
        <v>783</v>
      </c>
      <c r="L643" s="22"/>
    </row>
    <row r="644">
      <c r="A644" s="10">
        <v>4.0</v>
      </c>
      <c r="B644" s="11" t="s">
        <v>543</v>
      </c>
      <c r="C644" s="10">
        <v>2.0</v>
      </c>
      <c r="D644" s="11" t="s">
        <v>754</v>
      </c>
      <c r="E644" s="10">
        <v>1.0</v>
      </c>
      <c r="F644" s="11" t="s">
        <v>784</v>
      </c>
      <c r="G644" s="10">
        <v>1.0</v>
      </c>
      <c r="H644" s="11" t="s">
        <v>785</v>
      </c>
      <c r="I644" s="22"/>
      <c r="J644" s="10">
        <v>1.0</v>
      </c>
      <c r="K644" s="11" t="s">
        <v>786</v>
      </c>
      <c r="L644" s="22"/>
    </row>
    <row r="645">
      <c r="A645" s="10">
        <v>4.0</v>
      </c>
      <c r="B645" s="11" t="s">
        <v>543</v>
      </c>
      <c r="C645" s="10">
        <v>2.0</v>
      </c>
      <c r="D645" s="11" t="s">
        <v>754</v>
      </c>
      <c r="E645" s="10">
        <v>1.0</v>
      </c>
      <c r="F645" s="11" t="s">
        <v>784</v>
      </c>
      <c r="G645" s="10">
        <v>1.0</v>
      </c>
      <c r="H645" s="11" t="s">
        <v>785</v>
      </c>
      <c r="I645" s="22"/>
      <c r="J645" s="10">
        <v>2.0</v>
      </c>
      <c r="K645" s="11" t="s">
        <v>787</v>
      </c>
      <c r="L645" s="22"/>
    </row>
    <row r="646">
      <c r="A646" s="10">
        <v>4.0</v>
      </c>
      <c r="B646" s="11" t="s">
        <v>543</v>
      </c>
      <c r="C646" s="10">
        <v>2.0</v>
      </c>
      <c r="D646" s="11" t="s">
        <v>754</v>
      </c>
      <c r="E646" s="10">
        <v>1.0</v>
      </c>
      <c r="F646" s="11" t="s">
        <v>784</v>
      </c>
      <c r="G646" s="10">
        <v>1.0</v>
      </c>
      <c r="H646" s="11" t="s">
        <v>785</v>
      </c>
      <c r="I646" s="22"/>
      <c r="J646" s="10">
        <v>3.0</v>
      </c>
      <c r="K646" s="11" t="s">
        <v>788</v>
      </c>
      <c r="L646" s="22"/>
    </row>
    <row r="647">
      <c r="A647" s="10">
        <v>4.0</v>
      </c>
      <c r="B647" s="11" t="s">
        <v>543</v>
      </c>
      <c r="C647" s="10">
        <v>2.0</v>
      </c>
      <c r="D647" s="11" t="s">
        <v>754</v>
      </c>
      <c r="E647" s="10">
        <v>1.0</v>
      </c>
      <c r="F647" s="11" t="s">
        <v>784</v>
      </c>
      <c r="G647" s="10">
        <v>2.0</v>
      </c>
      <c r="H647" s="11" t="s">
        <v>789</v>
      </c>
      <c r="I647" s="22" t="s">
        <v>790</v>
      </c>
      <c r="J647" s="10">
        <v>1.0</v>
      </c>
      <c r="K647" s="11" t="s">
        <v>791</v>
      </c>
      <c r="L647" s="22"/>
    </row>
    <row r="648">
      <c r="A648" s="10">
        <v>4.0</v>
      </c>
      <c r="B648" s="11" t="s">
        <v>543</v>
      </c>
      <c r="C648" s="10">
        <v>2.0</v>
      </c>
      <c r="D648" s="11" t="s">
        <v>754</v>
      </c>
      <c r="E648" s="10">
        <v>1.0</v>
      </c>
      <c r="F648" s="11" t="s">
        <v>784</v>
      </c>
      <c r="G648" s="10">
        <v>2.0</v>
      </c>
      <c r="H648" s="11" t="s">
        <v>789</v>
      </c>
      <c r="I648" s="22" t="s">
        <v>790</v>
      </c>
      <c r="J648" s="10">
        <v>2.0</v>
      </c>
      <c r="K648" s="11" t="s">
        <v>792</v>
      </c>
      <c r="L648" s="22"/>
    </row>
    <row r="649">
      <c r="A649" s="10">
        <v>4.0</v>
      </c>
      <c r="B649" s="11" t="s">
        <v>543</v>
      </c>
      <c r="C649" s="10">
        <v>2.0</v>
      </c>
      <c r="D649" s="11" t="s">
        <v>754</v>
      </c>
      <c r="E649" s="10">
        <v>1.0</v>
      </c>
      <c r="F649" s="11" t="s">
        <v>784</v>
      </c>
      <c r="G649" s="10">
        <v>2.0</v>
      </c>
      <c r="H649" s="11" t="s">
        <v>789</v>
      </c>
      <c r="I649" s="22" t="s">
        <v>790</v>
      </c>
      <c r="J649" s="10">
        <v>3.0</v>
      </c>
      <c r="K649" s="11" t="s">
        <v>793</v>
      </c>
      <c r="L649" s="22"/>
    </row>
    <row r="650">
      <c r="A650" s="10">
        <v>4.0</v>
      </c>
      <c r="B650" s="11" t="s">
        <v>543</v>
      </c>
      <c r="C650" s="10">
        <v>2.0</v>
      </c>
      <c r="D650" s="11" t="s">
        <v>754</v>
      </c>
      <c r="E650" s="10">
        <v>1.0</v>
      </c>
      <c r="F650" s="11" t="s">
        <v>784</v>
      </c>
      <c r="G650" s="10">
        <v>2.0</v>
      </c>
      <c r="H650" s="11" t="s">
        <v>789</v>
      </c>
      <c r="I650" s="22" t="s">
        <v>790</v>
      </c>
      <c r="J650" s="10">
        <v>4.0</v>
      </c>
      <c r="K650" s="11" t="s">
        <v>794</v>
      </c>
      <c r="L650" s="22"/>
    </row>
    <row r="651">
      <c r="A651" s="10">
        <v>4.0</v>
      </c>
      <c r="B651" s="11" t="s">
        <v>543</v>
      </c>
      <c r="C651" s="10">
        <v>2.0</v>
      </c>
      <c r="D651" s="11" t="s">
        <v>754</v>
      </c>
      <c r="E651" s="10">
        <v>1.0</v>
      </c>
      <c r="F651" s="11" t="s">
        <v>784</v>
      </c>
      <c r="G651" s="10">
        <v>2.0</v>
      </c>
      <c r="H651" s="11" t="s">
        <v>789</v>
      </c>
      <c r="I651" s="22" t="s">
        <v>790</v>
      </c>
      <c r="J651" s="10">
        <v>5.0</v>
      </c>
      <c r="K651" s="11" t="s">
        <v>795</v>
      </c>
      <c r="L651" s="22"/>
    </row>
    <row r="652">
      <c r="A652" s="10">
        <v>4.0</v>
      </c>
      <c r="B652" s="11" t="s">
        <v>543</v>
      </c>
      <c r="C652" s="10">
        <v>2.0</v>
      </c>
      <c r="D652" s="11" t="s">
        <v>754</v>
      </c>
      <c r="E652" s="10">
        <v>1.0</v>
      </c>
      <c r="F652" s="11" t="s">
        <v>784</v>
      </c>
      <c r="G652" s="10">
        <v>2.0</v>
      </c>
      <c r="H652" s="11" t="s">
        <v>789</v>
      </c>
      <c r="I652" s="22" t="s">
        <v>790</v>
      </c>
      <c r="J652" s="10">
        <v>6.0</v>
      </c>
      <c r="K652" s="11" t="s">
        <v>796</v>
      </c>
      <c r="L652" s="22"/>
    </row>
    <row r="653">
      <c r="A653" s="10">
        <v>4.0</v>
      </c>
      <c r="B653" s="11" t="s">
        <v>543</v>
      </c>
      <c r="C653" s="10">
        <v>2.0</v>
      </c>
      <c r="D653" s="11" t="s">
        <v>754</v>
      </c>
      <c r="E653" s="10">
        <v>2.0</v>
      </c>
      <c r="F653" s="11" t="s">
        <v>797</v>
      </c>
      <c r="G653" s="10">
        <v>1.0</v>
      </c>
      <c r="H653" s="11" t="s">
        <v>798</v>
      </c>
      <c r="I653" s="22"/>
      <c r="J653" s="10">
        <v>1.0</v>
      </c>
      <c r="K653" s="11" t="s">
        <v>799</v>
      </c>
      <c r="L653" s="22"/>
    </row>
    <row r="654">
      <c r="A654" s="10">
        <v>4.0</v>
      </c>
      <c r="B654" s="11" t="s">
        <v>543</v>
      </c>
      <c r="C654" s="10">
        <v>2.0</v>
      </c>
      <c r="D654" s="11" t="s">
        <v>754</v>
      </c>
      <c r="E654" s="10">
        <v>2.0</v>
      </c>
      <c r="F654" s="11" t="s">
        <v>797</v>
      </c>
      <c r="G654" s="10">
        <v>1.0</v>
      </c>
      <c r="H654" s="11" t="s">
        <v>798</v>
      </c>
      <c r="I654" s="22"/>
      <c r="J654" s="10">
        <v>2.0</v>
      </c>
      <c r="K654" s="11" t="s">
        <v>800</v>
      </c>
      <c r="L654" s="22"/>
    </row>
    <row r="655">
      <c r="A655" s="10">
        <v>4.0</v>
      </c>
      <c r="B655" s="11" t="s">
        <v>543</v>
      </c>
      <c r="C655" s="10">
        <v>2.0</v>
      </c>
      <c r="D655" s="11" t="s">
        <v>754</v>
      </c>
      <c r="E655" s="10">
        <v>2.0</v>
      </c>
      <c r="F655" s="11" t="s">
        <v>797</v>
      </c>
      <c r="G655" s="10">
        <v>1.0</v>
      </c>
      <c r="H655" s="11" t="s">
        <v>798</v>
      </c>
      <c r="I655" s="22"/>
      <c r="J655" s="10">
        <v>3.0</v>
      </c>
      <c r="K655" s="11" t="s">
        <v>801</v>
      </c>
      <c r="L655" s="22"/>
    </row>
    <row r="656">
      <c r="A656" s="10">
        <v>4.0</v>
      </c>
      <c r="B656" s="11" t="s">
        <v>543</v>
      </c>
      <c r="C656" s="10">
        <v>2.0</v>
      </c>
      <c r="D656" s="11" t="s">
        <v>754</v>
      </c>
      <c r="E656" s="10">
        <v>2.0</v>
      </c>
      <c r="F656" s="11" t="s">
        <v>797</v>
      </c>
      <c r="G656" s="10">
        <v>1.0</v>
      </c>
      <c r="H656" s="11" t="s">
        <v>798</v>
      </c>
      <c r="I656" s="22"/>
      <c r="J656" s="10">
        <v>4.0</v>
      </c>
      <c r="K656" s="11" t="s">
        <v>802</v>
      </c>
      <c r="L656" s="22"/>
    </row>
    <row r="657">
      <c r="A657" s="10">
        <v>4.0</v>
      </c>
      <c r="B657" s="11" t="s">
        <v>543</v>
      </c>
      <c r="C657" s="10">
        <v>2.0</v>
      </c>
      <c r="D657" s="11" t="s">
        <v>754</v>
      </c>
      <c r="E657" s="10">
        <v>2.0</v>
      </c>
      <c r="F657" s="11" t="s">
        <v>797</v>
      </c>
      <c r="G657" s="10">
        <v>1.0</v>
      </c>
      <c r="H657" s="11" t="s">
        <v>798</v>
      </c>
      <c r="I657" s="22"/>
      <c r="J657" s="10">
        <v>5.0</v>
      </c>
      <c r="K657" s="11" t="s">
        <v>803</v>
      </c>
      <c r="L657" s="22"/>
    </row>
    <row r="658">
      <c r="A658" s="10">
        <v>4.0</v>
      </c>
      <c r="B658" s="11" t="s">
        <v>543</v>
      </c>
      <c r="C658" s="10">
        <v>2.0</v>
      </c>
      <c r="D658" s="11" t="s">
        <v>754</v>
      </c>
      <c r="E658" s="10">
        <v>2.0</v>
      </c>
      <c r="F658" s="11" t="s">
        <v>797</v>
      </c>
      <c r="G658" s="10">
        <v>2.0</v>
      </c>
      <c r="H658" s="11" t="s">
        <v>804</v>
      </c>
      <c r="I658" s="22"/>
      <c r="J658" s="10">
        <v>1.0</v>
      </c>
      <c r="K658" s="11" t="s">
        <v>805</v>
      </c>
      <c r="L658" s="22"/>
    </row>
    <row r="659">
      <c r="A659" s="10">
        <v>4.0</v>
      </c>
      <c r="B659" s="11" t="s">
        <v>543</v>
      </c>
      <c r="C659" s="10">
        <v>2.0</v>
      </c>
      <c r="D659" s="11" t="s">
        <v>754</v>
      </c>
      <c r="E659" s="10">
        <v>2.0</v>
      </c>
      <c r="F659" s="11" t="s">
        <v>797</v>
      </c>
      <c r="G659" s="10">
        <v>2.0</v>
      </c>
      <c r="H659" s="11" t="s">
        <v>804</v>
      </c>
      <c r="I659" s="22"/>
      <c r="J659" s="10">
        <v>2.0</v>
      </c>
      <c r="K659" s="11" t="s">
        <v>806</v>
      </c>
      <c r="L659" s="22"/>
    </row>
    <row r="660">
      <c r="A660" s="10">
        <v>4.0</v>
      </c>
      <c r="B660" s="11" t="s">
        <v>543</v>
      </c>
      <c r="C660" s="10">
        <v>2.0</v>
      </c>
      <c r="D660" s="11" t="s">
        <v>754</v>
      </c>
      <c r="E660" s="10">
        <v>2.0</v>
      </c>
      <c r="F660" s="11" t="s">
        <v>797</v>
      </c>
      <c r="G660" s="10">
        <v>2.0</v>
      </c>
      <c r="H660" s="11" t="s">
        <v>804</v>
      </c>
      <c r="I660" s="22"/>
      <c r="J660" s="10">
        <v>3.0</v>
      </c>
      <c r="K660" s="11" t="s">
        <v>807</v>
      </c>
      <c r="L660" s="22"/>
    </row>
    <row r="661">
      <c r="A661" s="10">
        <v>4.0</v>
      </c>
      <c r="B661" s="11" t="s">
        <v>543</v>
      </c>
      <c r="C661" s="10">
        <v>2.0</v>
      </c>
      <c r="D661" s="11" t="s">
        <v>754</v>
      </c>
      <c r="E661" s="10">
        <v>2.0</v>
      </c>
      <c r="F661" s="11" t="s">
        <v>797</v>
      </c>
      <c r="G661" s="10">
        <v>2.0</v>
      </c>
      <c r="H661" s="11" t="s">
        <v>804</v>
      </c>
      <c r="I661" s="22"/>
      <c r="J661" s="10">
        <v>4.0</v>
      </c>
      <c r="K661" s="11" t="s">
        <v>808</v>
      </c>
      <c r="L661" s="22"/>
    </row>
    <row r="662">
      <c r="A662" s="10">
        <v>4.0</v>
      </c>
      <c r="B662" s="11" t="s">
        <v>543</v>
      </c>
      <c r="C662" s="10">
        <v>2.0</v>
      </c>
      <c r="D662" s="11" t="s">
        <v>754</v>
      </c>
      <c r="E662" s="10">
        <v>2.0</v>
      </c>
      <c r="F662" s="11" t="s">
        <v>797</v>
      </c>
      <c r="G662" s="10">
        <v>2.0</v>
      </c>
      <c r="H662" s="11" t="s">
        <v>804</v>
      </c>
      <c r="I662" s="22"/>
      <c r="J662" s="10">
        <v>5.0</v>
      </c>
      <c r="K662" s="11" t="s">
        <v>721</v>
      </c>
      <c r="L662" s="22"/>
    </row>
    <row r="663">
      <c r="A663" s="10">
        <v>4.0</v>
      </c>
      <c r="B663" s="11" t="s">
        <v>543</v>
      </c>
      <c r="C663" s="10">
        <v>2.0</v>
      </c>
      <c r="D663" s="11" t="s">
        <v>754</v>
      </c>
      <c r="E663" s="10">
        <v>2.0</v>
      </c>
      <c r="F663" s="11" t="s">
        <v>797</v>
      </c>
      <c r="G663" s="10">
        <v>2.0</v>
      </c>
      <c r="H663" s="11" t="s">
        <v>804</v>
      </c>
      <c r="I663" s="22"/>
      <c r="J663" s="10">
        <v>6.0</v>
      </c>
      <c r="K663" s="11" t="s">
        <v>809</v>
      </c>
      <c r="L663" s="22"/>
    </row>
    <row r="664">
      <c r="A664" s="10">
        <v>4.0</v>
      </c>
      <c r="B664" s="11" t="s">
        <v>543</v>
      </c>
      <c r="C664" s="10">
        <v>2.0</v>
      </c>
      <c r="D664" s="11" t="s">
        <v>754</v>
      </c>
      <c r="E664" s="10">
        <v>2.0</v>
      </c>
      <c r="F664" s="11" t="s">
        <v>797</v>
      </c>
      <c r="G664" s="10">
        <v>3.0</v>
      </c>
      <c r="H664" s="11" t="s">
        <v>810</v>
      </c>
      <c r="I664" s="22"/>
      <c r="J664" s="10">
        <v>1.0</v>
      </c>
      <c r="K664" s="11" t="s">
        <v>811</v>
      </c>
      <c r="L664" s="22"/>
    </row>
    <row r="665">
      <c r="A665" s="10">
        <v>4.0</v>
      </c>
      <c r="B665" s="11" t="s">
        <v>543</v>
      </c>
      <c r="C665" s="10">
        <v>2.0</v>
      </c>
      <c r="D665" s="11" t="s">
        <v>754</v>
      </c>
      <c r="E665" s="10">
        <v>2.0</v>
      </c>
      <c r="F665" s="11" t="s">
        <v>797</v>
      </c>
      <c r="G665" s="10">
        <v>4.0</v>
      </c>
      <c r="H665" s="11" t="s">
        <v>732</v>
      </c>
      <c r="I665" s="22" t="s">
        <v>733</v>
      </c>
      <c r="J665" s="10">
        <v>1.0</v>
      </c>
      <c r="K665" s="11" t="s">
        <v>734</v>
      </c>
      <c r="L665" s="22"/>
    </row>
    <row r="666">
      <c r="A666" s="10">
        <v>4.0</v>
      </c>
      <c r="B666" s="11" t="s">
        <v>543</v>
      </c>
      <c r="C666" s="10">
        <v>2.0</v>
      </c>
      <c r="D666" s="11" t="s">
        <v>754</v>
      </c>
      <c r="E666" s="10">
        <v>2.0</v>
      </c>
      <c r="F666" s="11" t="s">
        <v>797</v>
      </c>
      <c r="G666" s="10">
        <v>4.0</v>
      </c>
      <c r="H666" s="11" t="s">
        <v>732</v>
      </c>
      <c r="I666" s="22" t="s">
        <v>733</v>
      </c>
      <c r="J666" s="10">
        <v>2.0</v>
      </c>
      <c r="K666" s="11" t="s">
        <v>812</v>
      </c>
      <c r="L666" s="22"/>
    </row>
    <row r="667">
      <c r="A667" s="10">
        <v>4.0</v>
      </c>
      <c r="B667" s="11" t="s">
        <v>543</v>
      </c>
      <c r="C667" s="10">
        <v>2.0</v>
      </c>
      <c r="D667" s="11" t="s">
        <v>754</v>
      </c>
      <c r="E667" s="10">
        <v>2.0</v>
      </c>
      <c r="F667" s="11" t="s">
        <v>797</v>
      </c>
      <c r="G667" s="10">
        <v>4.0</v>
      </c>
      <c r="H667" s="11" t="s">
        <v>732</v>
      </c>
      <c r="I667" s="22" t="s">
        <v>733</v>
      </c>
      <c r="J667" s="10">
        <v>3.0</v>
      </c>
      <c r="K667" s="11" t="s">
        <v>813</v>
      </c>
      <c r="L667" s="22"/>
    </row>
    <row r="668">
      <c r="A668" s="10">
        <v>4.0</v>
      </c>
      <c r="B668" s="11" t="s">
        <v>543</v>
      </c>
      <c r="C668" s="10">
        <v>2.0</v>
      </c>
      <c r="D668" s="11" t="s">
        <v>754</v>
      </c>
      <c r="E668" s="10">
        <v>2.0</v>
      </c>
      <c r="F668" s="11" t="s">
        <v>797</v>
      </c>
      <c r="G668" s="10">
        <v>4.0</v>
      </c>
      <c r="H668" s="11" t="s">
        <v>732</v>
      </c>
      <c r="I668" s="22" t="s">
        <v>733</v>
      </c>
      <c r="J668" s="10">
        <v>4.0</v>
      </c>
      <c r="K668" s="11" t="s">
        <v>814</v>
      </c>
      <c r="L668" s="22"/>
    </row>
    <row r="669">
      <c r="A669" s="10">
        <v>4.0</v>
      </c>
      <c r="B669" s="11" t="s">
        <v>543</v>
      </c>
      <c r="C669" s="10">
        <v>2.0</v>
      </c>
      <c r="D669" s="11" t="s">
        <v>754</v>
      </c>
      <c r="E669" s="10">
        <v>2.0</v>
      </c>
      <c r="F669" s="11" t="s">
        <v>797</v>
      </c>
      <c r="G669" s="10">
        <v>4.0</v>
      </c>
      <c r="H669" s="11" t="s">
        <v>732</v>
      </c>
      <c r="I669" s="22" t="s">
        <v>733</v>
      </c>
      <c r="J669" s="10">
        <v>5.0</v>
      </c>
      <c r="K669" s="11" t="s">
        <v>815</v>
      </c>
      <c r="L669" s="22"/>
    </row>
    <row r="670">
      <c r="A670" s="10">
        <v>4.0</v>
      </c>
      <c r="B670" s="11" t="s">
        <v>543</v>
      </c>
      <c r="C670" s="10">
        <v>2.0</v>
      </c>
      <c r="D670" s="11" t="s">
        <v>754</v>
      </c>
      <c r="E670" s="10">
        <v>2.0</v>
      </c>
      <c r="F670" s="11" t="s">
        <v>797</v>
      </c>
      <c r="G670" s="10">
        <v>5.0</v>
      </c>
      <c r="H670" s="11" t="s">
        <v>739</v>
      </c>
      <c r="I670" s="22" t="s">
        <v>740</v>
      </c>
      <c r="J670" s="10">
        <v>1.0</v>
      </c>
      <c r="K670" s="11" t="s">
        <v>741</v>
      </c>
      <c r="L670" s="22"/>
    </row>
    <row r="671">
      <c r="A671" s="10">
        <v>4.0</v>
      </c>
      <c r="B671" s="11" t="s">
        <v>543</v>
      </c>
      <c r="C671" s="10">
        <v>2.0</v>
      </c>
      <c r="D671" s="11" t="s">
        <v>754</v>
      </c>
      <c r="E671" s="10">
        <v>2.0</v>
      </c>
      <c r="F671" s="11" t="s">
        <v>797</v>
      </c>
      <c r="G671" s="10">
        <v>5.0</v>
      </c>
      <c r="H671" s="11" t="s">
        <v>739</v>
      </c>
      <c r="I671" s="22" t="s">
        <v>740</v>
      </c>
      <c r="J671" s="10">
        <v>2.0</v>
      </c>
      <c r="K671" s="11" t="s">
        <v>816</v>
      </c>
      <c r="L671" s="22"/>
    </row>
    <row r="672">
      <c r="A672" s="10">
        <v>4.0</v>
      </c>
      <c r="B672" s="11" t="s">
        <v>543</v>
      </c>
      <c r="C672" s="10">
        <v>2.0</v>
      </c>
      <c r="D672" s="11" t="s">
        <v>754</v>
      </c>
      <c r="E672" s="10">
        <v>2.0</v>
      </c>
      <c r="F672" s="11" t="s">
        <v>797</v>
      </c>
      <c r="G672" s="10">
        <v>5.0</v>
      </c>
      <c r="H672" s="11" t="s">
        <v>739</v>
      </c>
      <c r="I672" s="22" t="s">
        <v>740</v>
      </c>
      <c r="J672" s="10">
        <v>3.0</v>
      </c>
      <c r="K672" s="11" t="s">
        <v>817</v>
      </c>
      <c r="L672" s="22"/>
    </row>
    <row r="673">
      <c r="A673" s="10">
        <v>4.0</v>
      </c>
      <c r="B673" s="11" t="s">
        <v>543</v>
      </c>
      <c r="C673" s="10">
        <v>2.0</v>
      </c>
      <c r="D673" s="11" t="s">
        <v>754</v>
      </c>
      <c r="E673" s="10">
        <v>2.0</v>
      </c>
      <c r="F673" s="11" t="s">
        <v>797</v>
      </c>
      <c r="G673" s="10">
        <v>5.0</v>
      </c>
      <c r="H673" s="11" t="s">
        <v>739</v>
      </c>
      <c r="I673" s="22" t="s">
        <v>740</v>
      </c>
      <c r="J673" s="10">
        <v>4.0</v>
      </c>
      <c r="K673" s="11" t="s">
        <v>818</v>
      </c>
      <c r="L673" s="22"/>
    </row>
    <row r="674">
      <c r="A674" s="10">
        <v>4.0</v>
      </c>
      <c r="B674" s="11" t="s">
        <v>543</v>
      </c>
      <c r="C674" s="10">
        <v>2.0</v>
      </c>
      <c r="D674" s="11" t="s">
        <v>754</v>
      </c>
      <c r="E674" s="10">
        <v>2.0</v>
      </c>
      <c r="F674" s="11" t="s">
        <v>797</v>
      </c>
      <c r="G674" s="10">
        <v>5.0</v>
      </c>
      <c r="H674" s="11" t="s">
        <v>739</v>
      </c>
      <c r="I674" s="22" t="s">
        <v>740</v>
      </c>
      <c r="J674" s="10">
        <v>5.0</v>
      </c>
      <c r="K674" s="11" t="s">
        <v>819</v>
      </c>
      <c r="L674" s="22"/>
    </row>
    <row r="675">
      <c r="A675" s="10">
        <v>4.0</v>
      </c>
      <c r="B675" s="11" t="s">
        <v>543</v>
      </c>
      <c r="C675" s="10">
        <v>2.0</v>
      </c>
      <c r="D675" s="11" t="s">
        <v>754</v>
      </c>
      <c r="E675" s="10">
        <v>2.0</v>
      </c>
      <c r="F675" s="11" t="s">
        <v>797</v>
      </c>
      <c r="G675" s="10">
        <v>5.0</v>
      </c>
      <c r="H675" s="11" t="s">
        <v>739</v>
      </c>
      <c r="I675" s="22" t="s">
        <v>740</v>
      </c>
      <c r="J675" s="10">
        <v>6.0</v>
      </c>
      <c r="K675" s="11" t="s">
        <v>820</v>
      </c>
      <c r="L675" s="22"/>
    </row>
    <row r="676">
      <c r="A676" s="10">
        <v>4.0</v>
      </c>
      <c r="B676" s="11" t="s">
        <v>543</v>
      </c>
      <c r="C676" s="10">
        <v>2.0</v>
      </c>
      <c r="D676" s="11" t="s">
        <v>754</v>
      </c>
      <c r="E676" s="10">
        <v>2.0</v>
      </c>
      <c r="F676" s="11" t="s">
        <v>797</v>
      </c>
      <c r="G676" s="10">
        <v>5.0</v>
      </c>
      <c r="H676" s="11" t="s">
        <v>739</v>
      </c>
      <c r="I676" s="22" t="s">
        <v>740</v>
      </c>
      <c r="J676" s="10">
        <v>7.0</v>
      </c>
      <c r="K676" s="11" t="s">
        <v>821</v>
      </c>
      <c r="L676" s="22"/>
    </row>
    <row r="677">
      <c r="A677" s="10">
        <v>4.0</v>
      </c>
      <c r="B677" s="11" t="s">
        <v>543</v>
      </c>
      <c r="C677" s="10">
        <v>2.0</v>
      </c>
      <c r="D677" s="11" t="s">
        <v>754</v>
      </c>
      <c r="E677" s="10">
        <v>2.0</v>
      </c>
      <c r="F677" s="11" t="s">
        <v>797</v>
      </c>
      <c r="G677" s="10">
        <v>5.0</v>
      </c>
      <c r="H677" s="11" t="s">
        <v>739</v>
      </c>
      <c r="I677" s="22" t="s">
        <v>740</v>
      </c>
      <c r="J677" s="10">
        <v>8.0</v>
      </c>
      <c r="K677" s="11" t="s">
        <v>822</v>
      </c>
      <c r="L677" s="22"/>
    </row>
    <row r="678">
      <c r="A678" s="10">
        <v>4.0</v>
      </c>
      <c r="B678" s="11" t="s">
        <v>543</v>
      </c>
      <c r="C678" s="10">
        <v>2.0</v>
      </c>
      <c r="D678" s="11" t="s">
        <v>754</v>
      </c>
      <c r="E678" s="10">
        <v>2.0</v>
      </c>
      <c r="F678" s="11" t="s">
        <v>797</v>
      </c>
      <c r="G678" s="10">
        <v>5.0</v>
      </c>
      <c r="H678" s="11" t="s">
        <v>739</v>
      </c>
      <c r="I678" s="22" t="s">
        <v>740</v>
      </c>
      <c r="J678" s="10">
        <v>9.0</v>
      </c>
      <c r="K678" s="11" t="s">
        <v>823</v>
      </c>
      <c r="L678" s="22"/>
    </row>
    <row r="679">
      <c r="A679" s="10">
        <v>4.0</v>
      </c>
      <c r="B679" s="11" t="s">
        <v>543</v>
      </c>
      <c r="C679" s="10">
        <v>2.0</v>
      </c>
      <c r="D679" s="11" t="s">
        <v>754</v>
      </c>
      <c r="E679" s="10">
        <v>2.0</v>
      </c>
      <c r="F679" s="11" t="s">
        <v>797</v>
      </c>
      <c r="G679" s="10">
        <v>6.0</v>
      </c>
      <c r="H679" s="11" t="s">
        <v>824</v>
      </c>
      <c r="I679" s="22"/>
      <c r="J679" s="10">
        <v>1.0</v>
      </c>
      <c r="K679" s="11" t="s">
        <v>825</v>
      </c>
      <c r="L679" s="22"/>
    </row>
    <row r="680">
      <c r="A680" s="10">
        <v>4.0</v>
      </c>
      <c r="B680" s="11" t="s">
        <v>543</v>
      </c>
      <c r="C680" s="10">
        <v>2.0</v>
      </c>
      <c r="D680" s="11" t="s">
        <v>754</v>
      </c>
      <c r="E680" s="10">
        <v>2.0</v>
      </c>
      <c r="F680" s="11" t="s">
        <v>797</v>
      </c>
      <c r="G680" s="10">
        <v>6.0</v>
      </c>
      <c r="H680" s="11" t="s">
        <v>824</v>
      </c>
      <c r="I680" s="22"/>
      <c r="J680" s="10">
        <v>2.0</v>
      </c>
      <c r="K680" s="11" t="s">
        <v>826</v>
      </c>
      <c r="L680" s="22"/>
    </row>
    <row r="681">
      <c r="A681" s="10">
        <v>4.0</v>
      </c>
      <c r="B681" s="11" t="s">
        <v>543</v>
      </c>
      <c r="C681" s="10">
        <v>2.0</v>
      </c>
      <c r="D681" s="11" t="s">
        <v>754</v>
      </c>
      <c r="E681" s="10">
        <v>2.0</v>
      </c>
      <c r="F681" s="11" t="s">
        <v>797</v>
      </c>
      <c r="G681" s="10">
        <v>6.0</v>
      </c>
      <c r="H681" s="11" t="s">
        <v>824</v>
      </c>
      <c r="I681" s="22"/>
      <c r="J681" s="10">
        <v>3.0</v>
      </c>
      <c r="K681" s="11" t="s">
        <v>827</v>
      </c>
      <c r="L681" s="22"/>
    </row>
    <row r="682">
      <c r="A682" s="10">
        <v>4.0</v>
      </c>
      <c r="B682" s="11" t="s">
        <v>543</v>
      </c>
      <c r="C682" s="10">
        <v>2.0</v>
      </c>
      <c r="D682" s="11" t="s">
        <v>754</v>
      </c>
      <c r="E682" s="10">
        <v>2.0</v>
      </c>
      <c r="F682" s="11" t="s">
        <v>797</v>
      </c>
      <c r="G682" s="10">
        <v>6.0</v>
      </c>
      <c r="H682" s="11" t="s">
        <v>824</v>
      </c>
      <c r="I682" s="22"/>
      <c r="J682" s="10">
        <v>4.0</v>
      </c>
      <c r="K682" s="11" t="s">
        <v>828</v>
      </c>
      <c r="L682" s="22"/>
    </row>
    <row r="683">
      <c r="A683" s="10">
        <v>4.0</v>
      </c>
      <c r="B683" s="11" t="s">
        <v>543</v>
      </c>
      <c r="C683" s="10">
        <v>2.0</v>
      </c>
      <c r="D683" s="11" t="s">
        <v>754</v>
      </c>
      <c r="E683" s="10">
        <v>2.0</v>
      </c>
      <c r="F683" s="11" t="s">
        <v>797</v>
      </c>
      <c r="G683" s="10">
        <v>6.0</v>
      </c>
      <c r="H683" s="11" t="s">
        <v>824</v>
      </c>
      <c r="I683" s="22"/>
      <c r="J683" s="10">
        <v>5.0</v>
      </c>
      <c r="K683" s="11" t="s">
        <v>829</v>
      </c>
      <c r="L683" s="22"/>
    </row>
    <row r="684">
      <c r="A684" s="10">
        <v>4.0</v>
      </c>
      <c r="B684" s="11" t="s">
        <v>543</v>
      </c>
      <c r="C684" s="10">
        <v>2.0</v>
      </c>
      <c r="D684" s="11" t="s">
        <v>754</v>
      </c>
      <c r="E684" s="10">
        <v>2.0</v>
      </c>
      <c r="F684" s="11" t="s">
        <v>797</v>
      </c>
      <c r="G684" s="10">
        <v>6.0</v>
      </c>
      <c r="H684" s="11" t="s">
        <v>824</v>
      </c>
      <c r="I684" s="22"/>
      <c r="J684" s="10">
        <v>6.0</v>
      </c>
      <c r="K684" s="11" t="s">
        <v>830</v>
      </c>
      <c r="L684" s="22"/>
    </row>
    <row r="685">
      <c r="A685" s="10">
        <v>4.0</v>
      </c>
      <c r="B685" s="11" t="s">
        <v>543</v>
      </c>
      <c r="C685" s="10">
        <v>2.0</v>
      </c>
      <c r="D685" s="11" t="s">
        <v>754</v>
      </c>
      <c r="E685" s="10">
        <v>2.0</v>
      </c>
      <c r="F685" s="11" t="s">
        <v>797</v>
      </c>
      <c r="G685" s="10">
        <v>6.0</v>
      </c>
      <c r="H685" s="11" t="s">
        <v>824</v>
      </c>
      <c r="I685" s="22"/>
      <c r="J685" s="10">
        <v>7.0</v>
      </c>
      <c r="K685" s="11" t="s">
        <v>831</v>
      </c>
      <c r="L685" s="22"/>
    </row>
    <row r="686">
      <c r="A686" s="10">
        <v>4.0</v>
      </c>
      <c r="B686" s="11" t="s">
        <v>543</v>
      </c>
      <c r="C686" s="10">
        <v>2.0</v>
      </c>
      <c r="D686" s="11" t="s">
        <v>754</v>
      </c>
      <c r="E686" s="10">
        <v>2.0</v>
      </c>
      <c r="F686" s="11" t="s">
        <v>797</v>
      </c>
      <c r="G686" s="10">
        <v>7.0</v>
      </c>
      <c r="H686" s="11" t="s">
        <v>832</v>
      </c>
      <c r="I686" s="22"/>
      <c r="J686" s="10">
        <v>1.0</v>
      </c>
      <c r="K686" s="11" t="s">
        <v>833</v>
      </c>
      <c r="L686" s="22"/>
    </row>
    <row r="687">
      <c r="A687" s="10">
        <v>4.0</v>
      </c>
      <c r="B687" s="11" t="s">
        <v>543</v>
      </c>
      <c r="C687" s="10">
        <v>2.0</v>
      </c>
      <c r="D687" s="11" t="s">
        <v>754</v>
      </c>
      <c r="E687" s="10">
        <v>2.0</v>
      </c>
      <c r="F687" s="11" t="s">
        <v>797</v>
      </c>
      <c r="G687" s="10">
        <v>7.0</v>
      </c>
      <c r="H687" s="11" t="s">
        <v>832</v>
      </c>
      <c r="I687" s="22"/>
      <c r="J687" s="10">
        <v>2.0</v>
      </c>
      <c r="K687" s="11" t="s">
        <v>834</v>
      </c>
      <c r="L687" s="22"/>
    </row>
    <row r="688">
      <c r="A688" s="10">
        <v>4.0</v>
      </c>
      <c r="B688" s="11" t="s">
        <v>543</v>
      </c>
      <c r="C688" s="10">
        <v>2.0</v>
      </c>
      <c r="D688" s="11" t="s">
        <v>754</v>
      </c>
      <c r="E688" s="10">
        <v>3.0</v>
      </c>
      <c r="F688" s="11" t="s">
        <v>835</v>
      </c>
      <c r="G688" s="10">
        <v>1.0</v>
      </c>
      <c r="H688" s="11" t="s">
        <v>836</v>
      </c>
      <c r="I688" s="22"/>
      <c r="J688" s="10">
        <v>1.0</v>
      </c>
      <c r="K688" s="11" t="s">
        <v>837</v>
      </c>
      <c r="L688" s="22"/>
    </row>
    <row r="689">
      <c r="A689" s="10">
        <v>4.0</v>
      </c>
      <c r="B689" s="11" t="s">
        <v>543</v>
      </c>
      <c r="C689" s="10">
        <v>2.0</v>
      </c>
      <c r="D689" s="11" t="s">
        <v>754</v>
      </c>
      <c r="E689" s="10">
        <v>3.0</v>
      </c>
      <c r="F689" s="11" t="s">
        <v>835</v>
      </c>
      <c r="G689" s="10">
        <v>2.0</v>
      </c>
      <c r="H689" s="11" t="s">
        <v>838</v>
      </c>
      <c r="I689" s="22"/>
      <c r="J689" s="10">
        <v>1.0</v>
      </c>
      <c r="K689" s="11" t="s">
        <v>839</v>
      </c>
      <c r="L689" s="22"/>
    </row>
    <row r="690">
      <c r="A690" s="10">
        <v>4.0</v>
      </c>
      <c r="B690" s="11" t="s">
        <v>543</v>
      </c>
      <c r="C690" s="10">
        <v>2.0</v>
      </c>
      <c r="D690" s="11" t="s">
        <v>754</v>
      </c>
      <c r="E690" s="10">
        <v>3.0</v>
      </c>
      <c r="F690" s="11" t="s">
        <v>835</v>
      </c>
      <c r="G690" s="10">
        <v>2.0</v>
      </c>
      <c r="H690" s="11" t="s">
        <v>838</v>
      </c>
      <c r="I690" s="22"/>
      <c r="J690" s="10">
        <v>2.0</v>
      </c>
      <c r="K690" s="11" t="s">
        <v>840</v>
      </c>
      <c r="L690" s="22"/>
    </row>
    <row r="691">
      <c r="A691" s="10">
        <v>4.0</v>
      </c>
      <c r="B691" s="11" t="s">
        <v>543</v>
      </c>
      <c r="C691" s="10">
        <v>2.0</v>
      </c>
      <c r="D691" s="11" t="s">
        <v>754</v>
      </c>
      <c r="E691" s="10">
        <v>3.0</v>
      </c>
      <c r="F691" s="11" t="s">
        <v>835</v>
      </c>
      <c r="G691" s="10">
        <v>3.0</v>
      </c>
      <c r="H691" s="11" t="s">
        <v>841</v>
      </c>
      <c r="I691" s="22"/>
      <c r="J691" s="10">
        <v>1.0</v>
      </c>
      <c r="K691" s="11" t="s">
        <v>842</v>
      </c>
      <c r="L691" s="22"/>
    </row>
    <row r="692">
      <c r="A692" s="10">
        <v>4.0</v>
      </c>
      <c r="B692" s="11" t="s">
        <v>543</v>
      </c>
      <c r="C692" s="10">
        <v>2.0</v>
      </c>
      <c r="D692" s="11" t="s">
        <v>754</v>
      </c>
      <c r="E692" s="10">
        <v>3.0</v>
      </c>
      <c r="F692" s="11" t="s">
        <v>835</v>
      </c>
      <c r="G692" s="10">
        <v>3.0</v>
      </c>
      <c r="H692" s="11" t="s">
        <v>841</v>
      </c>
      <c r="I692" s="22"/>
      <c r="J692" s="10">
        <v>2.0</v>
      </c>
      <c r="K692" s="11" t="s">
        <v>843</v>
      </c>
      <c r="L692" s="22"/>
    </row>
    <row r="693">
      <c r="A693" s="10">
        <v>4.0</v>
      </c>
      <c r="B693" s="11" t="s">
        <v>543</v>
      </c>
      <c r="C693" s="10">
        <v>2.0</v>
      </c>
      <c r="D693" s="11" t="s">
        <v>754</v>
      </c>
      <c r="E693" s="10">
        <v>3.0</v>
      </c>
      <c r="F693" s="11" t="s">
        <v>835</v>
      </c>
      <c r="G693" s="10">
        <v>3.0</v>
      </c>
      <c r="H693" s="11" t="s">
        <v>841</v>
      </c>
      <c r="I693" s="22"/>
      <c r="J693" s="10">
        <v>3.0</v>
      </c>
      <c r="K693" s="11" t="s">
        <v>844</v>
      </c>
      <c r="L693" s="22"/>
    </row>
    <row r="694">
      <c r="A694" s="10">
        <v>4.0</v>
      </c>
      <c r="B694" s="11" t="s">
        <v>543</v>
      </c>
      <c r="C694" s="10">
        <v>2.0</v>
      </c>
      <c r="D694" s="11" t="s">
        <v>754</v>
      </c>
      <c r="E694" s="10">
        <v>3.0</v>
      </c>
      <c r="F694" s="11" t="s">
        <v>835</v>
      </c>
      <c r="G694" s="10">
        <v>3.0</v>
      </c>
      <c r="H694" s="11" t="s">
        <v>841</v>
      </c>
      <c r="I694" s="22"/>
      <c r="J694" s="10">
        <v>4.0</v>
      </c>
      <c r="K694" s="11" t="s">
        <v>845</v>
      </c>
      <c r="L694" s="22"/>
    </row>
    <row r="695">
      <c r="A695" s="10">
        <v>4.0</v>
      </c>
      <c r="B695" s="11" t="s">
        <v>543</v>
      </c>
      <c r="C695" s="10">
        <v>2.0</v>
      </c>
      <c r="D695" s="11" t="s">
        <v>754</v>
      </c>
      <c r="E695" s="10">
        <v>3.0</v>
      </c>
      <c r="F695" s="11" t="s">
        <v>835</v>
      </c>
      <c r="G695" s="10">
        <v>4.0</v>
      </c>
      <c r="H695" s="11" t="s">
        <v>846</v>
      </c>
      <c r="I695" s="22"/>
      <c r="J695" s="10">
        <v>1.0</v>
      </c>
      <c r="K695" s="11" t="s">
        <v>847</v>
      </c>
      <c r="L695" s="22"/>
    </row>
    <row r="696">
      <c r="A696" s="10">
        <v>4.0</v>
      </c>
      <c r="B696" s="11" t="s">
        <v>543</v>
      </c>
      <c r="C696" s="10">
        <v>2.0</v>
      </c>
      <c r="D696" s="11" t="s">
        <v>754</v>
      </c>
      <c r="E696" s="10">
        <v>3.0</v>
      </c>
      <c r="F696" s="11" t="s">
        <v>835</v>
      </c>
      <c r="G696" s="10">
        <v>4.0</v>
      </c>
      <c r="H696" s="11" t="s">
        <v>846</v>
      </c>
      <c r="I696" s="22"/>
      <c r="J696" s="10">
        <v>2.0</v>
      </c>
      <c r="K696" s="11" t="s">
        <v>848</v>
      </c>
      <c r="L696" s="22"/>
    </row>
    <row r="697">
      <c r="A697" s="10">
        <v>4.0</v>
      </c>
      <c r="B697" s="11" t="s">
        <v>543</v>
      </c>
      <c r="C697" s="10">
        <v>2.0</v>
      </c>
      <c r="D697" s="11" t="s">
        <v>754</v>
      </c>
      <c r="E697" s="10">
        <v>3.0</v>
      </c>
      <c r="F697" s="11" t="s">
        <v>835</v>
      </c>
      <c r="G697" s="10">
        <v>4.0</v>
      </c>
      <c r="H697" s="11" t="s">
        <v>846</v>
      </c>
      <c r="I697" s="22"/>
      <c r="J697" s="10">
        <v>3.0</v>
      </c>
      <c r="K697" s="11" t="s">
        <v>849</v>
      </c>
      <c r="L697" s="22"/>
    </row>
    <row r="698">
      <c r="A698" s="10">
        <v>4.0</v>
      </c>
      <c r="B698" s="11" t="s">
        <v>543</v>
      </c>
      <c r="C698" s="10">
        <v>2.0</v>
      </c>
      <c r="D698" s="11" t="s">
        <v>754</v>
      </c>
      <c r="E698" s="10">
        <v>4.0</v>
      </c>
      <c r="F698" s="11" t="s">
        <v>850</v>
      </c>
      <c r="G698" s="10">
        <v>1.0</v>
      </c>
      <c r="H698" s="11" t="s">
        <v>851</v>
      </c>
      <c r="I698" s="22"/>
      <c r="J698" s="10">
        <v>1.0</v>
      </c>
      <c r="K698" s="11" t="s">
        <v>483</v>
      </c>
      <c r="L698" s="22"/>
    </row>
    <row r="699">
      <c r="A699" s="10">
        <v>4.0</v>
      </c>
      <c r="B699" s="11" t="s">
        <v>543</v>
      </c>
      <c r="C699" s="10">
        <v>2.0</v>
      </c>
      <c r="D699" s="11" t="s">
        <v>754</v>
      </c>
      <c r="E699" s="10">
        <v>4.0</v>
      </c>
      <c r="F699" s="11" t="s">
        <v>850</v>
      </c>
      <c r="G699" s="10">
        <v>1.0</v>
      </c>
      <c r="H699" s="11" t="s">
        <v>851</v>
      </c>
      <c r="I699" s="22"/>
      <c r="J699" s="10">
        <v>2.0</v>
      </c>
      <c r="K699" s="11" t="s">
        <v>484</v>
      </c>
      <c r="L699" s="22"/>
    </row>
    <row r="700">
      <c r="A700" s="10">
        <v>4.0</v>
      </c>
      <c r="B700" s="11" t="s">
        <v>543</v>
      </c>
      <c r="C700" s="10">
        <v>2.0</v>
      </c>
      <c r="D700" s="11" t="s">
        <v>754</v>
      </c>
      <c r="E700" s="10">
        <v>4.0</v>
      </c>
      <c r="F700" s="11" t="s">
        <v>850</v>
      </c>
      <c r="G700" s="10">
        <v>1.0</v>
      </c>
      <c r="H700" s="11" t="s">
        <v>851</v>
      </c>
      <c r="I700" s="22"/>
      <c r="J700" s="10">
        <v>3.0</v>
      </c>
      <c r="K700" s="11" t="s">
        <v>486</v>
      </c>
      <c r="L700" s="22"/>
    </row>
    <row r="701">
      <c r="A701" s="10">
        <v>4.0</v>
      </c>
      <c r="B701" s="11" t="s">
        <v>543</v>
      </c>
      <c r="C701" s="10">
        <v>2.0</v>
      </c>
      <c r="D701" s="11" t="s">
        <v>754</v>
      </c>
      <c r="E701" s="10">
        <v>4.0</v>
      </c>
      <c r="F701" s="11" t="s">
        <v>850</v>
      </c>
      <c r="G701" s="10">
        <v>1.0</v>
      </c>
      <c r="H701" s="11" t="s">
        <v>851</v>
      </c>
      <c r="I701" s="22"/>
      <c r="J701" s="10">
        <v>4.0</v>
      </c>
      <c r="K701" s="11" t="s">
        <v>852</v>
      </c>
      <c r="L701" s="22"/>
    </row>
    <row r="702">
      <c r="A702" s="10">
        <v>4.0</v>
      </c>
      <c r="B702" s="11" t="s">
        <v>543</v>
      </c>
      <c r="C702" s="10">
        <v>2.0</v>
      </c>
      <c r="D702" s="11" t="s">
        <v>754</v>
      </c>
      <c r="E702" s="10">
        <v>4.0</v>
      </c>
      <c r="F702" s="11" t="s">
        <v>850</v>
      </c>
      <c r="G702" s="10">
        <v>1.0</v>
      </c>
      <c r="H702" s="11" t="s">
        <v>851</v>
      </c>
      <c r="I702" s="22"/>
      <c r="J702" s="10">
        <v>5.0</v>
      </c>
      <c r="K702" s="11" t="s">
        <v>521</v>
      </c>
      <c r="L702" s="22"/>
    </row>
    <row r="703">
      <c r="A703" s="10">
        <v>4.0</v>
      </c>
      <c r="B703" s="11" t="s">
        <v>543</v>
      </c>
      <c r="C703" s="10">
        <v>2.0</v>
      </c>
      <c r="D703" s="11" t="s">
        <v>754</v>
      </c>
      <c r="E703" s="10">
        <v>4.0</v>
      </c>
      <c r="F703" s="11" t="s">
        <v>850</v>
      </c>
      <c r="G703" s="10">
        <v>1.0</v>
      </c>
      <c r="H703" s="11" t="s">
        <v>851</v>
      </c>
      <c r="I703" s="22"/>
      <c r="J703" s="10">
        <v>6.0</v>
      </c>
      <c r="K703" s="11" t="s">
        <v>522</v>
      </c>
      <c r="L703" s="22"/>
    </row>
    <row r="704">
      <c r="A704" s="10">
        <v>4.0</v>
      </c>
      <c r="B704" s="11" t="s">
        <v>543</v>
      </c>
      <c r="C704" s="10">
        <v>2.0</v>
      </c>
      <c r="D704" s="11" t="s">
        <v>754</v>
      </c>
      <c r="E704" s="10">
        <v>4.0</v>
      </c>
      <c r="F704" s="11" t="s">
        <v>850</v>
      </c>
      <c r="G704" s="10">
        <v>1.0</v>
      </c>
      <c r="H704" s="11" t="s">
        <v>851</v>
      </c>
      <c r="I704" s="22"/>
      <c r="J704" s="10">
        <v>7.0</v>
      </c>
      <c r="K704" s="11" t="s">
        <v>853</v>
      </c>
      <c r="L704" s="22"/>
    </row>
    <row r="705">
      <c r="A705" s="10">
        <v>4.0</v>
      </c>
      <c r="B705" s="11" t="s">
        <v>543</v>
      </c>
      <c r="C705" s="10">
        <v>2.0</v>
      </c>
      <c r="D705" s="11" t="s">
        <v>754</v>
      </c>
      <c r="E705" s="10">
        <v>4.0</v>
      </c>
      <c r="F705" s="11" t="s">
        <v>850</v>
      </c>
      <c r="G705" s="10">
        <v>1.0</v>
      </c>
      <c r="H705" s="11" t="s">
        <v>851</v>
      </c>
      <c r="I705" s="22"/>
      <c r="J705" s="10">
        <v>8.0</v>
      </c>
      <c r="K705" s="11" t="s">
        <v>854</v>
      </c>
      <c r="L705" s="22"/>
    </row>
    <row r="706">
      <c r="A706" s="10">
        <v>4.0</v>
      </c>
      <c r="B706" s="11" t="s">
        <v>543</v>
      </c>
      <c r="C706" s="10">
        <v>2.0</v>
      </c>
      <c r="D706" s="11" t="s">
        <v>754</v>
      </c>
      <c r="E706" s="10">
        <v>4.0</v>
      </c>
      <c r="F706" s="11" t="s">
        <v>850</v>
      </c>
      <c r="G706" s="10">
        <v>2.0</v>
      </c>
      <c r="H706" s="11" t="s">
        <v>855</v>
      </c>
      <c r="I706" s="22" t="s">
        <v>856</v>
      </c>
      <c r="J706" s="10">
        <v>1.0</v>
      </c>
      <c r="K706" s="11" t="s">
        <v>857</v>
      </c>
      <c r="L706" s="22"/>
    </row>
    <row r="707">
      <c r="A707" s="10">
        <v>4.0</v>
      </c>
      <c r="B707" s="11" t="s">
        <v>543</v>
      </c>
      <c r="C707" s="10">
        <v>2.0</v>
      </c>
      <c r="D707" s="11" t="s">
        <v>754</v>
      </c>
      <c r="E707" s="10">
        <v>4.0</v>
      </c>
      <c r="F707" s="11" t="s">
        <v>850</v>
      </c>
      <c r="G707" s="10">
        <v>2.0</v>
      </c>
      <c r="H707" s="11" t="s">
        <v>855</v>
      </c>
      <c r="I707" s="22" t="s">
        <v>856</v>
      </c>
      <c r="J707" s="10">
        <v>2.0</v>
      </c>
      <c r="K707" s="11" t="s">
        <v>503</v>
      </c>
      <c r="L707" s="22"/>
    </row>
    <row r="708">
      <c r="A708" s="10">
        <v>4.0</v>
      </c>
      <c r="B708" s="11" t="s">
        <v>543</v>
      </c>
      <c r="C708" s="10">
        <v>2.0</v>
      </c>
      <c r="D708" s="11" t="s">
        <v>754</v>
      </c>
      <c r="E708" s="10">
        <v>4.0</v>
      </c>
      <c r="F708" s="11" t="s">
        <v>850</v>
      </c>
      <c r="G708" s="10">
        <v>2.0</v>
      </c>
      <c r="H708" s="11" t="s">
        <v>855</v>
      </c>
      <c r="I708" s="22" t="s">
        <v>856</v>
      </c>
      <c r="J708" s="10">
        <v>3.0</v>
      </c>
      <c r="K708" s="11" t="s">
        <v>531</v>
      </c>
      <c r="L708" s="22"/>
    </row>
    <row r="709">
      <c r="A709" s="10">
        <v>4.0</v>
      </c>
      <c r="B709" s="11" t="s">
        <v>543</v>
      </c>
      <c r="C709" s="10">
        <v>2.0</v>
      </c>
      <c r="D709" s="11" t="s">
        <v>754</v>
      </c>
      <c r="E709" s="10">
        <v>4.0</v>
      </c>
      <c r="F709" s="11" t="s">
        <v>850</v>
      </c>
      <c r="G709" s="10">
        <v>2.0</v>
      </c>
      <c r="H709" s="11" t="s">
        <v>855</v>
      </c>
      <c r="I709" s="22" t="s">
        <v>856</v>
      </c>
      <c r="J709" s="10">
        <v>4.0</v>
      </c>
      <c r="K709" s="11" t="s">
        <v>858</v>
      </c>
      <c r="L709" s="22"/>
    </row>
    <row r="710">
      <c r="A710" s="10">
        <v>4.0</v>
      </c>
      <c r="B710" s="11" t="s">
        <v>543</v>
      </c>
      <c r="C710" s="10">
        <v>2.0</v>
      </c>
      <c r="D710" s="11" t="s">
        <v>754</v>
      </c>
      <c r="E710" s="10">
        <v>4.0</v>
      </c>
      <c r="F710" s="11" t="s">
        <v>850</v>
      </c>
      <c r="G710" s="10">
        <v>2.0</v>
      </c>
      <c r="H710" s="11" t="s">
        <v>855</v>
      </c>
      <c r="I710" s="22" t="s">
        <v>856</v>
      </c>
      <c r="J710" s="10">
        <v>5.0</v>
      </c>
      <c r="K710" s="11" t="s">
        <v>533</v>
      </c>
      <c r="L710" s="22"/>
    </row>
    <row r="711">
      <c r="A711" s="10">
        <v>4.0</v>
      </c>
      <c r="B711" s="11" t="s">
        <v>543</v>
      </c>
      <c r="C711" s="10">
        <v>2.0</v>
      </c>
      <c r="D711" s="11" t="s">
        <v>754</v>
      </c>
      <c r="E711" s="10">
        <v>4.0</v>
      </c>
      <c r="F711" s="11" t="s">
        <v>850</v>
      </c>
      <c r="G711" s="10">
        <v>2.0</v>
      </c>
      <c r="H711" s="11" t="s">
        <v>855</v>
      </c>
      <c r="I711" s="22" t="s">
        <v>856</v>
      </c>
      <c r="J711" s="10">
        <v>6.0</v>
      </c>
      <c r="K711" s="11" t="s">
        <v>534</v>
      </c>
      <c r="L711" s="22"/>
    </row>
    <row r="712">
      <c r="A712" s="10">
        <v>4.0</v>
      </c>
      <c r="B712" s="11" t="s">
        <v>543</v>
      </c>
      <c r="C712" s="10">
        <v>2.0</v>
      </c>
      <c r="D712" s="11" t="s">
        <v>754</v>
      </c>
      <c r="E712" s="10">
        <v>4.0</v>
      </c>
      <c r="F712" s="11" t="s">
        <v>850</v>
      </c>
      <c r="G712" s="10">
        <v>2.0</v>
      </c>
      <c r="H712" s="11" t="s">
        <v>855</v>
      </c>
      <c r="I712" s="22" t="s">
        <v>856</v>
      </c>
      <c r="J712" s="10">
        <v>7.0</v>
      </c>
      <c r="K712" s="11" t="s">
        <v>535</v>
      </c>
      <c r="L712" s="22"/>
    </row>
    <row r="713">
      <c r="A713" s="10">
        <v>4.0</v>
      </c>
      <c r="B713" s="11" t="s">
        <v>543</v>
      </c>
      <c r="C713" s="10">
        <v>2.0</v>
      </c>
      <c r="D713" s="11" t="s">
        <v>754</v>
      </c>
      <c r="E713" s="10">
        <v>4.0</v>
      </c>
      <c r="F713" s="11" t="s">
        <v>850</v>
      </c>
      <c r="G713" s="10">
        <v>2.0</v>
      </c>
      <c r="H713" s="11" t="s">
        <v>855</v>
      </c>
      <c r="I713" s="22" t="s">
        <v>856</v>
      </c>
      <c r="J713" s="10">
        <v>8.0</v>
      </c>
      <c r="K713" s="11" t="s">
        <v>859</v>
      </c>
      <c r="L713" s="22"/>
    </row>
    <row r="714">
      <c r="A714" s="10">
        <v>4.0</v>
      </c>
      <c r="B714" s="11" t="s">
        <v>543</v>
      </c>
      <c r="C714" s="10">
        <v>2.0</v>
      </c>
      <c r="D714" s="11" t="s">
        <v>754</v>
      </c>
      <c r="E714" s="10">
        <v>4.0</v>
      </c>
      <c r="F714" s="11" t="s">
        <v>850</v>
      </c>
      <c r="G714" s="10">
        <v>2.0</v>
      </c>
      <c r="H714" s="11" t="s">
        <v>855</v>
      </c>
      <c r="I714" s="22" t="s">
        <v>856</v>
      </c>
      <c r="J714" s="10">
        <v>9.0</v>
      </c>
      <c r="K714" s="11" t="s">
        <v>860</v>
      </c>
      <c r="L714" s="22"/>
    </row>
    <row r="715">
      <c r="A715" s="10">
        <v>4.0</v>
      </c>
      <c r="B715" s="11" t="s">
        <v>543</v>
      </c>
      <c r="C715" s="10">
        <v>2.0</v>
      </c>
      <c r="D715" s="11" t="s">
        <v>754</v>
      </c>
      <c r="E715" s="10">
        <v>4.0</v>
      </c>
      <c r="F715" s="11" t="s">
        <v>850</v>
      </c>
      <c r="G715" s="10">
        <v>3.0</v>
      </c>
      <c r="H715" s="11" t="s">
        <v>861</v>
      </c>
      <c r="I715" s="22"/>
      <c r="J715" s="10">
        <v>1.0</v>
      </c>
      <c r="K715" s="11" t="s">
        <v>862</v>
      </c>
      <c r="L715" s="22"/>
    </row>
    <row r="716">
      <c r="A716" s="10">
        <v>4.0</v>
      </c>
      <c r="B716" s="11" t="s">
        <v>543</v>
      </c>
      <c r="C716" s="10">
        <v>2.0</v>
      </c>
      <c r="D716" s="11" t="s">
        <v>754</v>
      </c>
      <c r="E716" s="10">
        <v>4.0</v>
      </c>
      <c r="F716" s="11" t="s">
        <v>850</v>
      </c>
      <c r="G716" s="10">
        <v>3.0</v>
      </c>
      <c r="H716" s="11" t="s">
        <v>861</v>
      </c>
      <c r="I716" s="22"/>
      <c r="J716" s="10">
        <v>2.0</v>
      </c>
      <c r="K716" s="11" t="s">
        <v>863</v>
      </c>
      <c r="L716" s="22"/>
    </row>
    <row r="717">
      <c r="A717" s="10">
        <v>4.0</v>
      </c>
      <c r="B717" s="11" t="s">
        <v>543</v>
      </c>
      <c r="C717" s="10">
        <v>2.0</v>
      </c>
      <c r="D717" s="11" t="s">
        <v>754</v>
      </c>
      <c r="E717" s="10">
        <v>4.0</v>
      </c>
      <c r="F717" s="11" t="s">
        <v>850</v>
      </c>
      <c r="G717" s="10">
        <v>3.0</v>
      </c>
      <c r="H717" s="11" t="s">
        <v>861</v>
      </c>
      <c r="I717" s="22"/>
      <c r="J717" s="10">
        <v>3.0</v>
      </c>
      <c r="K717" s="11" t="s">
        <v>864</v>
      </c>
      <c r="L717" s="22"/>
    </row>
    <row r="718">
      <c r="A718" s="10">
        <v>4.0</v>
      </c>
      <c r="B718" s="11" t="s">
        <v>543</v>
      </c>
      <c r="C718" s="10">
        <v>2.0</v>
      </c>
      <c r="D718" s="11" t="s">
        <v>754</v>
      </c>
      <c r="E718" s="10">
        <v>4.0</v>
      </c>
      <c r="F718" s="11" t="s">
        <v>850</v>
      </c>
      <c r="G718" s="10">
        <v>3.0</v>
      </c>
      <c r="H718" s="11" t="s">
        <v>861</v>
      </c>
      <c r="I718" s="22"/>
      <c r="J718" s="10">
        <v>4.0</v>
      </c>
      <c r="K718" s="11" t="s">
        <v>865</v>
      </c>
      <c r="L718" s="22"/>
    </row>
    <row r="719">
      <c r="A719" s="10">
        <v>4.0</v>
      </c>
      <c r="B719" s="11" t="s">
        <v>543</v>
      </c>
      <c r="C719" s="10">
        <v>2.0</v>
      </c>
      <c r="D719" s="11" t="s">
        <v>754</v>
      </c>
      <c r="E719" s="10">
        <v>4.0</v>
      </c>
      <c r="F719" s="11" t="s">
        <v>850</v>
      </c>
      <c r="G719" s="10">
        <v>3.0</v>
      </c>
      <c r="H719" s="11" t="s">
        <v>861</v>
      </c>
      <c r="I719" s="22"/>
      <c r="J719" s="10">
        <v>5.0</v>
      </c>
      <c r="K719" s="11" t="s">
        <v>866</v>
      </c>
      <c r="L719" s="22"/>
    </row>
    <row r="720">
      <c r="A720" s="10">
        <v>4.0</v>
      </c>
      <c r="B720" s="11" t="s">
        <v>543</v>
      </c>
      <c r="C720" s="10">
        <v>2.0</v>
      </c>
      <c r="D720" s="11" t="s">
        <v>754</v>
      </c>
      <c r="E720" s="10">
        <v>4.0</v>
      </c>
      <c r="F720" s="11" t="s">
        <v>850</v>
      </c>
      <c r="G720" s="10">
        <v>3.0</v>
      </c>
      <c r="H720" s="11" t="s">
        <v>861</v>
      </c>
      <c r="I720" s="22"/>
      <c r="J720" s="10">
        <v>6.0</v>
      </c>
      <c r="K720" s="11" t="s">
        <v>867</v>
      </c>
      <c r="L720" s="22"/>
    </row>
    <row r="721">
      <c r="A721" s="10">
        <v>4.0</v>
      </c>
      <c r="B721" s="11" t="s">
        <v>543</v>
      </c>
      <c r="C721" s="10">
        <v>2.0</v>
      </c>
      <c r="D721" s="11" t="s">
        <v>754</v>
      </c>
      <c r="E721" s="10">
        <v>4.0</v>
      </c>
      <c r="F721" s="11" t="s">
        <v>850</v>
      </c>
      <c r="G721" s="10">
        <v>3.0</v>
      </c>
      <c r="H721" s="11" t="s">
        <v>861</v>
      </c>
      <c r="I721" s="22"/>
      <c r="J721" s="10">
        <v>7.0</v>
      </c>
      <c r="K721" s="11" t="s">
        <v>868</v>
      </c>
      <c r="L721" s="22"/>
    </row>
    <row r="722">
      <c r="A722" s="10">
        <v>4.0</v>
      </c>
      <c r="B722" s="11" t="s">
        <v>543</v>
      </c>
      <c r="C722" s="10">
        <v>2.0</v>
      </c>
      <c r="D722" s="11" t="s">
        <v>754</v>
      </c>
      <c r="E722" s="10">
        <v>4.0</v>
      </c>
      <c r="F722" s="11" t="s">
        <v>850</v>
      </c>
      <c r="G722" s="10">
        <v>3.0</v>
      </c>
      <c r="H722" s="11" t="s">
        <v>861</v>
      </c>
      <c r="I722" s="22"/>
      <c r="J722" s="10">
        <v>8.0</v>
      </c>
      <c r="K722" s="11" t="s">
        <v>869</v>
      </c>
      <c r="L722" s="22"/>
    </row>
    <row r="723">
      <c r="A723" s="24">
        <v>5.0</v>
      </c>
      <c r="B723" s="25" t="s">
        <v>870</v>
      </c>
      <c r="C723" s="24">
        <v>1.0</v>
      </c>
      <c r="D723" s="25" t="s">
        <v>871</v>
      </c>
      <c r="E723" s="24">
        <v>1.0</v>
      </c>
      <c r="F723" s="25" t="s">
        <v>872</v>
      </c>
      <c r="G723" s="24">
        <v>1.0</v>
      </c>
      <c r="H723" s="25" t="s">
        <v>873</v>
      </c>
      <c r="I723" s="26"/>
      <c r="J723" s="24">
        <v>1.0</v>
      </c>
      <c r="K723" s="25" t="s">
        <v>874</v>
      </c>
      <c r="L723" s="26"/>
    </row>
    <row r="724">
      <c r="A724" s="24">
        <v>5.0</v>
      </c>
      <c r="B724" s="25" t="s">
        <v>870</v>
      </c>
      <c r="C724" s="24">
        <v>1.0</v>
      </c>
      <c r="D724" s="25" t="s">
        <v>871</v>
      </c>
      <c r="E724" s="24">
        <v>1.0</v>
      </c>
      <c r="F724" s="25" t="s">
        <v>872</v>
      </c>
      <c r="G724" s="24">
        <v>1.0</v>
      </c>
      <c r="H724" s="25" t="s">
        <v>873</v>
      </c>
      <c r="I724" s="26"/>
      <c r="J724" s="24">
        <v>2.0</v>
      </c>
      <c r="K724" s="25" t="s">
        <v>875</v>
      </c>
      <c r="L724" s="26"/>
    </row>
    <row r="725">
      <c r="A725" s="24">
        <v>5.0</v>
      </c>
      <c r="B725" s="25" t="s">
        <v>870</v>
      </c>
      <c r="C725" s="24">
        <v>1.0</v>
      </c>
      <c r="D725" s="25" t="s">
        <v>871</v>
      </c>
      <c r="E725" s="24">
        <v>1.0</v>
      </c>
      <c r="F725" s="25" t="s">
        <v>872</v>
      </c>
      <c r="G725" s="24">
        <v>1.0</v>
      </c>
      <c r="H725" s="25" t="s">
        <v>873</v>
      </c>
      <c r="I725" s="26"/>
      <c r="J725" s="24">
        <v>3.0</v>
      </c>
      <c r="K725" s="25" t="s">
        <v>876</v>
      </c>
      <c r="L725" s="26"/>
    </row>
    <row r="726">
      <c r="A726" s="24">
        <v>5.0</v>
      </c>
      <c r="B726" s="25" t="s">
        <v>870</v>
      </c>
      <c r="C726" s="24">
        <v>1.0</v>
      </c>
      <c r="D726" s="25" t="s">
        <v>871</v>
      </c>
      <c r="E726" s="24">
        <v>1.0</v>
      </c>
      <c r="F726" s="25" t="s">
        <v>872</v>
      </c>
      <c r="G726" s="24">
        <v>1.0</v>
      </c>
      <c r="H726" s="25" t="s">
        <v>873</v>
      </c>
      <c r="I726" s="26"/>
      <c r="J726" s="24">
        <v>4.0</v>
      </c>
      <c r="K726" s="25" t="s">
        <v>877</v>
      </c>
      <c r="L726" s="26"/>
    </row>
    <row r="727">
      <c r="A727" s="24">
        <v>5.0</v>
      </c>
      <c r="B727" s="25" t="s">
        <v>870</v>
      </c>
      <c r="C727" s="24">
        <v>1.0</v>
      </c>
      <c r="D727" s="25" t="s">
        <v>871</v>
      </c>
      <c r="E727" s="24">
        <v>1.0</v>
      </c>
      <c r="F727" s="25" t="s">
        <v>872</v>
      </c>
      <c r="G727" s="24">
        <v>1.0</v>
      </c>
      <c r="H727" s="25" t="s">
        <v>873</v>
      </c>
      <c r="I727" s="26"/>
      <c r="J727" s="24">
        <v>5.0</v>
      </c>
      <c r="K727" s="25" t="s">
        <v>878</v>
      </c>
      <c r="L727" s="26"/>
    </row>
    <row r="728">
      <c r="A728" s="24">
        <v>5.0</v>
      </c>
      <c r="B728" s="25" t="s">
        <v>870</v>
      </c>
      <c r="C728" s="24">
        <v>1.0</v>
      </c>
      <c r="D728" s="25" t="s">
        <v>871</v>
      </c>
      <c r="E728" s="24">
        <v>1.0</v>
      </c>
      <c r="F728" s="25" t="s">
        <v>872</v>
      </c>
      <c r="G728" s="24">
        <v>1.0</v>
      </c>
      <c r="H728" s="25" t="s">
        <v>873</v>
      </c>
      <c r="I728" s="26"/>
      <c r="J728" s="24">
        <v>6.0</v>
      </c>
      <c r="K728" s="25" t="s">
        <v>879</v>
      </c>
      <c r="L728" s="26"/>
    </row>
    <row r="729">
      <c r="A729" s="24">
        <v>5.0</v>
      </c>
      <c r="B729" s="25" t="s">
        <v>870</v>
      </c>
      <c r="C729" s="24">
        <v>1.0</v>
      </c>
      <c r="D729" s="25" t="s">
        <v>871</v>
      </c>
      <c r="E729" s="24">
        <v>1.0</v>
      </c>
      <c r="F729" s="25" t="s">
        <v>872</v>
      </c>
      <c r="G729" s="24">
        <v>1.0</v>
      </c>
      <c r="H729" s="25" t="s">
        <v>873</v>
      </c>
      <c r="I729" s="26"/>
      <c r="J729" s="24">
        <v>7.0</v>
      </c>
      <c r="K729" s="25" t="s">
        <v>880</v>
      </c>
      <c r="L729" s="26"/>
    </row>
    <row r="730">
      <c r="A730" s="24">
        <v>5.0</v>
      </c>
      <c r="B730" s="25" t="s">
        <v>870</v>
      </c>
      <c r="C730" s="24">
        <v>1.0</v>
      </c>
      <c r="D730" s="25" t="s">
        <v>871</v>
      </c>
      <c r="E730" s="24">
        <v>1.0</v>
      </c>
      <c r="F730" s="25" t="s">
        <v>872</v>
      </c>
      <c r="G730" s="24">
        <v>1.0</v>
      </c>
      <c r="H730" s="25" t="s">
        <v>873</v>
      </c>
      <c r="I730" s="26"/>
      <c r="J730" s="24">
        <v>8.0</v>
      </c>
      <c r="K730" s="25" t="s">
        <v>881</v>
      </c>
      <c r="L730" s="26"/>
    </row>
    <row r="731">
      <c r="A731" s="24">
        <v>5.0</v>
      </c>
      <c r="B731" s="25" t="s">
        <v>870</v>
      </c>
      <c r="C731" s="24">
        <v>1.0</v>
      </c>
      <c r="D731" s="25" t="s">
        <v>871</v>
      </c>
      <c r="E731" s="24">
        <v>1.0</v>
      </c>
      <c r="F731" s="25" t="s">
        <v>872</v>
      </c>
      <c r="G731" s="24">
        <v>1.0</v>
      </c>
      <c r="H731" s="25" t="s">
        <v>873</v>
      </c>
      <c r="I731" s="26"/>
      <c r="J731" s="24">
        <v>9.0</v>
      </c>
      <c r="K731" s="25" t="s">
        <v>882</v>
      </c>
      <c r="L731" s="26"/>
    </row>
    <row r="732">
      <c r="A732" s="24">
        <v>5.0</v>
      </c>
      <c r="B732" s="25" t="s">
        <v>870</v>
      </c>
      <c r="C732" s="24">
        <v>1.0</v>
      </c>
      <c r="D732" s="25" t="s">
        <v>871</v>
      </c>
      <c r="E732" s="24">
        <v>1.0</v>
      </c>
      <c r="F732" s="25" t="s">
        <v>872</v>
      </c>
      <c r="G732" s="24">
        <v>2.0</v>
      </c>
      <c r="H732" s="25" t="s">
        <v>883</v>
      </c>
      <c r="I732" s="26"/>
      <c r="J732" s="24">
        <v>1.0</v>
      </c>
      <c r="K732" s="25" t="s">
        <v>884</v>
      </c>
      <c r="L732" s="26"/>
    </row>
    <row r="733">
      <c r="A733" s="24">
        <v>5.0</v>
      </c>
      <c r="B733" s="25" t="s">
        <v>870</v>
      </c>
      <c r="C733" s="24">
        <v>1.0</v>
      </c>
      <c r="D733" s="25" t="s">
        <v>871</v>
      </c>
      <c r="E733" s="24">
        <v>1.0</v>
      </c>
      <c r="F733" s="25" t="s">
        <v>872</v>
      </c>
      <c r="G733" s="24">
        <v>2.0</v>
      </c>
      <c r="H733" s="25" t="s">
        <v>883</v>
      </c>
      <c r="I733" s="26"/>
      <c r="J733" s="24">
        <v>2.0</v>
      </c>
      <c r="K733" s="25" t="s">
        <v>885</v>
      </c>
      <c r="L733" s="26"/>
    </row>
    <row r="734">
      <c r="A734" s="24">
        <v>5.0</v>
      </c>
      <c r="B734" s="25" t="s">
        <v>870</v>
      </c>
      <c r="C734" s="24">
        <v>1.0</v>
      </c>
      <c r="D734" s="25" t="s">
        <v>871</v>
      </c>
      <c r="E734" s="24">
        <v>1.0</v>
      </c>
      <c r="F734" s="25" t="s">
        <v>872</v>
      </c>
      <c r="G734" s="24">
        <v>2.0</v>
      </c>
      <c r="H734" s="25" t="s">
        <v>883</v>
      </c>
      <c r="I734" s="26"/>
      <c r="J734" s="24">
        <v>3.0</v>
      </c>
      <c r="K734" s="25" t="s">
        <v>886</v>
      </c>
      <c r="L734" s="26"/>
    </row>
    <row r="735">
      <c r="A735" s="24">
        <v>5.0</v>
      </c>
      <c r="B735" s="25" t="s">
        <v>870</v>
      </c>
      <c r="C735" s="24">
        <v>1.0</v>
      </c>
      <c r="D735" s="25" t="s">
        <v>871</v>
      </c>
      <c r="E735" s="24">
        <v>2.0</v>
      </c>
      <c r="F735" s="25" t="s">
        <v>887</v>
      </c>
      <c r="G735" s="24">
        <v>1.0</v>
      </c>
      <c r="H735" s="25" t="s">
        <v>888</v>
      </c>
      <c r="I735" s="26"/>
      <c r="J735" s="24">
        <v>1.0</v>
      </c>
      <c r="K735" s="25" t="s">
        <v>889</v>
      </c>
      <c r="L735" s="26"/>
    </row>
    <row r="736">
      <c r="A736" s="24">
        <v>5.0</v>
      </c>
      <c r="B736" s="25" t="s">
        <v>870</v>
      </c>
      <c r="C736" s="24">
        <v>1.0</v>
      </c>
      <c r="D736" s="25" t="s">
        <v>871</v>
      </c>
      <c r="E736" s="24">
        <v>2.0</v>
      </c>
      <c r="F736" s="25" t="s">
        <v>887</v>
      </c>
      <c r="G736" s="24">
        <v>1.0</v>
      </c>
      <c r="H736" s="25" t="s">
        <v>888</v>
      </c>
      <c r="I736" s="26"/>
      <c r="J736" s="24">
        <v>2.0</v>
      </c>
      <c r="K736" s="25" t="s">
        <v>890</v>
      </c>
      <c r="L736" s="26"/>
    </row>
    <row r="737">
      <c r="A737" s="24">
        <v>5.0</v>
      </c>
      <c r="B737" s="25" t="s">
        <v>870</v>
      </c>
      <c r="C737" s="24">
        <v>1.0</v>
      </c>
      <c r="D737" s="25" t="s">
        <v>871</v>
      </c>
      <c r="E737" s="24">
        <v>2.0</v>
      </c>
      <c r="F737" s="25" t="s">
        <v>887</v>
      </c>
      <c r="G737" s="24">
        <v>1.0</v>
      </c>
      <c r="H737" s="25" t="s">
        <v>888</v>
      </c>
      <c r="I737" s="26"/>
      <c r="J737" s="24">
        <v>3.0</v>
      </c>
      <c r="K737" s="25" t="s">
        <v>891</v>
      </c>
      <c r="L737" s="26"/>
    </row>
    <row r="738">
      <c r="A738" s="24">
        <v>5.0</v>
      </c>
      <c r="B738" s="25" t="s">
        <v>870</v>
      </c>
      <c r="C738" s="24">
        <v>1.0</v>
      </c>
      <c r="D738" s="25" t="s">
        <v>871</v>
      </c>
      <c r="E738" s="24">
        <v>2.0</v>
      </c>
      <c r="F738" s="25" t="s">
        <v>887</v>
      </c>
      <c r="G738" s="24">
        <v>2.0</v>
      </c>
      <c r="H738" s="25" t="s">
        <v>892</v>
      </c>
      <c r="I738" s="26"/>
      <c r="J738" s="24">
        <v>1.0</v>
      </c>
      <c r="K738" s="25" t="s">
        <v>893</v>
      </c>
      <c r="L738" s="26"/>
    </row>
    <row r="739">
      <c r="A739" s="24">
        <v>5.0</v>
      </c>
      <c r="B739" s="25" t="s">
        <v>870</v>
      </c>
      <c r="C739" s="24">
        <v>1.0</v>
      </c>
      <c r="D739" s="25" t="s">
        <v>871</v>
      </c>
      <c r="E739" s="24">
        <v>2.0</v>
      </c>
      <c r="F739" s="25" t="s">
        <v>887</v>
      </c>
      <c r="G739" s="24">
        <v>2.0</v>
      </c>
      <c r="H739" s="25" t="s">
        <v>892</v>
      </c>
      <c r="I739" s="26"/>
      <c r="J739" s="24">
        <v>2.0</v>
      </c>
      <c r="K739" s="25" t="s">
        <v>894</v>
      </c>
      <c r="L739" s="26"/>
    </row>
    <row r="740">
      <c r="A740" s="24">
        <v>5.0</v>
      </c>
      <c r="B740" s="25" t="s">
        <v>870</v>
      </c>
      <c r="C740" s="24">
        <v>1.0</v>
      </c>
      <c r="D740" s="25" t="s">
        <v>871</v>
      </c>
      <c r="E740" s="24">
        <v>2.0</v>
      </c>
      <c r="F740" s="25" t="s">
        <v>887</v>
      </c>
      <c r="G740" s="24">
        <v>2.0</v>
      </c>
      <c r="H740" s="25" t="s">
        <v>892</v>
      </c>
      <c r="I740" s="26"/>
      <c r="J740" s="24">
        <v>3.0</v>
      </c>
      <c r="K740" s="25" t="s">
        <v>895</v>
      </c>
      <c r="L740" s="26"/>
    </row>
    <row r="741">
      <c r="A741" s="24">
        <v>5.0</v>
      </c>
      <c r="B741" s="25" t="s">
        <v>870</v>
      </c>
      <c r="C741" s="24">
        <v>1.0</v>
      </c>
      <c r="D741" s="25" t="s">
        <v>871</v>
      </c>
      <c r="E741" s="24">
        <v>2.0</v>
      </c>
      <c r="F741" s="25" t="s">
        <v>887</v>
      </c>
      <c r="G741" s="24">
        <v>2.0</v>
      </c>
      <c r="H741" s="25" t="s">
        <v>892</v>
      </c>
      <c r="I741" s="26"/>
      <c r="J741" s="24">
        <v>4.0</v>
      </c>
      <c r="K741" s="25" t="s">
        <v>896</v>
      </c>
      <c r="L741" s="26"/>
    </row>
    <row r="742">
      <c r="A742" s="24">
        <v>5.0</v>
      </c>
      <c r="B742" s="25" t="s">
        <v>870</v>
      </c>
      <c r="C742" s="24">
        <v>1.0</v>
      </c>
      <c r="D742" s="25" t="s">
        <v>871</v>
      </c>
      <c r="E742" s="24">
        <v>2.0</v>
      </c>
      <c r="F742" s="25" t="s">
        <v>887</v>
      </c>
      <c r="G742" s="24">
        <v>2.0</v>
      </c>
      <c r="H742" s="25" t="s">
        <v>892</v>
      </c>
      <c r="I742" s="26"/>
      <c r="J742" s="24">
        <v>5.0</v>
      </c>
      <c r="K742" s="25" t="s">
        <v>897</v>
      </c>
      <c r="L742" s="26"/>
    </row>
    <row r="743">
      <c r="A743" s="24">
        <v>5.0</v>
      </c>
      <c r="B743" s="25" t="s">
        <v>870</v>
      </c>
      <c r="C743" s="24">
        <v>1.0</v>
      </c>
      <c r="D743" s="25" t="s">
        <v>871</v>
      </c>
      <c r="E743" s="24">
        <v>2.0</v>
      </c>
      <c r="F743" s="25" t="s">
        <v>887</v>
      </c>
      <c r="G743" s="24">
        <v>3.0</v>
      </c>
      <c r="H743" s="25" t="s">
        <v>898</v>
      </c>
      <c r="I743" s="26" t="s">
        <v>245</v>
      </c>
      <c r="J743" s="24">
        <v>1.0</v>
      </c>
      <c r="K743" s="25" t="s">
        <v>246</v>
      </c>
      <c r="L743" s="26"/>
    </row>
    <row r="744">
      <c r="A744" s="24">
        <v>5.0</v>
      </c>
      <c r="B744" s="25" t="s">
        <v>870</v>
      </c>
      <c r="C744" s="24">
        <v>1.0</v>
      </c>
      <c r="D744" s="25" t="s">
        <v>871</v>
      </c>
      <c r="E744" s="24">
        <v>2.0</v>
      </c>
      <c r="F744" s="25" t="s">
        <v>887</v>
      </c>
      <c r="G744" s="24">
        <v>3.0</v>
      </c>
      <c r="H744" s="25" t="s">
        <v>898</v>
      </c>
      <c r="I744" s="26" t="s">
        <v>245</v>
      </c>
      <c r="J744" s="24">
        <v>2.0</v>
      </c>
      <c r="K744" s="25" t="s">
        <v>247</v>
      </c>
      <c r="L744" s="26"/>
    </row>
    <row r="745">
      <c r="A745" s="24">
        <v>5.0</v>
      </c>
      <c r="B745" s="25" t="s">
        <v>870</v>
      </c>
      <c r="C745" s="24">
        <v>1.0</v>
      </c>
      <c r="D745" s="25" t="s">
        <v>871</v>
      </c>
      <c r="E745" s="24">
        <v>2.0</v>
      </c>
      <c r="F745" s="25" t="s">
        <v>887</v>
      </c>
      <c r="G745" s="24">
        <v>3.0</v>
      </c>
      <c r="H745" s="25" t="s">
        <v>898</v>
      </c>
      <c r="I745" s="26" t="s">
        <v>245</v>
      </c>
      <c r="J745" s="24">
        <v>3.0</v>
      </c>
      <c r="K745" s="25" t="s">
        <v>252</v>
      </c>
      <c r="L745" s="26"/>
    </row>
    <row r="746">
      <c r="A746" s="24">
        <v>5.0</v>
      </c>
      <c r="B746" s="25" t="s">
        <v>870</v>
      </c>
      <c r="C746" s="24">
        <v>1.0</v>
      </c>
      <c r="D746" s="25" t="s">
        <v>871</v>
      </c>
      <c r="E746" s="24">
        <v>2.0</v>
      </c>
      <c r="F746" s="25" t="s">
        <v>887</v>
      </c>
      <c r="G746" s="24">
        <v>4.0</v>
      </c>
      <c r="H746" s="25" t="s">
        <v>899</v>
      </c>
      <c r="I746" s="26"/>
      <c r="J746" s="24">
        <v>1.0</v>
      </c>
      <c r="K746" s="25" t="s">
        <v>900</v>
      </c>
      <c r="L746" s="26"/>
    </row>
    <row r="747">
      <c r="A747" s="24">
        <v>5.0</v>
      </c>
      <c r="B747" s="25" t="s">
        <v>870</v>
      </c>
      <c r="C747" s="24">
        <v>1.0</v>
      </c>
      <c r="D747" s="25" t="s">
        <v>871</v>
      </c>
      <c r="E747" s="24">
        <v>2.0</v>
      </c>
      <c r="F747" s="25" t="s">
        <v>887</v>
      </c>
      <c r="G747" s="24">
        <v>4.0</v>
      </c>
      <c r="H747" s="25" t="s">
        <v>899</v>
      </c>
      <c r="I747" s="26"/>
      <c r="J747" s="24">
        <v>2.0</v>
      </c>
      <c r="K747" s="25" t="s">
        <v>901</v>
      </c>
      <c r="L747" s="26"/>
    </row>
    <row r="748">
      <c r="A748" s="24">
        <v>5.0</v>
      </c>
      <c r="B748" s="25" t="s">
        <v>870</v>
      </c>
      <c r="C748" s="24">
        <v>1.0</v>
      </c>
      <c r="D748" s="25" t="s">
        <v>871</v>
      </c>
      <c r="E748" s="24">
        <v>2.0</v>
      </c>
      <c r="F748" s="25" t="s">
        <v>887</v>
      </c>
      <c r="G748" s="24">
        <v>4.0</v>
      </c>
      <c r="H748" s="25" t="s">
        <v>899</v>
      </c>
      <c r="I748" s="26"/>
      <c r="J748" s="24">
        <v>3.0</v>
      </c>
      <c r="K748" s="25" t="s">
        <v>902</v>
      </c>
      <c r="L748" s="26"/>
    </row>
    <row r="749">
      <c r="A749" s="24">
        <v>5.0</v>
      </c>
      <c r="B749" s="25" t="s">
        <v>870</v>
      </c>
      <c r="C749" s="24">
        <v>1.0</v>
      </c>
      <c r="D749" s="25" t="s">
        <v>871</v>
      </c>
      <c r="E749" s="24">
        <v>2.0</v>
      </c>
      <c r="F749" s="25" t="s">
        <v>887</v>
      </c>
      <c r="G749" s="24">
        <v>4.0</v>
      </c>
      <c r="H749" s="25" t="s">
        <v>899</v>
      </c>
      <c r="I749" s="26"/>
      <c r="J749" s="24">
        <v>4.0</v>
      </c>
      <c r="K749" s="25" t="s">
        <v>903</v>
      </c>
      <c r="L749" s="26"/>
    </row>
    <row r="750">
      <c r="A750" s="24">
        <v>5.0</v>
      </c>
      <c r="B750" s="25" t="s">
        <v>870</v>
      </c>
      <c r="C750" s="24">
        <v>1.0</v>
      </c>
      <c r="D750" s="25" t="s">
        <v>871</v>
      </c>
      <c r="E750" s="24">
        <v>2.0</v>
      </c>
      <c r="F750" s="25" t="s">
        <v>887</v>
      </c>
      <c r="G750" s="24">
        <v>4.0</v>
      </c>
      <c r="H750" s="25" t="s">
        <v>899</v>
      </c>
      <c r="I750" s="26"/>
      <c r="J750" s="24">
        <v>5.0</v>
      </c>
      <c r="K750" s="25" t="s">
        <v>904</v>
      </c>
      <c r="L750" s="26"/>
    </row>
    <row r="751">
      <c r="A751" s="24">
        <v>5.0</v>
      </c>
      <c r="B751" s="25" t="s">
        <v>870</v>
      </c>
      <c r="C751" s="24">
        <v>1.0</v>
      </c>
      <c r="D751" s="25" t="s">
        <v>871</v>
      </c>
      <c r="E751" s="24">
        <v>2.0</v>
      </c>
      <c r="F751" s="25" t="s">
        <v>887</v>
      </c>
      <c r="G751" s="24">
        <v>4.0</v>
      </c>
      <c r="H751" s="25" t="s">
        <v>899</v>
      </c>
      <c r="I751" s="26"/>
      <c r="J751" s="24">
        <v>6.0</v>
      </c>
      <c r="K751" s="25" t="s">
        <v>905</v>
      </c>
      <c r="L751" s="26"/>
    </row>
    <row r="752">
      <c r="A752" s="24">
        <v>5.0</v>
      </c>
      <c r="B752" s="25" t="s">
        <v>870</v>
      </c>
      <c r="C752" s="24">
        <v>1.0</v>
      </c>
      <c r="D752" s="25" t="s">
        <v>871</v>
      </c>
      <c r="E752" s="24">
        <v>3.0</v>
      </c>
      <c r="F752" s="25" t="s">
        <v>906</v>
      </c>
      <c r="G752" s="24">
        <v>1.0</v>
      </c>
      <c r="H752" s="25" t="s">
        <v>907</v>
      </c>
      <c r="I752" s="26"/>
      <c r="J752" s="24">
        <v>1.0</v>
      </c>
      <c r="K752" s="25" t="s">
        <v>908</v>
      </c>
      <c r="L752" s="26"/>
    </row>
    <row r="753">
      <c r="A753" s="24">
        <v>5.0</v>
      </c>
      <c r="B753" s="25" t="s">
        <v>870</v>
      </c>
      <c r="C753" s="24">
        <v>1.0</v>
      </c>
      <c r="D753" s="25" t="s">
        <v>871</v>
      </c>
      <c r="E753" s="24">
        <v>3.0</v>
      </c>
      <c r="F753" s="25" t="s">
        <v>906</v>
      </c>
      <c r="G753" s="24">
        <v>1.0</v>
      </c>
      <c r="H753" s="25" t="s">
        <v>907</v>
      </c>
      <c r="I753" s="26"/>
      <c r="J753" s="24">
        <v>2.0</v>
      </c>
      <c r="K753" s="25" t="s">
        <v>909</v>
      </c>
      <c r="L753" s="26"/>
    </row>
    <row r="754">
      <c r="A754" s="24">
        <v>5.0</v>
      </c>
      <c r="B754" s="25" t="s">
        <v>870</v>
      </c>
      <c r="C754" s="24">
        <v>1.0</v>
      </c>
      <c r="D754" s="25" t="s">
        <v>871</v>
      </c>
      <c r="E754" s="24">
        <v>3.0</v>
      </c>
      <c r="F754" s="25" t="s">
        <v>906</v>
      </c>
      <c r="G754" s="24">
        <v>1.0</v>
      </c>
      <c r="H754" s="25" t="s">
        <v>907</v>
      </c>
      <c r="I754" s="26"/>
      <c r="J754" s="24">
        <v>3.0</v>
      </c>
      <c r="K754" s="25" t="s">
        <v>910</v>
      </c>
      <c r="L754" s="26"/>
    </row>
    <row r="755">
      <c r="A755" s="24">
        <v>5.0</v>
      </c>
      <c r="B755" s="25" t="s">
        <v>870</v>
      </c>
      <c r="C755" s="24">
        <v>1.0</v>
      </c>
      <c r="D755" s="25" t="s">
        <v>871</v>
      </c>
      <c r="E755" s="24">
        <v>3.0</v>
      </c>
      <c r="F755" s="25" t="s">
        <v>906</v>
      </c>
      <c r="G755" s="24">
        <v>1.0</v>
      </c>
      <c r="H755" s="25" t="s">
        <v>907</v>
      </c>
      <c r="I755" s="26"/>
      <c r="J755" s="24">
        <v>4.0</v>
      </c>
      <c r="K755" s="25" t="s">
        <v>911</v>
      </c>
      <c r="L755" s="26"/>
    </row>
    <row r="756">
      <c r="A756" s="24">
        <v>5.0</v>
      </c>
      <c r="B756" s="25" t="s">
        <v>870</v>
      </c>
      <c r="C756" s="24">
        <v>1.0</v>
      </c>
      <c r="D756" s="25" t="s">
        <v>871</v>
      </c>
      <c r="E756" s="24">
        <v>3.0</v>
      </c>
      <c r="F756" s="25" t="s">
        <v>906</v>
      </c>
      <c r="G756" s="24">
        <v>2.0</v>
      </c>
      <c r="H756" s="25" t="s">
        <v>912</v>
      </c>
      <c r="I756" s="26"/>
      <c r="J756" s="24">
        <v>1.0</v>
      </c>
      <c r="K756" s="25" t="s">
        <v>913</v>
      </c>
      <c r="L756" s="26"/>
    </row>
    <row r="757">
      <c r="A757" s="24">
        <v>5.0</v>
      </c>
      <c r="B757" s="25" t="s">
        <v>870</v>
      </c>
      <c r="C757" s="24">
        <v>1.0</v>
      </c>
      <c r="D757" s="25" t="s">
        <v>871</v>
      </c>
      <c r="E757" s="24">
        <v>3.0</v>
      </c>
      <c r="F757" s="25" t="s">
        <v>906</v>
      </c>
      <c r="G757" s="24">
        <v>2.0</v>
      </c>
      <c r="H757" s="25" t="s">
        <v>912</v>
      </c>
      <c r="I757" s="26"/>
      <c r="J757" s="24">
        <v>2.0</v>
      </c>
      <c r="K757" s="25" t="s">
        <v>914</v>
      </c>
      <c r="L757" s="26"/>
    </row>
    <row r="758">
      <c r="A758" s="24">
        <v>5.0</v>
      </c>
      <c r="B758" s="25" t="s">
        <v>870</v>
      </c>
      <c r="C758" s="24">
        <v>1.0</v>
      </c>
      <c r="D758" s="25" t="s">
        <v>871</v>
      </c>
      <c r="E758" s="24">
        <v>3.0</v>
      </c>
      <c r="F758" s="25" t="s">
        <v>906</v>
      </c>
      <c r="G758" s="24">
        <v>2.0</v>
      </c>
      <c r="H758" s="25" t="s">
        <v>912</v>
      </c>
      <c r="I758" s="26"/>
      <c r="J758" s="24">
        <v>3.0</v>
      </c>
      <c r="K758" s="25" t="s">
        <v>915</v>
      </c>
      <c r="L758" s="26"/>
    </row>
    <row r="759">
      <c r="A759" s="24">
        <v>5.0</v>
      </c>
      <c r="B759" s="25" t="s">
        <v>870</v>
      </c>
      <c r="C759" s="24">
        <v>1.0</v>
      </c>
      <c r="D759" s="25" t="s">
        <v>871</v>
      </c>
      <c r="E759" s="24">
        <v>3.0</v>
      </c>
      <c r="F759" s="25" t="s">
        <v>906</v>
      </c>
      <c r="G759" s="24">
        <v>2.0</v>
      </c>
      <c r="H759" s="25" t="s">
        <v>912</v>
      </c>
      <c r="I759" s="26"/>
      <c r="J759" s="24">
        <v>4.0</v>
      </c>
      <c r="K759" s="25" t="s">
        <v>916</v>
      </c>
      <c r="L759" s="26"/>
    </row>
    <row r="760">
      <c r="A760" s="24">
        <v>5.0</v>
      </c>
      <c r="B760" s="25" t="s">
        <v>870</v>
      </c>
      <c r="C760" s="24">
        <v>1.0</v>
      </c>
      <c r="D760" s="25" t="s">
        <v>871</v>
      </c>
      <c r="E760" s="24">
        <v>3.0</v>
      </c>
      <c r="F760" s="25" t="s">
        <v>906</v>
      </c>
      <c r="G760" s="24">
        <v>2.0</v>
      </c>
      <c r="H760" s="25" t="s">
        <v>912</v>
      </c>
      <c r="I760" s="26"/>
      <c r="J760" s="24">
        <v>5.0</v>
      </c>
      <c r="K760" s="25" t="s">
        <v>917</v>
      </c>
      <c r="L760" s="26"/>
    </row>
    <row r="761">
      <c r="A761" s="24">
        <v>5.0</v>
      </c>
      <c r="B761" s="25" t="s">
        <v>870</v>
      </c>
      <c r="C761" s="24">
        <v>1.0</v>
      </c>
      <c r="D761" s="25" t="s">
        <v>871</v>
      </c>
      <c r="E761" s="24">
        <v>3.0</v>
      </c>
      <c r="F761" s="25" t="s">
        <v>906</v>
      </c>
      <c r="G761" s="24">
        <v>2.0</v>
      </c>
      <c r="H761" s="25" t="s">
        <v>912</v>
      </c>
      <c r="I761" s="26"/>
      <c r="J761" s="24">
        <v>6.0</v>
      </c>
      <c r="K761" s="25" t="s">
        <v>918</v>
      </c>
      <c r="L761" s="26"/>
    </row>
    <row r="762">
      <c r="A762" s="24">
        <v>5.0</v>
      </c>
      <c r="B762" s="25" t="s">
        <v>870</v>
      </c>
      <c r="C762" s="24">
        <v>1.0</v>
      </c>
      <c r="D762" s="25" t="s">
        <v>871</v>
      </c>
      <c r="E762" s="24">
        <v>4.0</v>
      </c>
      <c r="F762" s="25" t="s">
        <v>919</v>
      </c>
      <c r="G762" s="24">
        <v>1.0</v>
      </c>
      <c r="H762" s="25" t="s">
        <v>920</v>
      </c>
      <c r="I762" s="26"/>
      <c r="J762" s="24">
        <v>1.0</v>
      </c>
      <c r="K762" s="25" t="s">
        <v>921</v>
      </c>
      <c r="L762" s="26"/>
    </row>
    <row r="763">
      <c r="A763" s="24">
        <v>5.0</v>
      </c>
      <c r="B763" s="25" t="s">
        <v>870</v>
      </c>
      <c r="C763" s="24">
        <v>1.0</v>
      </c>
      <c r="D763" s="25" t="s">
        <v>871</v>
      </c>
      <c r="E763" s="24">
        <v>4.0</v>
      </c>
      <c r="F763" s="25" t="s">
        <v>919</v>
      </c>
      <c r="G763" s="24">
        <v>1.0</v>
      </c>
      <c r="H763" s="25" t="s">
        <v>920</v>
      </c>
      <c r="I763" s="26"/>
      <c r="J763" s="24">
        <v>2.0</v>
      </c>
      <c r="K763" s="25" t="s">
        <v>922</v>
      </c>
      <c r="L763" s="26"/>
    </row>
    <row r="764">
      <c r="A764" s="24">
        <v>5.0</v>
      </c>
      <c r="B764" s="25" t="s">
        <v>870</v>
      </c>
      <c r="C764" s="24">
        <v>1.0</v>
      </c>
      <c r="D764" s="25" t="s">
        <v>871</v>
      </c>
      <c r="E764" s="24">
        <v>4.0</v>
      </c>
      <c r="F764" s="25" t="s">
        <v>919</v>
      </c>
      <c r="G764" s="24">
        <v>1.0</v>
      </c>
      <c r="H764" s="25" t="s">
        <v>920</v>
      </c>
      <c r="I764" s="26"/>
      <c r="J764" s="24">
        <v>3.0</v>
      </c>
      <c r="K764" s="25" t="s">
        <v>923</v>
      </c>
      <c r="L764" s="26"/>
    </row>
    <row r="765">
      <c r="A765" s="24">
        <v>5.0</v>
      </c>
      <c r="B765" s="25" t="s">
        <v>870</v>
      </c>
      <c r="C765" s="24">
        <v>1.0</v>
      </c>
      <c r="D765" s="25" t="s">
        <v>871</v>
      </c>
      <c r="E765" s="24">
        <v>4.0</v>
      </c>
      <c r="F765" s="25" t="s">
        <v>919</v>
      </c>
      <c r="G765" s="24">
        <v>1.0</v>
      </c>
      <c r="H765" s="25" t="s">
        <v>920</v>
      </c>
      <c r="I765" s="26"/>
      <c r="J765" s="24">
        <v>4.0</v>
      </c>
      <c r="K765" s="25" t="s">
        <v>924</v>
      </c>
      <c r="L765" s="26"/>
    </row>
    <row r="766">
      <c r="A766" s="24">
        <v>5.0</v>
      </c>
      <c r="B766" s="25" t="s">
        <v>870</v>
      </c>
      <c r="C766" s="24">
        <v>1.0</v>
      </c>
      <c r="D766" s="25" t="s">
        <v>871</v>
      </c>
      <c r="E766" s="24">
        <v>4.0</v>
      </c>
      <c r="F766" s="25" t="s">
        <v>919</v>
      </c>
      <c r="G766" s="24">
        <v>1.0</v>
      </c>
      <c r="H766" s="25" t="s">
        <v>920</v>
      </c>
      <c r="I766" s="26"/>
      <c r="J766" s="24">
        <v>5.0</v>
      </c>
      <c r="K766" s="25" t="s">
        <v>925</v>
      </c>
      <c r="L766" s="26"/>
    </row>
    <row r="767">
      <c r="A767" s="24">
        <v>5.0</v>
      </c>
      <c r="B767" s="25" t="s">
        <v>870</v>
      </c>
      <c r="C767" s="24">
        <v>1.0</v>
      </c>
      <c r="D767" s="25" t="s">
        <v>871</v>
      </c>
      <c r="E767" s="24">
        <v>4.0</v>
      </c>
      <c r="F767" s="25" t="s">
        <v>919</v>
      </c>
      <c r="G767" s="24">
        <v>1.0</v>
      </c>
      <c r="H767" s="25" t="s">
        <v>920</v>
      </c>
      <c r="I767" s="26"/>
      <c r="J767" s="24">
        <v>6.0</v>
      </c>
      <c r="K767" s="25" t="s">
        <v>926</v>
      </c>
      <c r="L767" s="26"/>
    </row>
    <row r="768">
      <c r="A768" s="24">
        <v>5.0</v>
      </c>
      <c r="B768" s="25" t="s">
        <v>870</v>
      </c>
      <c r="C768" s="24">
        <v>1.0</v>
      </c>
      <c r="D768" s="25" t="s">
        <v>871</v>
      </c>
      <c r="E768" s="24">
        <v>4.0</v>
      </c>
      <c r="F768" s="25" t="s">
        <v>919</v>
      </c>
      <c r="G768" s="24">
        <v>2.0</v>
      </c>
      <c r="H768" s="25" t="s">
        <v>927</v>
      </c>
      <c r="I768" s="26"/>
      <c r="J768" s="24">
        <v>1.0</v>
      </c>
      <c r="K768" s="25" t="s">
        <v>928</v>
      </c>
      <c r="L768" s="26"/>
    </row>
    <row r="769">
      <c r="A769" s="24">
        <v>5.0</v>
      </c>
      <c r="B769" s="25" t="s">
        <v>870</v>
      </c>
      <c r="C769" s="24">
        <v>1.0</v>
      </c>
      <c r="D769" s="25" t="s">
        <v>871</v>
      </c>
      <c r="E769" s="24">
        <v>4.0</v>
      </c>
      <c r="F769" s="25" t="s">
        <v>919</v>
      </c>
      <c r="G769" s="24">
        <v>2.0</v>
      </c>
      <c r="H769" s="25" t="s">
        <v>927</v>
      </c>
      <c r="I769" s="26"/>
      <c r="J769" s="24">
        <v>2.0</v>
      </c>
      <c r="K769" s="25" t="s">
        <v>929</v>
      </c>
      <c r="L769" s="26"/>
    </row>
    <row r="770">
      <c r="A770" s="24">
        <v>5.0</v>
      </c>
      <c r="B770" s="25" t="s">
        <v>870</v>
      </c>
      <c r="C770" s="24">
        <v>1.0</v>
      </c>
      <c r="D770" s="25" t="s">
        <v>871</v>
      </c>
      <c r="E770" s="24">
        <v>4.0</v>
      </c>
      <c r="F770" s="25" t="s">
        <v>919</v>
      </c>
      <c r="G770" s="24">
        <v>2.0</v>
      </c>
      <c r="H770" s="25" t="s">
        <v>927</v>
      </c>
      <c r="I770" s="26"/>
      <c r="J770" s="24">
        <v>3.0</v>
      </c>
      <c r="K770" s="25" t="s">
        <v>930</v>
      </c>
      <c r="L770" s="26"/>
    </row>
    <row r="771">
      <c r="A771" s="24">
        <v>5.0</v>
      </c>
      <c r="B771" s="25" t="s">
        <v>870</v>
      </c>
      <c r="C771" s="24">
        <v>1.0</v>
      </c>
      <c r="D771" s="25" t="s">
        <v>871</v>
      </c>
      <c r="E771" s="24">
        <v>4.0</v>
      </c>
      <c r="F771" s="25" t="s">
        <v>919</v>
      </c>
      <c r="G771" s="24">
        <v>2.0</v>
      </c>
      <c r="H771" s="25" t="s">
        <v>927</v>
      </c>
      <c r="I771" s="26"/>
      <c r="J771" s="24">
        <v>4.0</v>
      </c>
      <c r="K771" s="25" t="s">
        <v>931</v>
      </c>
      <c r="L771" s="26"/>
    </row>
    <row r="772">
      <c r="A772" s="24">
        <v>5.0</v>
      </c>
      <c r="B772" s="25" t="s">
        <v>870</v>
      </c>
      <c r="C772" s="24">
        <v>1.0</v>
      </c>
      <c r="D772" s="25" t="s">
        <v>871</v>
      </c>
      <c r="E772" s="24">
        <v>4.0</v>
      </c>
      <c r="F772" s="25" t="s">
        <v>919</v>
      </c>
      <c r="G772" s="24">
        <v>2.0</v>
      </c>
      <c r="H772" s="25" t="s">
        <v>927</v>
      </c>
      <c r="I772" s="26"/>
      <c r="J772" s="24">
        <v>5.0</v>
      </c>
      <c r="K772" s="25" t="s">
        <v>932</v>
      </c>
      <c r="L772" s="26"/>
    </row>
    <row r="773">
      <c r="A773" s="24">
        <v>5.0</v>
      </c>
      <c r="B773" s="25" t="s">
        <v>870</v>
      </c>
      <c r="C773" s="24">
        <v>1.0</v>
      </c>
      <c r="D773" s="25" t="s">
        <v>871</v>
      </c>
      <c r="E773" s="24">
        <v>4.0</v>
      </c>
      <c r="F773" s="25" t="s">
        <v>919</v>
      </c>
      <c r="G773" s="24">
        <v>2.0</v>
      </c>
      <c r="H773" s="25" t="s">
        <v>927</v>
      </c>
      <c r="I773" s="26"/>
      <c r="J773" s="24">
        <v>6.0</v>
      </c>
      <c r="K773" s="25" t="s">
        <v>933</v>
      </c>
      <c r="L773" s="26"/>
    </row>
    <row r="774">
      <c r="A774" s="24">
        <v>5.0</v>
      </c>
      <c r="B774" s="25" t="s">
        <v>870</v>
      </c>
      <c r="C774" s="24">
        <v>1.0</v>
      </c>
      <c r="D774" s="25" t="s">
        <v>871</v>
      </c>
      <c r="E774" s="24">
        <v>4.0</v>
      </c>
      <c r="F774" s="25" t="s">
        <v>919</v>
      </c>
      <c r="G774" s="24">
        <v>2.0</v>
      </c>
      <c r="H774" s="25" t="s">
        <v>927</v>
      </c>
      <c r="I774" s="26"/>
      <c r="J774" s="24">
        <v>7.0</v>
      </c>
      <c r="K774" s="25" t="s">
        <v>934</v>
      </c>
      <c r="L774" s="26"/>
    </row>
    <row r="775">
      <c r="A775" s="24">
        <v>5.0</v>
      </c>
      <c r="B775" s="25" t="s">
        <v>870</v>
      </c>
      <c r="C775" s="24">
        <v>1.0</v>
      </c>
      <c r="D775" s="25" t="s">
        <v>871</v>
      </c>
      <c r="E775" s="24">
        <v>5.0</v>
      </c>
      <c r="F775" s="25" t="s">
        <v>935</v>
      </c>
      <c r="G775" s="24">
        <v>1.0</v>
      </c>
      <c r="H775" s="25" t="s">
        <v>936</v>
      </c>
      <c r="I775" s="26"/>
      <c r="J775" s="24">
        <v>1.0</v>
      </c>
      <c r="K775" s="25" t="s">
        <v>937</v>
      </c>
      <c r="L775" s="26"/>
    </row>
    <row r="776">
      <c r="A776" s="24">
        <v>5.0</v>
      </c>
      <c r="B776" s="25" t="s">
        <v>870</v>
      </c>
      <c r="C776" s="24">
        <v>1.0</v>
      </c>
      <c r="D776" s="25" t="s">
        <v>871</v>
      </c>
      <c r="E776" s="24">
        <v>5.0</v>
      </c>
      <c r="F776" s="25" t="s">
        <v>935</v>
      </c>
      <c r="G776" s="24">
        <v>1.0</v>
      </c>
      <c r="H776" s="25" t="s">
        <v>936</v>
      </c>
      <c r="I776" s="26"/>
      <c r="J776" s="24">
        <v>2.0</v>
      </c>
      <c r="K776" s="25" t="s">
        <v>938</v>
      </c>
      <c r="L776" s="26"/>
    </row>
    <row r="777">
      <c r="A777" s="24">
        <v>5.0</v>
      </c>
      <c r="B777" s="25" t="s">
        <v>870</v>
      </c>
      <c r="C777" s="24">
        <v>1.0</v>
      </c>
      <c r="D777" s="25" t="s">
        <v>871</v>
      </c>
      <c r="E777" s="24">
        <v>5.0</v>
      </c>
      <c r="F777" s="25" t="s">
        <v>935</v>
      </c>
      <c r="G777" s="24">
        <v>1.0</v>
      </c>
      <c r="H777" s="25" t="s">
        <v>936</v>
      </c>
      <c r="I777" s="26"/>
      <c r="J777" s="24">
        <v>3.0</v>
      </c>
      <c r="K777" s="25" t="s">
        <v>939</v>
      </c>
      <c r="L777" s="26"/>
    </row>
    <row r="778">
      <c r="A778" s="24">
        <v>5.0</v>
      </c>
      <c r="B778" s="25" t="s">
        <v>870</v>
      </c>
      <c r="C778" s="24">
        <v>1.0</v>
      </c>
      <c r="D778" s="25" t="s">
        <v>871</v>
      </c>
      <c r="E778" s="24">
        <v>5.0</v>
      </c>
      <c r="F778" s="25" t="s">
        <v>935</v>
      </c>
      <c r="G778" s="24">
        <v>1.0</v>
      </c>
      <c r="H778" s="25" t="s">
        <v>936</v>
      </c>
      <c r="I778" s="26"/>
      <c r="J778" s="24">
        <v>4.0</v>
      </c>
      <c r="K778" s="25" t="s">
        <v>940</v>
      </c>
      <c r="L778" s="26"/>
    </row>
    <row r="779">
      <c r="A779" s="24">
        <v>5.0</v>
      </c>
      <c r="B779" s="25" t="s">
        <v>870</v>
      </c>
      <c r="C779" s="24">
        <v>1.0</v>
      </c>
      <c r="D779" s="25" t="s">
        <v>871</v>
      </c>
      <c r="E779" s="24">
        <v>5.0</v>
      </c>
      <c r="F779" s="25" t="s">
        <v>935</v>
      </c>
      <c r="G779" s="24">
        <v>1.0</v>
      </c>
      <c r="H779" s="25" t="s">
        <v>936</v>
      </c>
      <c r="I779" s="26"/>
      <c r="J779" s="24">
        <v>5.0</v>
      </c>
      <c r="K779" s="25" t="s">
        <v>941</v>
      </c>
      <c r="L779" s="26"/>
    </row>
    <row r="780">
      <c r="A780" s="24">
        <v>5.0</v>
      </c>
      <c r="B780" s="25" t="s">
        <v>870</v>
      </c>
      <c r="C780" s="24">
        <v>1.0</v>
      </c>
      <c r="D780" s="25" t="s">
        <v>871</v>
      </c>
      <c r="E780" s="24">
        <v>5.0</v>
      </c>
      <c r="F780" s="25" t="s">
        <v>935</v>
      </c>
      <c r="G780" s="24">
        <v>1.0</v>
      </c>
      <c r="H780" s="25" t="s">
        <v>936</v>
      </c>
      <c r="I780" s="26"/>
      <c r="J780" s="24">
        <v>6.0</v>
      </c>
      <c r="K780" s="25" t="s">
        <v>942</v>
      </c>
      <c r="L780" s="26"/>
    </row>
    <row r="781">
      <c r="A781" s="24">
        <v>5.0</v>
      </c>
      <c r="B781" s="25" t="s">
        <v>870</v>
      </c>
      <c r="C781" s="24">
        <v>1.0</v>
      </c>
      <c r="D781" s="25" t="s">
        <v>871</v>
      </c>
      <c r="E781" s="24">
        <v>5.0</v>
      </c>
      <c r="F781" s="25" t="s">
        <v>935</v>
      </c>
      <c r="G781" s="24">
        <v>1.0</v>
      </c>
      <c r="H781" s="25" t="s">
        <v>936</v>
      </c>
      <c r="I781" s="26"/>
      <c r="J781" s="24">
        <v>7.0</v>
      </c>
      <c r="K781" s="25" t="s">
        <v>943</v>
      </c>
      <c r="L781" s="26"/>
    </row>
    <row r="782">
      <c r="A782" s="24">
        <v>5.0</v>
      </c>
      <c r="B782" s="25" t="s">
        <v>870</v>
      </c>
      <c r="C782" s="24">
        <v>1.0</v>
      </c>
      <c r="D782" s="25" t="s">
        <v>871</v>
      </c>
      <c r="E782" s="24">
        <v>5.0</v>
      </c>
      <c r="F782" s="25" t="s">
        <v>935</v>
      </c>
      <c r="G782" s="24">
        <v>1.0</v>
      </c>
      <c r="H782" s="25" t="s">
        <v>936</v>
      </c>
      <c r="I782" s="26"/>
      <c r="J782" s="24">
        <v>8.0</v>
      </c>
      <c r="K782" s="25" t="s">
        <v>944</v>
      </c>
      <c r="L782" s="26"/>
    </row>
    <row r="783">
      <c r="A783" s="24">
        <v>5.0</v>
      </c>
      <c r="B783" s="25" t="s">
        <v>870</v>
      </c>
      <c r="C783" s="24">
        <v>1.0</v>
      </c>
      <c r="D783" s="25" t="s">
        <v>871</v>
      </c>
      <c r="E783" s="24">
        <v>5.0</v>
      </c>
      <c r="F783" s="25" t="s">
        <v>935</v>
      </c>
      <c r="G783" s="24">
        <v>2.0</v>
      </c>
      <c r="H783" s="25" t="s">
        <v>945</v>
      </c>
      <c r="I783" s="26"/>
      <c r="J783" s="24">
        <v>1.0</v>
      </c>
      <c r="K783" s="25" t="s">
        <v>946</v>
      </c>
      <c r="L783" s="26"/>
    </row>
    <row r="784">
      <c r="A784" s="24">
        <v>5.0</v>
      </c>
      <c r="B784" s="25" t="s">
        <v>870</v>
      </c>
      <c r="C784" s="24">
        <v>1.0</v>
      </c>
      <c r="D784" s="25" t="s">
        <v>871</v>
      </c>
      <c r="E784" s="24">
        <v>5.0</v>
      </c>
      <c r="F784" s="25" t="s">
        <v>935</v>
      </c>
      <c r="G784" s="24">
        <v>2.0</v>
      </c>
      <c r="H784" s="25" t="s">
        <v>945</v>
      </c>
      <c r="I784" s="26"/>
      <c r="J784" s="24">
        <v>2.0</v>
      </c>
      <c r="K784" s="25" t="s">
        <v>947</v>
      </c>
      <c r="L784" s="26"/>
    </row>
    <row r="785">
      <c r="A785" s="24">
        <v>5.0</v>
      </c>
      <c r="B785" s="25" t="s">
        <v>870</v>
      </c>
      <c r="C785" s="24">
        <v>1.0</v>
      </c>
      <c r="D785" s="25" t="s">
        <v>871</v>
      </c>
      <c r="E785" s="24">
        <v>5.0</v>
      </c>
      <c r="F785" s="25" t="s">
        <v>935</v>
      </c>
      <c r="G785" s="24">
        <v>2.0</v>
      </c>
      <c r="H785" s="25" t="s">
        <v>945</v>
      </c>
      <c r="I785" s="26"/>
      <c r="J785" s="24">
        <v>3.0</v>
      </c>
      <c r="K785" s="25" t="s">
        <v>948</v>
      </c>
      <c r="L785" s="26"/>
    </row>
    <row r="786">
      <c r="A786" s="24">
        <v>5.0</v>
      </c>
      <c r="B786" s="25" t="s">
        <v>870</v>
      </c>
      <c r="C786" s="24">
        <v>1.0</v>
      </c>
      <c r="D786" s="25" t="s">
        <v>871</v>
      </c>
      <c r="E786" s="24">
        <v>5.0</v>
      </c>
      <c r="F786" s="25" t="s">
        <v>935</v>
      </c>
      <c r="G786" s="24">
        <v>2.0</v>
      </c>
      <c r="H786" s="25" t="s">
        <v>945</v>
      </c>
      <c r="I786" s="26"/>
      <c r="J786" s="24">
        <v>4.0</v>
      </c>
      <c r="K786" s="25" t="s">
        <v>949</v>
      </c>
      <c r="L786" s="26"/>
    </row>
    <row r="787">
      <c r="A787" s="24">
        <v>5.0</v>
      </c>
      <c r="B787" s="25" t="s">
        <v>870</v>
      </c>
      <c r="C787" s="24">
        <v>1.0</v>
      </c>
      <c r="D787" s="25" t="s">
        <v>871</v>
      </c>
      <c r="E787" s="24">
        <v>5.0</v>
      </c>
      <c r="F787" s="25" t="s">
        <v>935</v>
      </c>
      <c r="G787" s="24">
        <v>2.0</v>
      </c>
      <c r="H787" s="25" t="s">
        <v>945</v>
      </c>
      <c r="I787" s="26"/>
      <c r="J787" s="24">
        <v>5.0</v>
      </c>
      <c r="K787" s="25" t="s">
        <v>950</v>
      </c>
      <c r="L787" s="26"/>
    </row>
    <row r="788">
      <c r="A788" s="24">
        <v>5.0</v>
      </c>
      <c r="B788" s="25" t="s">
        <v>870</v>
      </c>
      <c r="C788" s="24">
        <v>1.0</v>
      </c>
      <c r="D788" s="25" t="s">
        <v>871</v>
      </c>
      <c r="E788" s="24">
        <v>5.0</v>
      </c>
      <c r="F788" s="25" t="s">
        <v>935</v>
      </c>
      <c r="G788" s="24">
        <v>2.0</v>
      </c>
      <c r="H788" s="25" t="s">
        <v>945</v>
      </c>
      <c r="I788" s="26"/>
      <c r="J788" s="24">
        <v>6.0</v>
      </c>
      <c r="K788" s="25" t="s">
        <v>951</v>
      </c>
      <c r="L788" s="26"/>
    </row>
    <row r="789">
      <c r="A789" s="24">
        <v>5.0</v>
      </c>
      <c r="B789" s="25" t="s">
        <v>870</v>
      </c>
      <c r="C789" s="24">
        <v>1.0</v>
      </c>
      <c r="D789" s="25" t="s">
        <v>871</v>
      </c>
      <c r="E789" s="24">
        <v>5.0</v>
      </c>
      <c r="F789" s="25" t="s">
        <v>935</v>
      </c>
      <c r="G789" s="24">
        <v>3.0</v>
      </c>
      <c r="H789" s="25" t="s">
        <v>952</v>
      </c>
      <c r="I789" s="26"/>
      <c r="J789" s="24">
        <v>1.0</v>
      </c>
      <c r="K789" s="25" t="s">
        <v>953</v>
      </c>
      <c r="L789" s="26"/>
    </row>
    <row r="790">
      <c r="A790" s="24">
        <v>5.0</v>
      </c>
      <c r="B790" s="25" t="s">
        <v>870</v>
      </c>
      <c r="C790" s="24">
        <v>1.0</v>
      </c>
      <c r="D790" s="25" t="s">
        <v>871</v>
      </c>
      <c r="E790" s="24">
        <v>5.0</v>
      </c>
      <c r="F790" s="25" t="s">
        <v>935</v>
      </c>
      <c r="G790" s="24">
        <v>3.0</v>
      </c>
      <c r="H790" s="25" t="s">
        <v>952</v>
      </c>
      <c r="I790" s="26"/>
      <c r="J790" s="24">
        <v>2.0</v>
      </c>
      <c r="K790" s="25" t="s">
        <v>954</v>
      </c>
      <c r="L790" s="26"/>
    </row>
    <row r="791">
      <c r="A791" s="24">
        <v>5.0</v>
      </c>
      <c r="B791" s="25" t="s">
        <v>870</v>
      </c>
      <c r="C791" s="24">
        <v>1.0</v>
      </c>
      <c r="D791" s="25" t="s">
        <v>871</v>
      </c>
      <c r="E791" s="24">
        <v>5.0</v>
      </c>
      <c r="F791" s="25" t="s">
        <v>935</v>
      </c>
      <c r="G791" s="24">
        <v>3.0</v>
      </c>
      <c r="H791" s="25" t="s">
        <v>952</v>
      </c>
      <c r="I791" s="26"/>
      <c r="J791" s="24">
        <v>3.0</v>
      </c>
      <c r="K791" s="25" t="s">
        <v>955</v>
      </c>
      <c r="L791" s="26"/>
    </row>
    <row r="792">
      <c r="A792" s="24">
        <v>5.0</v>
      </c>
      <c r="B792" s="25" t="s">
        <v>870</v>
      </c>
      <c r="C792" s="24">
        <v>1.0</v>
      </c>
      <c r="D792" s="25" t="s">
        <v>871</v>
      </c>
      <c r="E792" s="24">
        <v>5.0</v>
      </c>
      <c r="F792" s="25" t="s">
        <v>935</v>
      </c>
      <c r="G792" s="24">
        <v>3.0</v>
      </c>
      <c r="H792" s="25" t="s">
        <v>952</v>
      </c>
      <c r="I792" s="26"/>
      <c r="J792" s="24">
        <v>4.0</v>
      </c>
      <c r="K792" s="25" t="s">
        <v>956</v>
      </c>
      <c r="L792" s="26"/>
    </row>
    <row r="793">
      <c r="A793" s="24">
        <v>5.0</v>
      </c>
      <c r="B793" s="25" t="s">
        <v>870</v>
      </c>
      <c r="C793" s="24">
        <v>1.0</v>
      </c>
      <c r="D793" s="25" t="s">
        <v>871</v>
      </c>
      <c r="E793" s="24">
        <v>5.0</v>
      </c>
      <c r="F793" s="25" t="s">
        <v>935</v>
      </c>
      <c r="G793" s="24">
        <v>3.0</v>
      </c>
      <c r="H793" s="25" t="s">
        <v>952</v>
      </c>
      <c r="I793" s="26"/>
      <c r="J793" s="24">
        <v>5.0</v>
      </c>
      <c r="K793" s="25" t="s">
        <v>957</v>
      </c>
      <c r="L793" s="26"/>
    </row>
    <row r="794">
      <c r="A794" s="24">
        <v>5.0</v>
      </c>
      <c r="B794" s="25" t="s">
        <v>870</v>
      </c>
      <c r="C794" s="24">
        <v>1.0</v>
      </c>
      <c r="D794" s="25" t="s">
        <v>871</v>
      </c>
      <c r="E794" s="24">
        <v>5.0</v>
      </c>
      <c r="F794" s="25" t="s">
        <v>935</v>
      </c>
      <c r="G794" s="24">
        <v>3.0</v>
      </c>
      <c r="H794" s="25" t="s">
        <v>952</v>
      </c>
      <c r="I794" s="26"/>
      <c r="J794" s="24">
        <v>6.0</v>
      </c>
      <c r="K794" s="25" t="s">
        <v>958</v>
      </c>
      <c r="L794" s="26"/>
    </row>
    <row r="795">
      <c r="A795" s="24">
        <v>5.0</v>
      </c>
      <c r="B795" s="25" t="s">
        <v>870</v>
      </c>
      <c r="C795" s="24">
        <v>1.0</v>
      </c>
      <c r="D795" s="25" t="s">
        <v>871</v>
      </c>
      <c r="E795" s="24">
        <v>5.0</v>
      </c>
      <c r="F795" s="25" t="s">
        <v>935</v>
      </c>
      <c r="G795" s="24">
        <v>3.0</v>
      </c>
      <c r="H795" s="25" t="s">
        <v>952</v>
      </c>
      <c r="I795" s="26"/>
      <c r="J795" s="24">
        <v>7.0</v>
      </c>
      <c r="K795" s="25" t="s">
        <v>959</v>
      </c>
      <c r="L795" s="26"/>
    </row>
    <row r="796">
      <c r="A796" s="24">
        <v>5.0</v>
      </c>
      <c r="B796" s="25" t="s">
        <v>870</v>
      </c>
      <c r="C796" s="24">
        <v>1.0</v>
      </c>
      <c r="D796" s="25" t="s">
        <v>871</v>
      </c>
      <c r="E796" s="24">
        <v>5.0</v>
      </c>
      <c r="F796" s="25" t="s">
        <v>935</v>
      </c>
      <c r="G796" s="24">
        <v>3.0</v>
      </c>
      <c r="H796" s="25" t="s">
        <v>952</v>
      </c>
      <c r="I796" s="26"/>
      <c r="J796" s="24">
        <v>8.0</v>
      </c>
      <c r="K796" s="25" t="s">
        <v>960</v>
      </c>
      <c r="L796" s="26"/>
    </row>
    <row r="797">
      <c r="A797" s="24">
        <v>5.0</v>
      </c>
      <c r="B797" s="25" t="s">
        <v>870</v>
      </c>
      <c r="C797" s="24">
        <v>1.0</v>
      </c>
      <c r="D797" s="25" t="s">
        <v>871</v>
      </c>
      <c r="E797" s="24">
        <v>5.0</v>
      </c>
      <c r="F797" s="25" t="s">
        <v>935</v>
      </c>
      <c r="G797" s="24">
        <v>3.0</v>
      </c>
      <c r="H797" s="25" t="s">
        <v>952</v>
      </c>
      <c r="I797" s="26"/>
      <c r="J797" s="24">
        <v>9.0</v>
      </c>
      <c r="K797" s="25" t="s">
        <v>961</v>
      </c>
      <c r="L797" s="26"/>
    </row>
    <row r="798">
      <c r="A798" s="24">
        <v>5.0</v>
      </c>
      <c r="B798" s="25" t="s">
        <v>870</v>
      </c>
      <c r="C798" s="24">
        <v>1.0</v>
      </c>
      <c r="D798" s="25" t="s">
        <v>871</v>
      </c>
      <c r="E798" s="24">
        <v>5.0</v>
      </c>
      <c r="F798" s="25" t="s">
        <v>935</v>
      </c>
      <c r="G798" s="24">
        <v>3.0</v>
      </c>
      <c r="H798" s="25" t="s">
        <v>952</v>
      </c>
      <c r="I798" s="26"/>
      <c r="J798" s="24">
        <v>10.0</v>
      </c>
      <c r="K798" s="25" t="s">
        <v>962</v>
      </c>
      <c r="L798" s="26"/>
    </row>
    <row r="799">
      <c r="A799" s="24">
        <v>5.0</v>
      </c>
      <c r="B799" s="25" t="s">
        <v>870</v>
      </c>
      <c r="C799" s="24">
        <v>1.0</v>
      </c>
      <c r="D799" s="25" t="s">
        <v>871</v>
      </c>
      <c r="E799" s="24">
        <v>5.0</v>
      </c>
      <c r="F799" s="25" t="s">
        <v>935</v>
      </c>
      <c r="G799" s="24">
        <v>3.0</v>
      </c>
      <c r="H799" s="25" t="s">
        <v>952</v>
      </c>
      <c r="I799" s="26"/>
      <c r="J799" s="24">
        <v>11.0</v>
      </c>
      <c r="K799" s="25" t="s">
        <v>963</v>
      </c>
      <c r="L799" s="26"/>
    </row>
    <row r="800">
      <c r="A800" s="24">
        <v>5.0</v>
      </c>
      <c r="B800" s="25" t="s">
        <v>870</v>
      </c>
      <c r="C800" s="24">
        <v>1.0</v>
      </c>
      <c r="D800" s="25" t="s">
        <v>871</v>
      </c>
      <c r="E800" s="24">
        <v>6.0</v>
      </c>
      <c r="F800" s="25" t="s">
        <v>964</v>
      </c>
      <c r="G800" s="24">
        <v>1.0</v>
      </c>
      <c r="H800" s="25" t="s">
        <v>964</v>
      </c>
      <c r="I800" s="26"/>
      <c r="J800" s="24">
        <v>1.0</v>
      </c>
      <c r="K800" s="25" t="s">
        <v>965</v>
      </c>
      <c r="L800" s="26"/>
    </row>
    <row r="801">
      <c r="A801" s="24">
        <v>5.0</v>
      </c>
      <c r="B801" s="25" t="s">
        <v>870</v>
      </c>
      <c r="C801" s="24">
        <v>1.0</v>
      </c>
      <c r="D801" s="25" t="s">
        <v>871</v>
      </c>
      <c r="E801" s="24">
        <v>6.0</v>
      </c>
      <c r="F801" s="25" t="s">
        <v>964</v>
      </c>
      <c r="G801" s="24">
        <v>1.0</v>
      </c>
      <c r="H801" s="25" t="s">
        <v>964</v>
      </c>
      <c r="I801" s="26"/>
      <c r="J801" s="24">
        <v>2.0</v>
      </c>
      <c r="K801" s="25" t="s">
        <v>966</v>
      </c>
      <c r="L801" s="26"/>
    </row>
    <row r="802">
      <c r="A802" s="24">
        <v>5.0</v>
      </c>
      <c r="B802" s="25" t="s">
        <v>870</v>
      </c>
      <c r="C802" s="24">
        <v>1.0</v>
      </c>
      <c r="D802" s="25" t="s">
        <v>871</v>
      </c>
      <c r="E802" s="24">
        <v>6.0</v>
      </c>
      <c r="F802" s="25" t="s">
        <v>964</v>
      </c>
      <c r="G802" s="24">
        <v>1.0</v>
      </c>
      <c r="H802" s="25" t="s">
        <v>964</v>
      </c>
      <c r="I802" s="26"/>
      <c r="J802" s="24">
        <v>3.0</v>
      </c>
      <c r="K802" s="25" t="s">
        <v>967</v>
      </c>
      <c r="L802" s="26"/>
    </row>
    <row r="803">
      <c r="A803" s="24">
        <v>5.0</v>
      </c>
      <c r="B803" s="25" t="s">
        <v>870</v>
      </c>
      <c r="C803" s="24">
        <v>1.0</v>
      </c>
      <c r="D803" s="25" t="s">
        <v>871</v>
      </c>
      <c r="E803" s="24">
        <v>6.0</v>
      </c>
      <c r="F803" s="25" t="s">
        <v>964</v>
      </c>
      <c r="G803" s="24">
        <v>1.0</v>
      </c>
      <c r="H803" s="25" t="s">
        <v>964</v>
      </c>
      <c r="I803" s="26"/>
      <c r="J803" s="24">
        <v>4.0</v>
      </c>
      <c r="K803" s="25" t="s">
        <v>968</v>
      </c>
      <c r="L803" s="26"/>
    </row>
    <row r="804">
      <c r="A804" s="24">
        <v>5.0</v>
      </c>
      <c r="B804" s="25" t="s">
        <v>870</v>
      </c>
      <c r="C804" s="24">
        <v>1.0</v>
      </c>
      <c r="D804" s="25" t="s">
        <v>871</v>
      </c>
      <c r="E804" s="24">
        <v>6.0</v>
      </c>
      <c r="F804" s="25" t="s">
        <v>964</v>
      </c>
      <c r="G804" s="24">
        <v>1.0</v>
      </c>
      <c r="H804" s="25" t="s">
        <v>964</v>
      </c>
      <c r="I804" s="26"/>
      <c r="J804" s="24">
        <v>5.0</v>
      </c>
      <c r="K804" s="25" t="s">
        <v>969</v>
      </c>
      <c r="L804" s="26"/>
    </row>
  </sheetData>
  <conditionalFormatting sqref="J1:K1 J6:K722">
    <cfRule type="containsText" dxfId="0" priority="1" operator="containsText" text="Lab -">
      <formula>NOT(ISERROR(SEARCH(("Lab -"),(J1))))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22"/>
    <col customWidth="1" min="2" max="2" width="23.78"/>
    <col customWidth="1" min="3" max="3" width="6.56"/>
    <col customWidth="1" min="4" max="4" width="21.44"/>
    <col customWidth="1" min="5" max="5" width="37.89"/>
    <col customWidth="1" min="6" max="6" width="6.56"/>
  </cols>
  <sheetData>
    <row r="1" ht="11.25" customHeight="1">
      <c r="A1" s="27" t="s">
        <v>970</v>
      </c>
      <c r="B1" s="27" t="s">
        <v>971</v>
      </c>
      <c r="C1" s="28" t="s">
        <v>972</v>
      </c>
      <c r="D1" s="29" t="s">
        <v>973</v>
      </c>
      <c r="E1" s="30" t="s">
        <v>974</v>
      </c>
      <c r="F1" s="28" t="s">
        <v>975</v>
      </c>
    </row>
    <row r="2" ht="11.25" customHeight="1">
      <c r="A2" s="30" t="s">
        <v>12</v>
      </c>
      <c r="B2" s="31" t="s">
        <v>14</v>
      </c>
      <c r="C2" s="32">
        <v>1.0</v>
      </c>
      <c r="D2" s="33" t="s">
        <v>15</v>
      </c>
      <c r="E2" s="33" t="s">
        <v>17</v>
      </c>
      <c r="F2" s="34">
        <v>0.024340277777777777</v>
      </c>
    </row>
    <row r="3" ht="11.25" customHeight="1">
      <c r="A3" s="30" t="s">
        <v>12</v>
      </c>
      <c r="B3" s="31" t="s">
        <v>14</v>
      </c>
      <c r="C3" s="32">
        <v>1.0</v>
      </c>
      <c r="D3" s="33" t="s">
        <v>15</v>
      </c>
      <c r="E3" s="35" t="s">
        <v>18</v>
      </c>
      <c r="F3" s="34">
        <v>0.006076388888888889</v>
      </c>
    </row>
    <row r="4" ht="11.25" customHeight="1">
      <c r="A4" s="30" t="s">
        <v>12</v>
      </c>
      <c r="B4" s="31" t="s">
        <v>14</v>
      </c>
      <c r="C4" s="32">
        <v>1.0</v>
      </c>
      <c r="D4" s="33" t="s">
        <v>15</v>
      </c>
      <c r="E4" s="35" t="s">
        <v>19</v>
      </c>
      <c r="F4" s="34">
        <v>0.02741898148148148</v>
      </c>
    </row>
    <row r="5" ht="11.25" customHeight="1">
      <c r="A5" s="30" t="s">
        <v>12</v>
      </c>
      <c r="B5" s="31" t="s">
        <v>14</v>
      </c>
      <c r="C5" s="32">
        <v>1.0</v>
      </c>
      <c r="D5" s="33" t="s">
        <v>15</v>
      </c>
      <c r="E5" s="35" t="s">
        <v>20</v>
      </c>
      <c r="F5" s="34">
        <v>0.005416666666666667</v>
      </c>
    </row>
    <row r="6" ht="11.25" customHeight="1">
      <c r="A6" s="30" t="s">
        <v>12</v>
      </c>
      <c r="B6" s="31" t="s">
        <v>14</v>
      </c>
      <c r="C6" s="32">
        <v>2.0</v>
      </c>
      <c r="D6" s="33" t="s">
        <v>21</v>
      </c>
      <c r="E6" s="35" t="s">
        <v>23</v>
      </c>
      <c r="F6" s="34">
        <v>0.01605324074074074</v>
      </c>
    </row>
    <row r="7" ht="11.25" customHeight="1">
      <c r="A7" s="30" t="s">
        <v>12</v>
      </c>
      <c r="B7" s="31" t="s">
        <v>14</v>
      </c>
      <c r="C7" s="32">
        <v>2.0</v>
      </c>
      <c r="D7" s="33" t="s">
        <v>21</v>
      </c>
      <c r="E7" s="35" t="s">
        <v>24</v>
      </c>
      <c r="F7" s="34">
        <v>0.015300925925925926</v>
      </c>
    </row>
    <row r="8" ht="11.25" customHeight="1">
      <c r="A8" s="30" t="s">
        <v>12</v>
      </c>
      <c r="B8" s="31" t="s">
        <v>14</v>
      </c>
      <c r="C8" s="32">
        <v>3.0</v>
      </c>
      <c r="D8" s="33" t="s">
        <v>25</v>
      </c>
      <c r="E8" s="35" t="s">
        <v>27</v>
      </c>
      <c r="F8" s="34">
        <v>0.021111111111111112</v>
      </c>
    </row>
    <row r="9" ht="11.25" customHeight="1">
      <c r="A9" s="30" t="s">
        <v>12</v>
      </c>
      <c r="B9" s="31" t="s">
        <v>14</v>
      </c>
      <c r="C9" s="32">
        <v>3.0</v>
      </c>
      <c r="D9" s="33" t="s">
        <v>25</v>
      </c>
      <c r="E9" s="33" t="s">
        <v>28</v>
      </c>
      <c r="F9" s="34">
        <v>0.027939814814814813</v>
      </c>
    </row>
    <row r="10" ht="11.25" customHeight="1">
      <c r="A10" s="30" t="s">
        <v>12</v>
      </c>
      <c r="B10" s="31" t="s">
        <v>14</v>
      </c>
      <c r="C10" s="32">
        <v>4.0</v>
      </c>
      <c r="D10" s="33" t="s">
        <v>29</v>
      </c>
      <c r="E10" s="35" t="s">
        <v>31</v>
      </c>
      <c r="F10" s="34">
        <v>0.018020833333333333</v>
      </c>
    </row>
    <row r="11" ht="11.25" customHeight="1">
      <c r="A11" s="30" t="s">
        <v>12</v>
      </c>
      <c r="B11" s="31" t="s">
        <v>14</v>
      </c>
      <c r="C11" s="32">
        <v>4.0</v>
      </c>
      <c r="D11" s="33" t="s">
        <v>29</v>
      </c>
      <c r="E11" s="33" t="s">
        <v>32</v>
      </c>
      <c r="F11" s="34">
        <v>0.010787037037037038</v>
      </c>
    </row>
    <row r="12" ht="11.25" customHeight="1">
      <c r="A12" s="30" t="s">
        <v>12</v>
      </c>
      <c r="B12" s="31" t="s">
        <v>14</v>
      </c>
      <c r="C12" s="32">
        <v>4.0</v>
      </c>
      <c r="D12" s="33" t="s">
        <v>29</v>
      </c>
      <c r="E12" s="33" t="s">
        <v>33</v>
      </c>
      <c r="F12" s="34">
        <v>0.009583333333333333</v>
      </c>
    </row>
    <row r="13" ht="11.25" customHeight="1">
      <c r="A13" s="30" t="s">
        <v>12</v>
      </c>
      <c r="B13" s="31" t="s">
        <v>14</v>
      </c>
      <c r="C13" s="32">
        <v>4.0</v>
      </c>
      <c r="D13" s="33" t="s">
        <v>29</v>
      </c>
      <c r="E13" s="33" t="s">
        <v>34</v>
      </c>
      <c r="F13" s="34">
        <v>0.013287037037037036</v>
      </c>
    </row>
    <row r="14" ht="11.25" customHeight="1">
      <c r="A14" s="30" t="s">
        <v>12</v>
      </c>
      <c r="B14" s="31" t="s">
        <v>14</v>
      </c>
      <c r="C14" s="32">
        <v>4.0</v>
      </c>
      <c r="D14" s="33" t="s">
        <v>29</v>
      </c>
      <c r="E14" s="33" t="s">
        <v>35</v>
      </c>
      <c r="F14" s="34">
        <v>0.012118055555555556</v>
      </c>
    </row>
    <row r="15" ht="11.25" customHeight="1">
      <c r="A15" s="30" t="s">
        <v>12</v>
      </c>
      <c r="B15" s="31" t="s">
        <v>14</v>
      </c>
      <c r="C15" s="32">
        <v>4.0</v>
      </c>
      <c r="D15" s="33" t="s">
        <v>29</v>
      </c>
      <c r="E15" s="33" t="s">
        <v>37</v>
      </c>
      <c r="F15" s="36">
        <v>0.01738425925925926</v>
      </c>
    </row>
    <row r="16" ht="11.25" customHeight="1">
      <c r="A16" s="30" t="s">
        <v>12</v>
      </c>
      <c r="B16" s="31" t="s">
        <v>14</v>
      </c>
      <c r="C16" s="32">
        <v>5.0</v>
      </c>
      <c r="D16" s="33" t="s">
        <v>38</v>
      </c>
      <c r="E16" s="35" t="s">
        <v>39</v>
      </c>
      <c r="F16" s="34">
        <v>0.014918981481481481</v>
      </c>
    </row>
    <row r="17" ht="11.25" customHeight="1">
      <c r="A17" s="30" t="s">
        <v>12</v>
      </c>
      <c r="B17" s="31" t="s">
        <v>14</v>
      </c>
      <c r="C17" s="32">
        <v>5.0</v>
      </c>
      <c r="D17" s="33" t="s">
        <v>38</v>
      </c>
      <c r="E17" s="33" t="s">
        <v>40</v>
      </c>
      <c r="F17" s="34">
        <v>0.010416666666666666</v>
      </c>
    </row>
    <row r="18" ht="11.25" customHeight="1">
      <c r="A18" s="30" t="s">
        <v>12</v>
      </c>
      <c r="B18" s="31" t="s">
        <v>14</v>
      </c>
      <c r="C18" s="32">
        <v>5.0</v>
      </c>
      <c r="D18" s="33" t="s">
        <v>38</v>
      </c>
      <c r="E18" s="33" t="s">
        <v>41</v>
      </c>
      <c r="F18" s="34">
        <v>0.008356481481481482</v>
      </c>
    </row>
    <row r="19" ht="11.25" customHeight="1">
      <c r="A19" s="30" t="s">
        <v>12</v>
      </c>
      <c r="B19" s="31" t="s">
        <v>14</v>
      </c>
      <c r="C19" s="32">
        <v>5.0</v>
      </c>
      <c r="D19" s="33" t="s">
        <v>38</v>
      </c>
      <c r="E19" s="33" t="s">
        <v>42</v>
      </c>
      <c r="F19" s="34">
        <v>0.015648148148148147</v>
      </c>
    </row>
    <row r="20" ht="11.25" customHeight="1">
      <c r="A20" s="30" t="s">
        <v>12</v>
      </c>
      <c r="B20" s="31" t="s">
        <v>14</v>
      </c>
      <c r="C20" s="32">
        <v>5.0</v>
      </c>
      <c r="D20" s="33" t="s">
        <v>38</v>
      </c>
      <c r="E20" s="33" t="s">
        <v>44</v>
      </c>
      <c r="F20" s="34">
        <v>0.008368055555555556</v>
      </c>
    </row>
    <row r="21" ht="11.25" customHeight="1">
      <c r="A21" s="30" t="s">
        <v>12</v>
      </c>
      <c r="B21" s="31" t="s">
        <v>14</v>
      </c>
      <c r="C21" s="32">
        <v>6.0</v>
      </c>
      <c r="D21" s="33" t="s">
        <v>45</v>
      </c>
      <c r="E21" s="33" t="s">
        <v>46</v>
      </c>
      <c r="F21" s="34">
        <v>0.016087962962962964</v>
      </c>
    </row>
    <row r="22" ht="11.25" customHeight="1">
      <c r="A22" s="30" t="s">
        <v>12</v>
      </c>
      <c r="B22" s="31" t="s">
        <v>14</v>
      </c>
      <c r="C22" s="32">
        <v>6.0</v>
      </c>
      <c r="D22" s="33" t="s">
        <v>45</v>
      </c>
      <c r="E22" s="35" t="s">
        <v>48</v>
      </c>
      <c r="F22" s="34">
        <v>0.02228009259259259</v>
      </c>
    </row>
    <row r="23" ht="11.25" customHeight="1">
      <c r="A23" s="30" t="s">
        <v>12</v>
      </c>
      <c r="B23" s="30" t="s">
        <v>976</v>
      </c>
      <c r="C23" s="32">
        <v>1.0</v>
      </c>
      <c r="D23" s="35" t="s">
        <v>50</v>
      </c>
      <c r="E23" s="35" t="s">
        <v>51</v>
      </c>
      <c r="F23" s="34">
        <v>0.009340277777777777</v>
      </c>
    </row>
    <row r="24" ht="11.25" customHeight="1">
      <c r="A24" s="30" t="s">
        <v>12</v>
      </c>
      <c r="B24" s="30" t="s">
        <v>976</v>
      </c>
      <c r="C24" s="32">
        <v>1.0</v>
      </c>
      <c r="D24" s="35" t="s">
        <v>50</v>
      </c>
      <c r="E24" s="33" t="s">
        <v>52</v>
      </c>
      <c r="F24" s="34">
        <v>0.01505787037037037</v>
      </c>
    </row>
    <row r="25" ht="11.25" customHeight="1">
      <c r="A25" s="30" t="s">
        <v>12</v>
      </c>
      <c r="B25" s="30" t="s">
        <v>976</v>
      </c>
      <c r="C25" s="32">
        <v>1.0</v>
      </c>
      <c r="D25" s="35" t="s">
        <v>50</v>
      </c>
      <c r="E25" s="33" t="s">
        <v>53</v>
      </c>
      <c r="F25" s="34">
        <v>0.010717592592592593</v>
      </c>
    </row>
    <row r="26" ht="11.25" customHeight="1">
      <c r="A26" s="30" t="s">
        <v>12</v>
      </c>
      <c r="B26" s="30" t="s">
        <v>976</v>
      </c>
      <c r="C26" s="32">
        <v>1.0</v>
      </c>
      <c r="D26" s="35" t="s">
        <v>50</v>
      </c>
      <c r="E26" s="35" t="s">
        <v>54</v>
      </c>
      <c r="F26" s="34">
        <v>0.003321759259259259</v>
      </c>
    </row>
    <row r="27" ht="11.25" customHeight="1">
      <c r="A27" s="30" t="s">
        <v>12</v>
      </c>
      <c r="B27" s="30" t="s">
        <v>976</v>
      </c>
      <c r="C27" s="32">
        <v>1.0</v>
      </c>
      <c r="D27" s="35" t="s">
        <v>50</v>
      </c>
      <c r="E27" s="35" t="s">
        <v>55</v>
      </c>
      <c r="F27" s="34">
        <v>0.004699074074074074</v>
      </c>
    </row>
    <row r="28" ht="11.25" customHeight="1">
      <c r="A28" s="30" t="s">
        <v>12</v>
      </c>
      <c r="B28" s="30" t="s">
        <v>976</v>
      </c>
      <c r="C28" s="32">
        <v>1.0</v>
      </c>
      <c r="D28" s="35" t="s">
        <v>50</v>
      </c>
      <c r="E28" s="35" t="s">
        <v>56</v>
      </c>
      <c r="F28" s="34">
        <v>0.004189814814814815</v>
      </c>
    </row>
    <row r="29" ht="11.25" customHeight="1">
      <c r="A29" s="30" t="s">
        <v>12</v>
      </c>
      <c r="B29" s="30" t="s">
        <v>976</v>
      </c>
      <c r="C29" s="32">
        <v>1.0</v>
      </c>
      <c r="D29" s="35" t="s">
        <v>50</v>
      </c>
      <c r="E29" s="35" t="s">
        <v>58</v>
      </c>
      <c r="F29" s="34">
        <v>0.014594907407407407</v>
      </c>
    </row>
    <row r="30" ht="11.25" customHeight="1">
      <c r="A30" s="30" t="s">
        <v>12</v>
      </c>
      <c r="B30" s="30" t="s">
        <v>976</v>
      </c>
      <c r="C30" s="32">
        <v>2.0</v>
      </c>
      <c r="D30" s="35" t="s">
        <v>59</v>
      </c>
      <c r="E30" s="35" t="s">
        <v>60</v>
      </c>
      <c r="F30" s="34">
        <v>0.01542824074074074</v>
      </c>
    </row>
    <row r="31" ht="11.25" customHeight="1">
      <c r="A31" s="30" t="s">
        <v>12</v>
      </c>
      <c r="B31" s="30" t="s">
        <v>976</v>
      </c>
      <c r="C31" s="32">
        <v>2.0</v>
      </c>
      <c r="D31" s="35" t="s">
        <v>59</v>
      </c>
      <c r="E31" s="35" t="s">
        <v>61</v>
      </c>
      <c r="F31" s="34">
        <v>0.007592592592592593</v>
      </c>
    </row>
    <row r="32" ht="11.25" customHeight="1">
      <c r="A32" s="30" t="s">
        <v>12</v>
      </c>
      <c r="B32" s="30" t="s">
        <v>976</v>
      </c>
      <c r="C32" s="32">
        <v>2.0</v>
      </c>
      <c r="D32" s="35" t="s">
        <v>59</v>
      </c>
      <c r="E32" s="33" t="s">
        <v>62</v>
      </c>
      <c r="F32" s="34">
        <v>0.01884259259259259</v>
      </c>
    </row>
    <row r="33" ht="11.25" customHeight="1">
      <c r="A33" s="30" t="s">
        <v>12</v>
      </c>
      <c r="B33" s="30" t="s">
        <v>976</v>
      </c>
      <c r="C33" s="32">
        <v>2.0</v>
      </c>
      <c r="D33" s="35" t="s">
        <v>59</v>
      </c>
      <c r="E33" s="33" t="s">
        <v>63</v>
      </c>
      <c r="F33" s="34">
        <v>0.02378472222222222</v>
      </c>
    </row>
    <row r="34" ht="11.25" customHeight="1">
      <c r="A34" s="30" t="s">
        <v>12</v>
      </c>
      <c r="B34" s="30" t="s">
        <v>976</v>
      </c>
      <c r="C34" s="32">
        <v>2.0</v>
      </c>
      <c r="D34" s="35" t="s">
        <v>59</v>
      </c>
      <c r="E34" s="33" t="s">
        <v>64</v>
      </c>
      <c r="F34" s="34">
        <v>0.017847222222222223</v>
      </c>
    </row>
    <row r="35" ht="11.25" customHeight="1">
      <c r="A35" s="30" t="s">
        <v>12</v>
      </c>
      <c r="B35" s="30" t="s">
        <v>976</v>
      </c>
      <c r="C35" s="32">
        <v>2.0</v>
      </c>
      <c r="D35" s="35" t="s">
        <v>59</v>
      </c>
      <c r="E35" s="35" t="s">
        <v>65</v>
      </c>
      <c r="F35" s="34">
        <v>0.0038310185185185183</v>
      </c>
    </row>
    <row r="36" ht="11.25" customHeight="1">
      <c r="A36" s="30" t="s">
        <v>12</v>
      </c>
      <c r="B36" s="30" t="s">
        <v>976</v>
      </c>
      <c r="C36" s="32">
        <v>2.0</v>
      </c>
      <c r="D36" s="35" t="s">
        <v>59</v>
      </c>
      <c r="E36" s="35" t="s">
        <v>66</v>
      </c>
      <c r="F36" s="34">
        <v>0.0035300925925925925</v>
      </c>
    </row>
    <row r="37" ht="11.25" customHeight="1">
      <c r="A37" s="30" t="s">
        <v>12</v>
      </c>
      <c r="B37" s="30" t="s">
        <v>976</v>
      </c>
      <c r="C37" s="32">
        <v>2.0</v>
      </c>
      <c r="D37" s="35" t="s">
        <v>59</v>
      </c>
      <c r="E37" s="35" t="s">
        <v>67</v>
      </c>
      <c r="F37" s="37">
        <v>0.05555555555555555</v>
      </c>
    </row>
    <row r="38" ht="11.25" customHeight="1">
      <c r="A38" s="30" t="s">
        <v>12</v>
      </c>
      <c r="B38" s="30" t="s">
        <v>976</v>
      </c>
      <c r="C38" s="32">
        <v>2.0</v>
      </c>
      <c r="D38" s="35" t="s">
        <v>59</v>
      </c>
      <c r="E38" s="35" t="s">
        <v>68</v>
      </c>
      <c r="F38" s="37">
        <v>0.05555555555555555</v>
      </c>
    </row>
    <row r="39" ht="11.25" customHeight="1">
      <c r="A39" s="30" t="s">
        <v>12</v>
      </c>
      <c r="B39" s="30" t="s">
        <v>976</v>
      </c>
      <c r="C39" s="32">
        <v>2.0</v>
      </c>
      <c r="D39" s="35" t="s">
        <v>59</v>
      </c>
      <c r="E39" s="35" t="s">
        <v>70</v>
      </c>
      <c r="F39" s="37">
        <v>0.05555555555555555</v>
      </c>
    </row>
    <row r="40" ht="11.25" customHeight="1">
      <c r="A40" s="30" t="s">
        <v>12</v>
      </c>
      <c r="B40" s="31" t="s">
        <v>71</v>
      </c>
      <c r="C40" s="32">
        <v>1.0</v>
      </c>
      <c r="D40" s="35" t="s">
        <v>72</v>
      </c>
      <c r="E40" s="33" t="s">
        <v>73</v>
      </c>
      <c r="F40" s="34">
        <v>0.018587962962962962</v>
      </c>
    </row>
    <row r="41" ht="11.25" customHeight="1">
      <c r="A41" s="30" t="s">
        <v>12</v>
      </c>
      <c r="B41" s="31" t="s">
        <v>71</v>
      </c>
      <c r="C41" s="32">
        <v>1.0</v>
      </c>
      <c r="D41" s="35" t="s">
        <v>72</v>
      </c>
      <c r="E41" s="33" t="s">
        <v>74</v>
      </c>
      <c r="F41" s="34">
        <v>0.006446759259259259</v>
      </c>
    </row>
    <row r="42" ht="11.25" customHeight="1">
      <c r="A42" s="30" t="s">
        <v>12</v>
      </c>
      <c r="B42" s="31" t="s">
        <v>71</v>
      </c>
      <c r="C42" s="32">
        <v>1.0</v>
      </c>
      <c r="D42" s="35" t="s">
        <v>72</v>
      </c>
      <c r="E42" s="35" t="s">
        <v>76</v>
      </c>
      <c r="F42" s="37">
        <v>0.05555555555555555</v>
      </c>
    </row>
    <row r="43" ht="11.25" customHeight="1">
      <c r="A43" s="30" t="s">
        <v>12</v>
      </c>
      <c r="B43" s="31" t="s">
        <v>71</v>
      </c>
      <c r="C43" s="32">
        <v>2.0</v>
      </c>
      <c r="D43" s="35" t="s">
        <v>77</v>
      </c>
      <c r="E43" s="33"/>
      <c r="F43" s="38"/>
    </row>
    <row r="44" ht="11.25" customHeight="1">
      <c r="A44" s="30" t="s">
        <v>12</v>
      </c>
      <c r="B44" s="31" t="s">
        <v>71</v>
      </c>
      <c r="C44" s="32">
        <v>2.0</v>
      </c>
      <c r="D44" s="35" t="s">
        <v>77</v>
      </c>
      <c r="E44" s="35" t="s">
        <v>78</v>
      </c>
      <c r="F44" s="34">
        <v>0.022407407407407407</v>
      </c>
    </row>
    <row r="45" ht="11.25" customHeight="1">
      <c r="A45" s="30" t="s">
        <v>12</v>
      </c>
      <c r="B45" s="31" t="s">
        <v>71</v>
      </c>
      <c r="C45" s="32">
        <v>2.0</v>
      </c>
      <c r="D45" s="35" t="s">
        <v>77</v>
      </c>
      <c r="E45" s="33" t="s">
        <v>79</v>
      </c>
      <c r="F45" s="34">
        <v>0.023078703703703702</v>
      </c>
    </row>
    <row r="46" ht="11.25" customHeight="1">
      <c r="A46" s="30" t="s">
        <v>12</v>
      </c>
      <c r="B46" s="31" t="s">
        <v>71</v>
      </c>
      <c r="C46" s="32">
        <v>2.0</v>
      </c>
      <c r="D46" s="35" t="s">
        <v>77</v>
      </c>
      <c r="E46" s="33" t="s">
        <v>80</v>
      </c>
      <c r="F46" s="34">
        <v>0.009710648148148149</v>
      </c>
    </row>
    <row r="47" ht="11.25" customHeight="1">
      <c r="A47" s="30" t="s">
        <v>12</v>
      </c>
      <c r="B47" s="31" t="s">
        <v>71</v>
      </c>
      <c r="C47" s="32">
        <v>2.0</v>
      </c>
      <c r="D47" s="35" t="s">
        <v>77</v>
      </c>
      <c r="E47" s="33" t="s">
        <v>81</v>
      </c>
      <c r="F47" s="34">
        <v>0.014039351851851851</v>
      </c>
    </row>
    <row r="48" ht="11.25" customHeight="1">
      <c r="A48" s="30" t="s">
        <v>12</v>
      </c>
      <c r="B48" s="31" t="s">
        <v>71</v>
      </c>
      <c r="C48" s="32">
        <v>2.0</v>
      </c>
      <c r="D48" s="35" t="s">
        <v>77</v>
      </c>
      <c r="E48" s="33" t="s">
        <v>82</v>
      </c>
      <c r="F48" s="34">
        <v>0.017546296296296296</v>
      </c>
    </row>
    <row r="49" ht="11.25" customHeight="1">
      <c r="A49" s="30" t="s">
        <v>12</v>
      </c>
      <c r="B49" s="31" t="s">
        <v>71</v>
      </c>
      <c r="C49" s="32">
        <v>2.0</v>
      </c>
      <c r="D49" s="35" t="s">
        <v>77</v>
      </c>
      <c r="E49" s="33" t="s">
        <v>83</v>
      </c>
      <c r="F49" s="34">
        <v>0.009791666666666667</v>
      </c>
    </row>
    <row r="50" ht="11.25" customHeight="1">
      <c r="A50" s="30" t="s">
        <v>12</v>
      </c>
      <c r="B50" s="31" t="s">
        <v>71</v>
      </c>
      <c r="C50" s="32">
        <v>2.0</v>
      </c>
      <c r="D50" s="35" t="s">
        <v>77</v>
      </c>
      <c r="E50" s="35" t="s">
        <v>977</v>
      </c>
      <c r="F50" s="34">
        <v>0.010752314814814815</v>
      </c>
    </row>
    <row r="51" ht="11.25" customHeight="1">
      <c r="A51" s="30" t="s">
        <v>12</v>
      </c>
      <c r="B51" s="31" t="s">
        <v>71</v>
      </c>
      <c r="C51" s="32">
        <v>2.0</v>
      </c>
      <c r="D51" s="35" t="s">
        <v>77</v>
      </c>
      <c r="E51" s="35" t="s">
        <v>84</v>
      </c>
      <c r="F51" s="37">
        <v>0.05555555555555555</v>
      </c>
    </row>
    <row r="52" ht="11.25" customHeight="1">
      <c r="A52" s="30" t="s">
        <v>12</v>
      </c>
      <c r="B52" s="31" t="s">
        <v>71</v>
      </c>
      <c r="C52" s="32">
        <v>2.0</v>
      </c>
      <c r="D52" s="35" t="s">
        <v>77</v>
      </c>
      <c r="E52" s="35" t="s">
        <v>85</v>
      </c>
      <c r="F52" s="37">
        <v>0.05555555555555555</v>
      </c>
    </row>
    <row r="53" ht="11.25" customHeight="1">
      <c r="A53" s="30" t="s">
        <v>12</v>
      </c>
      <c r="B53" s="31" t="s">
        <v>71</v>
      </c>
      <c r="C53" s="32">
        <v>3.0</v>
      </c>
      <c r="D53" s="33" t="s">
        <v>86</v>
      </c>
      <c r="E53" s="33" t="s">
        <v>88</v>
      </c>
      <c r="F53" s="34">
        <v>0.010115740740740741</v>
      </c>
    </row>
    <row r="54" ht="11.25" customHeight="1">
      <c r="A54" s="30" t="s">
        <v>12</v>
      </c>
      <c r="B54" s="31" t="s">
        <v>71</v>
      </c>
      <c r="C54" s="32">
        <v>3.0</v>
      </c>
      <c r="D54" s="33" t="s">
        <v>86</v>
      </c>
      <c r="E54" s="33" t="s">
        <v>89</v>
      </c>
      <c r="F54" s="34">
        <v>0.015127314814814816</v>
      </c>
    </row>
    <row r="55" ht="11.25" customHeight="1">
      <c r="A55" s="30" t="s">
        <v>12</v>
      </c>
      <c r="B55" s="31" t="s">
        <v>71</v>
      </c>
      <c r="C55" s="32">
        <v>3.0</v>
      </c>
      <c r="D55" s="33" t="s">
        <v>86</v>
      </c>
      <c r="E55" s="33" t="s">
        <v>978</v>
      </c>
      <c r="F55" s="34">
        <v>0.005104166666666667</v>
      </c>
    </row>
    <row r="56" ht="11.25" customHeight="1">
      <c r="A56" s="30" t="s">
        <v>12</v>
      </c>
      <c r="B56" s="31" t="s">
        <v>71</v>
      </c>
      <c r="C56" s="32">
        <v>3.0</v>
      </c>
      <c r="D56" s="33" t="s">
        <v>86</v>
      </c>
      <c r="E56" s="33" t="s">
        <v>90</v>
      </c>
      <c r="F56" s="34">
        <v>0.015474537037037037</v>
      </c>
    </row>
    <row r="57" ht="11.25" customHeight="1">
      <c r="A57" s="30" t="s">
        <v>12</v>
      </c>
      <c r="B57" s="31" t="s">
        <v>71</v>
      </c>
      <c r="C57" s="32">
        <v>3.0</v>
      </c>
      <c r="D57" s="33" t="s">
        <v>86</v>
      </c>
      <c r="E57" s="35" t="s">
        <v>91</v>
      </c>
      <c r="F57" s="37">
        <v>0.05555555555555555</v>
      </c>
    </row>
    <row r="58" ht="11.25" customHeight="1">
      <c r="A58" s="30" t="s">
        <v>12</v>
      </c>
      <c r="B58" s="31" t="s">
        <v>71</v>
      </c>
      <c r="C58" s="32">
        <v>4.0</v>
      </c>
      <c r="D58" s="35" t="s">
        <v>92</v>
      </c>
      <c r="E58" s="33"/>
      <c r="F58" s="38"/>
    </row>
    <row r="59" ht="11.25" customHeight="1">
      <c r="A59" s="30" t="s">
        <v>12</v>
      </c>
      <c r="B59" s="31" t="s">
        <v>71</v>
      </c>
      <c r="C59" s="32">
        <v>4.0</v>
      </c>
      <c r="D59" s="35" t="s">
        <v>92</v>
      </c>
      <c r="E59" s="33" t="s">
        <v>94</v>
      </c>
      <c r="F59" s="34">
        <v>0.019872685185185184</v>
      </c>
    </row>
    <row r="60" ht="11.25" customHeight="1">
      <c r="A60" s="30" t="s">
        <v>12</v>
      </c>
      <c r="B60" s="31" t="s">
        <v>71</v>
      </c>
      <c r="C60" s="32">
        <v>4.0</v>
      </c>
      <c r="D60" s="35" t="s">
        <v>92</v>
      </c>
      <c r="E60" s="33" t="s">
        <v>95</v>
      </c>
      <c r="F60" s="34">
        <v>0.013101851851851852</v>
      </c>
    </row>
    <row r="61" ht="11.25" customHeight="1">
      <c r="A61" s="30" t="s">
        <v>12</v>
      </c>
      <c r="B61" s="31" t="s">
        <v>71</v>
      </c>
      <c r="C61" s="32">
        <v>4.0</v>
      </c>
      <c r="D61" s="35" t="s">
        <v>92</v>
      </c>
      <c r="E61" s="33" t="s">
        <v>96</v>
      </c>
      <c r="F61" s="34">
        <v>0.011550925925925926</v>
      </c>
    </row>
    <row r="62" ht="11.25" customHeight="1">
      <c r="A62" s="30" t="s">
        <v>12</v>
      </c>
      <c r="B62" s="31" t="s">
        <v>71</v>
      </c>
      <c r="C62" s="32">
        <v>4.0</v>
      </c>
      <c r="D62" s="35" t="s">
        <v>92</v>
      </c>
      <c r="E62" s="35" t="s">
        <v>97</v>
      </c>
      <c r="F62" s="37">
        <v>0.05555555555555555</v>
      </c>
    </row>
    <row r="63" ht="11.25" customHeight="1">
      <c r="A63" s="30" t="s">
        <v>12</v>
      </c>
      <c r="B63" s="31" t="s">
        <v>98</v>
      </c>
      <c r="C63" s="32">
        <v>1.0</v>
      </c>
      <c r="D63" s="33" t="s">
        <v>99</v>
      </c>
      <c r="E63" s="33"/>
      <c r="F63" s="38"/>
    </row>
    <row r="64" ht="11.25" customHeight="1">
      <c r="A64" s="30" t="s">
        <v>12</v>
      </c>
      <c r="B64" s="31" t="s">
        <v>98</v>
      </c>
      <c r="C64" s="32">
        <v>1.0</v>
      </c>
      <c r="D64" s="33" t="s">
        <v>99</v>
      </c>
      <c r="E64" s="35" t="s">
        <v>99</v>
      </c>
      <c r="F64" s="34">
        <v>0.018368055555555554</v>
      </c>
    </row>
    <row r="65" ht="11.25" customHeight="1">
      <c r="A65" s="30" t="s">
        <v>12</v>
      </c>
      <c r="B65" s="31" t="s">
        <v>98</v>
      </c>
      <c r="C65" s="32">
        <v>1.0</v>
      </c>
      <c r="D65" s="33" t="s">
        <v>99</v>
      </c>
      <c r="E65" s="33" t="s">
        <v>979</v>
      </c>
      <c r="F65" s="34">
        <v>0.008043981481481482</v>
      </c>
    </row>
    <row r="66" ht="11.25" customHeight="1">
      <c r="A66" s="30" t="s">
        <v>12</v>
      </c>
      <c r="B66" s="31" t="s">
        <v>98</v>
      </c>
      <c r="C66" s="32">
        <v>1.0</v>
      </c>
      <c r="D66" s="33" t="s">
        <v>99</v>
      </c>
      <c r="E66" s="35" t="s">
        <v>101</v>
      </c>
      <c r="F66" s="37">
        <v>0.05555555555555555</v>
      </c>
    </row>
    <row r="67" ht="11.25" customHeight="1">
      <c r="A67" s="30" t="s">
        <v>12</v>
      </c>
      <c r="B67" s="31" t="s">
        <v>98</v>
      </c>
      <c r="C67" s="32">
        <v>2.0</v>
      </c>
      <c r="D67" s="33" t="s">
        <v>102</v>
      </c>
      <c r="E67" s="33"/>
      <c r="F67" s="38"/>
    </row>
    <row r="68" ht="11.25" customHeight="1">
      <c r="A68" s="30" t="s">
        <v>12</v>
      </c>
      <c r="B68" s="31" t="s">
        <v>98</v>
      </c>
      <c r="C68" s="32">
        <v>2.0</v>
      </c>
      <c r="D68" s="33" t="s">
        <v>102</v>
      </c>
      <c r="E68" s="33" t="s">
        <v>980</v>
      </c>
      <c r="F68" s="34">
        <v>0.0128125</v>
      </c>
    </row>
    <row r="69" ht="11.25" customHeight="1">
      <c r="A69" s="30" t="s">
        <v>12</v>
      </c>
      <c r="B69" s="31" t="s">
        <v>98</v>
      </c>
      <c r="C69" s="32">
        <v>2.0</v>
      </c>
      <c r="D69" s="33" t="s">
        <v>102</v>
      </c>
      <c r="E69" s="35" t="s">
        <v>104</v>
      </c>
      <c r="F69" s="34">
        <v>0.019467592592592592</v>
      </c>
    </row>
    <row r="70" ht="11.25" customHeight="1">
      <c r="A70" s="30" t="s">
        <v>12</v>
      </c>
      <c r="B70" s="31" t="s">
        <v>98</v>
      </c>
      <c r="C70" s="32">
        <v>2.0</v>
      </c>
      <c r="D70" s="33" t="s">
        <v>102</v>
      </c>
      <c r="E70" s="35" t="s">
        <v>105</v>
      </c>
      <c r="F70" s="37">
        <v>0.05555555555555555</v>
      </c>
    </row>
    <row r="71" ht="11.25" customHeight="1">
      <c r="A71" s="30" t="s">
        <v>12</v>
      </c>
      <c r="B71" s="31" t="s">
        <v>98</v>
      </c>
      <c r="C71" s="32">
        <v>2.0</v>
      </c>
      <c r="D71" s="33" t="s">
        <v>102</v>
      </c>
      <c r="E71" s="35" t="s">
        <v>981</v>
      </c>
      <c r="F71" s="34">
        <v>0.02003472222222222</v>
      </c>
    </row>
    <row r="72" ht="11.25" customHeight="1">
      <c r="A72" s="30" t="s">
        <v>12</v>
      </c>
      <c r="B72" s="31" t="s">
        <v>98</v>
      </c>
      <c r="C72" s="32">
        <v>2.0</v>
      </c>
      <c r="D72" s="33" t="s">
        <v>102</v>
      </c>
      <c r="E72" s="35" t="s">
        <v>982</v>
      </c>
      <c r="F72" s="34">
        <v>0.007893518518518518</v>
      </c>
    </row>
    <row r="73" ht="11.25" customHeight="1">
      <c r="A73" s="30" t="s">
        <v>12</v>
      </c>
      <c r="B73" s="31" t="s">
        <v>98</v>
      </c>
      <c r="C73" s="32">
        <v>2.0</v>
      </c>
      <c r="D73" s="33" t="s">
        <v>102</v>
      </c>
      <c r="E73" s="33" t="s">
        <v>106</v>
      </c>
      <c r="F73" s="34">
        <v>0.014247685185185184</v>
      </c>
    </row>
    <row r="74" ht="11.25" customHeight="1">
      <c r="A74" s="30" t="s">
        <v>12</v>
      </c>
      <c r="B74" s="31" t="s">
        <v>98</v>
      </c>
      <c r="C74" s="32">
        <v>2.0</v>
      </c>
      <c r="D74" s="33" t="s">
        <v>102</v>
      </c>
      <c r="E74" s="35" t="s">
        <v>107</v>
      </c>
      <c r="F74" s="34">
        <v>0.021979166666666668</v>
      </c>
    </row>
    <row r="75" ht="11.25" customHeight="1">
      <c r="A75" s="30" t="s">
        <v>12</v>
      </c>
      <c r="B75" s="31" t="s">
        <v>98</v>
      </c>
      <c r="C75" s="32">
        <v>2.0</v>
      </c>
      <c r="D75" s="33" t="s">
        <v>102</v>
      </c>
      <c r="E75" s="33" t="s">
        <v>108</v>
      </c>
      <c r="F75" s="34">
        <v>0.013506944444444445</v>
      </c>
    </row>
    <row r="76" ht="11.25" customHeight="1">
      <c r="A76" s="30" t="s">
        <v>12</v>
      </c>
      <c r="B76" s="31" t="s">
        <v>98</v>
      </c>
      <c r="C76" s="32">
        <v>2.0</v>
      </c>
      <c r="D76" s="33" t="s">
        <v>102</v>
      </c>
      <c r="E76" s="35" t="s">
        <v>109</v>
      </c>
      <c r="F76" s="34">
        <v>0.026828703703703705</v>
      </c>
    </row>
    <row r="77" ht="11.25" customHeight="1">
      <c r="A77" s="30" t="s">
        <v>12</v>
      </c>
      <c r="B77" s="31" t="s">
        <v>98</v>
      </c>
      <c r="C77" s="32">
        <v>2.0</v>
      </c>
      <c r="D77" s="33" t="s">
        <v>102</v>
      </c>
      <c r="E77" s="35" t="s">
        <v>110</v>
      </c>
      <c r="F77" s="37">
        <v>0.05555555555555555</v>
      </c>
    </row>
    <row r="78" ht="11.25" customHeight="1">
      <c r="A78" s="30" t="s">
        <v>12</v>
      </c>
      <c r="B78" s="31" t="s">
        <v>98</v>
      </c>
      <c r="C78" s="32">
        <v>3.0</v>
      </c>
      <c r="D78" s="33" t="s">
        <v>111</v>
      </c>
      <c r="E78" s="35" t="s">
        <v>113</v>
      </c>
      <c r="F78" s="34">
        <v>0.012256944444444445</v>
      </c>
    </row>
    <row r="79" ht="11.25" customHeight="1">
      <c r="A79" s="30" t="s">
        <v>12</v>
      </c>
      <c r="B79" s="31" t="s">
        <v>98</v>
      </c>
      <c r="C79" s="32">
        <v>3.0</v>
      </c>
      <c r="D79" s="33" t="s">
        <v>111</v>
      </c>
      <c r="E79" s="33" t="s">
        <v>114</v>
      </c>
      <c r="F79" s="34">
        <v>0.025949074074074076</v>
      </c>
    </row>
    <row r="80" ht="11.25" customHeight="1">
      <c r="A80" s="30" t="s">
        <v>12</v>
      </c>
      <c r="B80" s="31" t="s">
        <v>115</v>
      </c>
      <c r="C80" s="32">
        <v>1.0</v>
      </c>
      <c r="D80" s="33" t="s">
        <v>116</v>
      </c>
      <c r="E80" s="33" t="s">
        <v>118</v>
      </c>
      <c r="F80" s="34">
        <v>0.016979166666666667</v>
      </c>
    </row>
    <row r="81" ht="11.25" customHeight="1">
      <c r="A81" s="30" t="s">
        <v>12</v>
      </c>
      <c r="B81" s="31" t="s">
        <v>115</v>
      </c>
      <c r="C81" s="32">
        <v>1.0</v>
      </c>
      <c r="D81" s="33" t="s">
        <v>116</v>
      </c>
      <c r="E81" s="33" t="s">
        <v>119</v>
      </c>
      <c r="F81" s="34">
        <v>0.0165625</v>
      </c>
    </row>
    <row r="82" ht="11.25" customHeight="1">
      <c r="A82" s="30" t="s">
        <v>12</v>
      </c>
      <c r="B82" s="31" t="s">
        <v>115</v>
      </c>
      <c r="C82" s="32">
        <v>1.0</v>
      </c>
      <c r="D82" s="33" t="s">
        <v>116</v>
      </c>
      <c r="E82" s="33" t="s">
        <v>983</v>
      </c>
      <c r="F82" s="34">
        <v>0.011921296296296296</v>
      </c>
    </row>
    <row r="83" ht="11.25" customHeight="1">
      <c r="A83" s="30" t="s">
        <v>12</v>
      </c>
      <c r="B83" s="31" t="s">
        <v>115</v>
      </c>
      <c r="C83" s="32">
        <v>1.0</v>
      </c>
      <c r="D83" s="33" t="s">
        <v>116</v>
      </c>
      <c r="E83" s="33" t="s">
        <v>120</v>
      </c>
      <c r="F83" s="34">
        <v>0.006724537037037037</v>
      </c>
    </row>
    <row r="84" ht="11.25" customHeight="1">
      <c r="A84" s="30" t="s">
        <v>12</v>
      </c>
      <c r="B84" s="31" t="s">
        <v>115</v>
      </c>
      <c r="C84" s="32">
        <v>1.0</v>
      </c>
      <c r="D84" s="33" t="s">
        <v>116</v>
      </c>
      <c r="E84" s="35" t="s">
        <v>121</v>
      </c>
      <c r="F84" s="34">
        <v>0.014201388888888888</v>
      </c>
    </row>
    <row r="85" ht="11.25" customHeight="1">
      <c r="A85" s="30" t="s">
        <v>12</v>
      </c>
      <c r="B85" s="31" t="s">
        <v>115</v>
      </c>
      <c r="C85" s="32">
        <v>1.0</v>
      </c>
      <c r="D85" s="33" t="s">
        <v>116</v>
      </c>
      <c r="E85" s="35" t="s">
        <v>122</v>
      </c>
      <c r="F85" s="37">
        <v>0.05555555555555555</v>
      </c>
    </row>
    <row r="86" ht="11.25" customHeight="1">
      <c r="A86" s="30" t="s">
        <v>12</v>
      </c>
      <c r="B86" s="31" t="s">
        <v>115</v>
      </c>
      <c r="C86" s="32">
        <v>1.0</v>
      </c>
      <c r="D86" s="33" t="s">
        <v>116</v>
      </c>
      <c r="E86" s="35" t="s">
        <v>123</v>
      </c>
      <c r="F86" s="37">
        <v>0.05555555555555555</v>
      </c>
    </row>
    <row r="87" ht="11.25" customHeight="1">
      <c r="A87" s="30" t="s">
        <v>12</v>
      </c>
      <c r="B87" s="31" t="s">
        <v>115</v>
      </c>
      <c r="C87" s="32">
        <v>2.0</v>
      </c>
      <c r="D87" s="33" t="s">
        <v>124</v>
      </c>
      <c r="E87" s="33" t="s">
        <v>126</v>
      </c>
      <c r="F87" s="34">
        <v>0.013020833333333334</v>
      </c>
    </row>
    <row r="88" ht="11.25" customHeight="1">
      <c r="A88" s="30" t="s">
        <v>12</v>
      </c>
      <c r="B88" s="31" t="s">
        <v>115</v>
      </c>
      <c r="C88" s="32">
        <v>2.0</v>
      </c>
      <c r="D88" s="33" t="s">
        <v>124</v>
      </c>
      <c r="E88" s="35" t="s">
        <v>127</v>
      </c>
      <c r="F88" s="34">
        <v>0.019212962962962963</v>
      </c>
    </row>
    <row r="89" ht="11.25" customHeight="1">
      <c r="A89" s="30" t="s">
        <v>12</v>
      </c>
      <c r="B89" s="31" t="s">
        <v>115</v>
      </c>
      <c r="C89" s="32">
        <v>2.0</v>
      </c>
      <c r="D89" s="33" t="s">
        <v>124</v>
      </c>
      <c r="E89" s="33" t="s">
        <v>128</v>
      </c>
      <c r="F89" s="34">
        <v>0.01292824074074074</v>
      </c>
    </row>
    <row r="90" ht="11.25" customHeight="1">
      <c r="A90" s="30" t="s">
        <v>12</v>
      </c>
      <c r="B90" s="31" t="s">
        <v>115</v>
      </c>
      <c r="C90" s="32">
        <v>2.0</v>
      </c>
      <c r="D90" s="33" t="s">
        <v>124</v>
      </c>
      <c r="E90" s="33" t="s">
        <v>984</v>
      </c>
      <c r="F90" s="34">
        <v>0.01361111111111111</v>
      </c>
    </row>
    <row r="91" ht="11.25" customHeight="1">
      <c r="A91" s="30" t="s">
        <v>12</v>
      </c>
      <c r="B91" s="31" t="s">
        <v>115</v>
      </c>
      <c r="C91" s="32">
        <v>2.0</v>
      </c>
      <c r="D91" s="33" t="s">
        <v>124</v>
      </c>
      <c r="E91" s="35" t="s">
        <v>985</v>
      </c>
      <c r="F91" s="38"/>
    </row>
    <row r="92" ht="11.25" customHeight="1">
      <c r="A92" s="30" t="s">
        <v>12</v>
      </c>
      <c r="B92" s="31" t="s">
        <v>115</v>
      </c>
      <c r="C92" s="32">
        <v>3.0</v>
      </c>
      <c r="D92" s="33" t="s">
        <v>986</v>
      </c>
      <c r="E92" s="35" t="s">
        <v>131</v>
      </c>
      <c r="F92" s="34">
        <v>0.017685185185185186</v>
      </c>
    </row>
    <row r="93" ht="11.25" customHeight="1">
      <c r="A93" s="30" t="s">
        <v>12</v>
      </c>
      <c r="B93" s="31" t="s">
        <v>115</v>
      </c>
      <c r="C93" s="32">
        <v>3.0</v>
      </c>
      <c r="D93" s="33" t="s">
        <v>987</v>
      </c>
      <c r="E93" s="33" t="s">
        <v>132</v>
      </c>
      <c r="F93" s="34">
        <v>0.01726851851851852</v>
      </c>
    </row>
    <row r="94" ht="11.25" customHeight="1">
      <c r="A94" s="30" t="s">
        <v>12</v>
      </c>
      <c r="B94" s="31" t="s">
        <v>115</v>
      </c>
      <c r="C94" s="32">
        <v>3.0</v>
      </c>
      <c r="D94" s="33" t="s">
        <v>988</v>
      </c>
      <c r="E94" s="35" t="s">
        <v>133</v>
      </c>
      <c r="F94" s="37">
        <v>0.05555555555555555</v>
      </c>
    </row>
    <row r="95" ht="11.25" customHeight="1">
      <c r="A95" s="30" t="s">
        <v>12</v>
      </c>
      <c r="B95" s="31" t="s">
        <v>115</v>
      </c>
      <c r="C95" s="32">
        <v>4.0</v>
      </c>
      <c r="D95" s="33" t="s">
        <v>134</v>
      </c>
      <c r="E95" s="33" t="s">
        <v>135</v>
      </c>
      <c r="F95" s="34">
        <v>0.016527777777777777</v>
      </c>
    </row>
    <row r="96" ht="11.25" customHeight="1">
      <c r="A96" s="30" t="s">
        <v>12</v>
      </c>
      <c r="B96" s="31" t="s">
        <v>115</v>
      </c>
      <c r="C96" s="32">
        <v>4.0</v>
      </c>
      <c r="D96" s="33" t="s">
        <v>134</v>
      </c>
      <c r="E96" s="35" t="s">
        <v>136</v>
      </c>
      <c r="F96" s="34">
        <v>0.011064814814814816</v>
      </c>
    </row>
    <row r="97" ht="11.25" customHeight="1">
      <c r="A97" s="30" t="s">
        <v>12</v>
      </c>
      <c r="B97" s="31" t="s">
        <v>115</v>
      </c>
      <c r="C97" s="32">
        <v>4.0</v>
      </c>
      <c r="D97" s="33" t="s">
        <v>134</v>
      </c>
      <c r="E97" s="33" t="s">
        <v>137</v>
      </c>
      <c r="F97" s="34">
        <v>0.013912037037037037</v>
      </c>
    </row>
    <row r="98" ht="11.25" customHeight="1">
      <c r="A98" s="30" t="s">
        <v>12</v>
      </c>
      <c r="B98" s="31" t="s">
        <v>115</v>
      </c>
      <c r="C98" s="32">
        <v>4.0</v>
      </c>
      <c r="D98" s="33" t="s">
        <v>134</v>
      </c>
      <c r="E98" s="33" t="s">
        <v>138</v>
      </c>
      <c r="F98" s="37">
        <v>0.05555555555555555</v>
      </c>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0"/>
    <col customWidth="1" min="2" max="2" width="11.11"/>
    <col customWidth="1" min="3" max="3" width="32.0"/>
    <col customWidth="1" min="4" max="4" width="7.56"/>
    <col customWidth="1" min="5" max="5" width="31.67"/>
    <col customWidth="1" min="6" max="6" width="52.56"/>
    <col customWidth="1" min="7" max="7" width="6.33"/>
  </cols>
  <sheetData>
    <row r="1" ht="14.25" customHeight="1">
      <c r="A1" s="39" t="s">
        <v>970</v>
      </c>
      <c r="B1" s="39" t="s">
        <v>989</v>
      </c>
      <c r="C1" s="40" t="s">
        <v>971</v>
      </c>
      <c r="D1" s="41" t="s">
        <v>972</v>
      </c>
      <c r="E1" s="40" t="s">
        <v>973</v>
      </c>
      <c r="F1" s="40" t="s">
        <v>974</v>
      </c>
      <c r="G1" s="40" t="s">
        <v>975</v>
      </c>
    </row>
    <row r="2" ht="14.25" customHeight="1">
      <c r="A2" s="42" t="s">
        <v>139</v>
      </c>
      <c r="B2" s="42" t="s">
        <v>990</v>
      </c>
      <c r="C2" s="43" t="s">
        <v>141</v>
      </c>
      <c r="D2" s="44">
        <v>1.0</v>
      </c>
      <c r="E2" s="45" t="s">
        <v>142</v>
      </c>
      <c r="F2" s="45" t="s">
        <v>144</v>
      </c>
      <c r="G2" s="46">
        <v>0.010243055555555556</v>
      </c>
    </row>
    <row r="3" ht="14.25" customHeight="1">
      <c r="A3" s="42" t="s">
        <v>139</v>
      </c>
      <c r="B3" s="42" t="s">
        <v>990</v>
      </c>
      <c r="C3" s="43" t="s">
        <v>141</v>
      </c>
      <c r="D3" s="44">
        <v>1.0</v>
      </c>
      <c r="E3" s="45" t="s">
        <v>142</v>
      </c>
      <c r="F3" s="45" t="s">
        <v>145</v>
      </c>
      <c r="G3" s="46">
        <v>0.012800925925925926</v>
      </c>
    </row>
    <row r="4" ht="14.25" customHeight="1">
      <c r="A4" s="42" t="s">
        <v>139</v>
      </c>
      <c r="B4" s="42" t="s">
        <v>990</v>
      </c>
      <c r="C4" s="43" t="s">
        <v>141</v>
      </c>
      <c r="D4" s="44">
        <v>1.0</v>
      </c>
      <c r="E4" s="45" t="s">
        <v>142</v>
      </c>
      <c r="F4" s="45" t="s">
        <v>146</v>
      </c>
      <c r="G4" s="46">
        <v>0.01619212962962963</v>
      </c>
    </row>
    <row r="5" ht="14.25" customHeight="1">
      <c r="A5" s="42" t="s">
        <v>139</v>
      </c>
      <c r="B5" s="42" t="s">
        <v>990</v>
      </c>
      <c r="C5" s="43" t="s">
        <v>147</v>
      </c>
      <c r="D5" s="44">
        <v>1.0</v>
      </c>
      <c r="E5" s="45" t="s">
        <v>148</v>
      </c>
      <c r="F5" s="45" t="s">
        <v>150</v>
      </c>
      <c r="G5" s="46">
        <v>0.012094907407407407</v>
      </c>
    </row>
    <row r="6" ht="14.25" customHeight="1">
      <c r="A6" s="42" t="s">
        <v>139</v>
      </c>
      <c r="B6" s="42" t="s">
        <v>990</v>
      </c>
      <c r="C6" s="43" t="s">
        <v>147</v>
      </c>
      <c r="D6" s="44">
        <v>1.0</v>
      </c>
      <c r="E6" s="45" t="s">
        <v>148</v>
      </c>
      <c r="F6" s="45" t="s">
        <v>151</v>
      </c>
      <c r="G6" s="46">
        <v>0.015497685185185186</v>
      </c>
    </row>
    <row r="7" ht="14.25" customHeight="1">
      <c r="A7" s="42" t="s">
        <v>139</v>
      </c>
      <c r="B7" s="42" t="s">
        <v>990</v>
      </c>
      <c r="C7" s="43" t="s">
        <v>147</v>
      </c>
      <c r="D7" s="44">
        <v>1.0</v>
      </c>
      <c r="E7" s="45" t="s">
        <v>148</v>
      </c>
      <c r="F7" s="45" t="s">
        <v>152</v>
      </c>
      <c r="G7" s="46">
        <v>0.003553240740740741</v>
      </c>
    </row>
    <row r="8" ht="14.25" customHeight="1">
      <c r="A8" s="42" t="s">
        <v>139</v>
      </c>
      <c r="B8" s="42" t="s">
        <v>990</v>
      </c>
      <c r="C8" s="43" t="s">
        <v>147</v>
      </c>
      <c r="D8" s="44">
        <v>1.0</v>
      </c>
      <c r="E8" s="45" t="s">
        <v>148</v>
      </c>
      <c r="F8" s="45" t="s">
        <v>472</v>
      </c>
      <c r="G8" s="46">
        <v>0.004733796296296297</v>
      </c>
    </row>
    <row r="9" ht="14.25" customHeight="1">
      <c r="A9" s="42" t="s">
        <v>139</v>
      </c>
      <c r="B9" s="42" t="s">
        <v>990</v>
      </c>
      <c r="C9" s="43" t="s">
        <v>147</v>
      </c>
      <c r="D9" s="44">
        <v>1.0</v>
      </c>
      <c r="E9" s="45" t="s">
        <v>148</v>
      </c>
      <c r="F9" s="45" t="s">
        <v>473</v>
      </c>
      <c r="G9" s="46">
        <v>0.004016203703703704</v>
      </c>
    </row>
    <row r="10" ht="14.25" customHeight="1">
      <c r="A10" s="42" t="s">
        <v>139</v>
      </c>
      <c r="B10" s="42" t="s">
        <v>990</v>
      </c>
      <c r="C10" s="43" t="s">
        <v>147</v>
      </c>
      <c r="D10" s="44">
        <v>1.0</v>
      </c>
      <c r="E10" s="45" t="s">
        <v>148</v>
      </c>
      <c r="F10" s="45" t="s">
        <v>153</v>
      </c>
      <c r="G10" s="46">
        <v>0.010590277777777778</v>
      </c>
    </row>
    <row r="11" ht="14.25" customHeight="1">
      <c r="A11" s="42" t="s">
        <v>139</v>
      </c>
      <c r="B11" s="42" t="s">
        <v>990</v>
      </c>
      <c r="C11" s="43" t="s">
        <v>147</v>
      </c>
      <c r="D11" s="44">
        <v>2.0</v>
      </c>
      <c r="E11" s="45" t="s">
        <v>154</v>
      </c>
      <c r="F11" s="45" t="s">
        <v>156</v>
      </c>
      <c r="G11" s="46">
        <v>0.01607638888888889</v>
      </c>
    </row>
    <row r="12" ht="14.25" customHeight="1">
      <c r="A12" s="42" t="s">
        <v>139</v>
      </c>
      <c r="B12" s="42" t="s">
        <v>990</v>
      </c>
      <c r="C12" s="43" t="s">
        <v>147</v>
      </c>
      <c r="D12" s="44">
        <v>2.0</v>
      </c>
      <c r="E12" s="45" t="s">
        <v>154</v>
      </c>
      <c r="F12" s="45" t="s">
        <v>157</v>
      </c>
      <c r="G12" s="46">
        <v>0.013668981481481482</v>
      </c>
    </row>
    <row r="13" ht="14.25" customHeight="1">
      <c r="A13" s="42" t="s">
        <v>139</v>
      </c>
      <c r="B13" s="42" t="s">
        <v>990</v>
      </c>
      <c r="C13" s="43" t="s">
        <v>147</v>
      </c>
      <c r="D13" s="44">
        <v>2.0</v>
      </c>
      <c r="E13" s="45" t="s">
        <v>154</v>
      </c>
      <c r="F13" s="45" t="s">
        <v>158</v>
      </c>
      <c r="G13" s="46">
        <v>0.010868055555555556</v>
      </c>
    </row>
    <row r="14" ht="14.25" customHeight="1">
      <c r="A14" s="42" t="s">
        <v>139</v>
      </c>
      <c r="B14" s="42" t="s">
        <v>990</v>
      </c>
      <c r="C14" s="43" t="s">
        <v>147</v>
      </c>
      <c r="D14" s="44">
        <v>2.0</v>
      </c>
      <c r="E14" s="45" t="s">
        <v>154</v>
      </c>
      <c r="F14" s="45" t="s">
        <v>159</v>
      </c>
      <c r="G14" s="46">
        <v>0.005300925925925926</v>
      </c>
    </row>
    <row r="15" ht="14.25" customHeight="1">
      <c r="A15" s="42" t="s">
        <v>139</v>
      </c>
      <c r="B15" s="42" t="s">
        <v>990</v>
      </c>
      <c r="C15" s="43" t="s">
        <v>147</v>
      </c>
      <c r="D15" s="44">
        <v>2.0</v>
      </c>
      <c r="E15" s="45" t="s">
        <v>154</v>
      </c>
      <c r="F15" s="42" t="s">
        <v>160</v>
      </c>
      <c r="G15" s="46">
        <v>0.05555555555555555</v>
      </c>
    </row>
    <row r="16" ht="14.25" customHeight="1">
      <c r="A16" s="42" t="s">
        <v>139</v>
      </c>
      <c r="B16" s="42" t="s">
        <v>990</v>
      </c>
      <c r="C16" s="43" t="s">
        <v>147</v>
      </c>
      <c r="D16" s="44">
        <v>2.0</v>
      </c>
      <c r="E16" s="45" t="s">
        <v>154</v>
      </c>
      <c r="F16" s="42" t="s">
        <v>991</v>
      </c>
      <c r="G16" s="46">
        <v>0.05555555555555555</v>
      </c>
    </row>
    <row r="17" ht="14.25" customHeight="1">
      <c r="A17" s="42" t="s">
        <v>139</v>
      </c>
      <c r="B17" s="42" t="s">
        <v>990</v>
      </c>
      <c r="C17" s="43" t="s">
        <v>147</v>
      </c>
      <c r="D17" s="44">
        <v>3.0</v>
      </c>
      <c r="E17" s="45" t="s">
        <v>161</v>
      </c>
      <c r="F17" s="45" t="s">
        <v>163</v>
      </c>
      <c r="G17" s="46">
        <v>0.022337962962962962</v>
      </c>
    </row>
    <row r="18" ht="14.25" customHeight="1">
      <c r="A18" s="42" t="s">
        <v>139</v>
      </c>
      <c r="B18" s="42" t="s">
        <v>990</v>
      </c>
      <c r="C18" s="43" t="s">
        <v>147</v>
      </c>
      <c r="D18" s="44">
        <v>3.0</v>
      </c>
      <c r="E18" s="45" t="s">
        <v>161</v>
      </c>
      <c r="F18" s="45" t="s">
        <v>164</v>
      </c>
      <c r="G18" s="46">
        <v>0.01758101851851852</v>
      </c>
    </row>
    <row r="19" ht="14.25" customHeight="1">
      <c r="A19" s="42" t="s">
        <v>139</v>
      </c>
      <c r="B19" s="42" t="s">
        <v>990</v>
      </c>
      <c r="C19" s="43" t="s">
        <v>147</v>
      </c>
      <c r="D19" s="44">
        <v>3.0</v>
      </c>
      <c r="E19" s="45" t="s">
        <v>161</v>
      </c>
      <c r="F19" s="45" t="s">
        <v>165</v>
      </c>
      <c r="G19" s="46">
        <v>0.014618055555555556</v>
      </c>
    </row>
    <row r="20" ht="14.25" customHeight="1">
      <c r="A20" s="42" t="s">
        <v>139</v>
      </c>
      <c r="B20" s="42" t="s">
        <v>990</v>
      </c>
      <c r="C20" s="43" t="s">
        <v>147</v>
      </c>
      <c r="D20" s="44">
        <v>4.0</v>
      </c>
      <c r="E20" s="45" t="s">
        <v>166</v>
      </c>
      <c r="F20" s="45" t="s">
        <v>168</v>
      </c>
      <c r="G20" s="46">
        <v>0.025208333333333333</v>
      </c>
    </row>
    <row r="21" ht="14.25" customHeight="1">
      <c r="A21" s="42" t="s">
        <v>139</v>
      </c>
      <c r="B21" s="42" t="s">
        <v>990</v>
      </c>
      <c r="C21" s="43" t="s">
        <v>147</v>
      </c>
      <c r="D21" s="44">
        <v>4.0</v>
      </c>
      <c r="E21" s="45" t="s">
        <v>166</v>
      </c>
      <c r="F21" s="45" t="s">
        <v>169</v>
      </c>
      <c r="G21" s="46">
        <v>0.015</v>
      </c>
    </row>
    <row r="22" ht="14.25" customHeight="1">
      <c r="A22" s="42" t="s">
        <v>139</v>
      </c>
      <c r="B22" s="42" t="s">
        <v>990</v>
      </c>
      <c r="C22" s="43" t="s">
        <v>147</v>
      </c>
      <c r="D22" s="44">
        <v>4.0</v>
      </c>
      <c r="E22" s="45" t="s">
        <v>166</v>
      </c>
      <c r="F22" s="45" t="s">
        <v>476</v>
      </c>
      <c r="G22" s="46">
        <v>0.01255787037037037</v>
      </c>
    </row>
    <row r="23" ht="14.25" customHeight="1">
      <c r="A23" s="42" t="s">
        <v>139</v>
      </c>
      <c r="B23" s="42" t="s">
        <v>990</v>
      </c>
      <c r="C23" s="43" t="s">
        <v>147</v>
      </c>
      <c r="D23" s="44">
        <v>4.0</v>
      </c>
      <c r="E23" s="45" t="s">
        <v>166</v>
      </c>
      <c r="F23" s="45" t="s">
        <v>170</v>
      </c>
      <c r="G23" s="46">
        <v>0.05555555555555555</v>
      </c>
    </row>
    <row r="24" ht="14.25" customHeight="1">
      <c r="A24" s="42" t="s">
        <v>139</v>
      </c>
      <c r="B24" s="42" t="s">
        <v>990</v>
      </c>
      <c r="C24" s="43" t="s">
        <v>147</v>
      </c>
      <c r="D24" s="44">
        <v>4.0</v>
      </c>
      <c r="E24" s="45" t="s">
        <v>166</v>
      </c>
      <c r="F24" s="45" t="s">
        <v>171</v>
      </c>
      <c r="G24" s="46">
        <v>0.05555555555555555</v>
      </c>
    </row>
    <row r="25" ht="14.25" customHeight="1">
      <c r="A25" s="42" t="s">
        <v>139</v>
      </c>
      <c r="B25" s="42" t="s">
        <v>990</v>
      </c>
      <c r="C25" s="43" t="s">
        <v>147</v>
      </c>
      <c r="D25" s="44">
        <v>5.0</v>
      </c>
      <c r="E25" s="45" t="s">
        <v>172</v>
      </c>
      <c r="F25" s="45" t="s">
        <v>174</v>
      </c>
      <c r="G25" s="46">
        <v>0.007743055555555556</v>
      </c>
    </row>
    <row r="26" ht="14.25" customHeight="1">
      <c r="A26" s="42" t="s">
        <v>139</v>
      </c>
      <c r="B26" s="42" t="s">
        <v>990</v>
      </c>
      <c r="C26" s="43" t="s">
        <v>147</v>
      </c>
      <c r="D26" s="44">
        <v>5.0</v>
      </c>
      <c r="E26" s="45" t="s">
        <v>172</v>
      </c>
      <c r="F26" s="45" t="s">
        <v>175</v>
      </c>
      <c r="G26" s="46">
        <v>0.00974537037037037</v>
      </c>
    </row>
    <row r="27" ht="14.25" customHeight="1">
      <c r="A27" s="42" t="s">
        <v>139</v>
      </c>
      <c r="B27" s="42" t="s">
        <v>990</v>
      </c>
      <c r="C27" s="43" t="s">
        <v>147</v>
      </c>
      <c r="D27" s="44">
        <v>5.0</v>
      </c>
      <c r="E27" s="45" t="s">
        <v>172</v>
      </c>
      <c r="F27" s="45" t="s">
        <v>176</v>
      </c>
      <c r="G27" s="46">
        <v>0.008067129629629629</v>
      </c>
    </row>
    <row r="28" ht="14.25" customHeight="1">
      <c r="A28" s="42" t="s">
        <v>139</v>
      </c>
      <c r="B28" s="42" t="s">
        <v>990</v>
      </c>
      <c r="C28" s="43" t="s">
        <v>177</v>
      </c>
      <c r="D28" s="44">
        <v>1.0</v>
      </c>
      <c r="E28" s="45" t="s">
        <v>178</v>
      </c>
      <c r="F28" s="45" t="s">
        <v>180</v>
      </c>
      <c r="G28" s="46">
        <v>0.027511574074074074</v>
      </c>
    </row>
    <row r="29" ht="14.25" customHeight="1">
      <c r="A29" s="42" t="s">
        <v>139</v>
      </c>
      <c r="B29" s="42" t="s">
        <v>990</v>
      </c>
      <c r="C29" s="43" t="s">
        <v>177</v>
      </c>
      <c r="D29" s="44">
        <v>1.0</v>
      </c>
      <c r="E29" s="45" t="s">
        <v>178</v>
      </c>
      <c r="F29" s="45" t="s">
        <v>181</v>
      </c>
      <c r="G29" s="46">
        <v>0.0625</v>
      </c>
    </row>
    <row r="30" ht="14.25" customHeight="1">
      <c r="A30" s="42" t="s">
        <v>139</v>
      </c>
      <c r="B30" s="42" t="s">
        <v>990</v>
      </c>
      <c r="C30" s="43" t="s">
        <v>177</v>
      </c>
      <c r="D30" s="44">
        <v>2.0</v>
      </c>
      <c r="E30" s="45" t="s">
        <v>182</v>
      </c>
      <c r="F30" s="45" t="s">
        <v>184</v>
      </c>
      <c r="G30" s="46">
        <v>0.020023148148148148</v>
      </c>
    </row>
    <row r="31" ht="14.25" customHeight="1">
      <c r="A31" s="42" t="s">
        <v>139</v>
      </c>
      <c r="B31" s="42" t="s">
        <v>990</v>
      </c>
      <c r="C31" s="43" t="s">
        <v>177</v>
      </c>
      <c r="D31" s="44">
        <v>2.0</v>
      </c>
      <c r="E31" s="45" t="s">
        <v>182</v>
      </c>
      <c r="F31" s="45" t="s">
        <v>185</v>
      </c>
      <c r="G31" s="46">
        <v>0.01570601851851852</v>
      </c>
    </row>
    <row r="32" ht="14.25" customHeight="1">
      <c r="A32" s="42" t="s">
        <v>139</v>
      </c>
      <c r="B32" s="42" t="s">
        <v>990</v>
      </c>
      <c r="C32" s="43" t="s">
        <v>186</v>
      </c>
      <c r="D32" s="44">
        <v>1.0</v>
      </c>
      <c r="E32" s="45" t="s">
        <v>187</v>
      </c>
      <c r="F32" s="45" t="s">
        <v>189</v>
      </c>
      <c r="G32" s="46">
        <v>0.020231481481481482</v>
      </c>
    </row>
    <row r="33" ht="14.25" customHeight="1">
      <c r="A33" s="42" t="s">
        <v>139</v>
      </c>
      <c r="B33" s="42" t="s">
        <v>990</v>
      </c>
      <c r="C33" s="43" t="s">
        <v>186</v>
      </c>
      <c r="D33" s="44">
        <v>1.0</v>
      </c>
      <c r="E33" s="45" t="s">
        <v>187</v>
      </c>
      <c r="F33" s="45" t="s">
        <v>190</v>
      </c>
      <c r="G33" s="46">
        <v>0.01204861111111111</v>
      </c>
    </row>
    <row r="34" ht="14.25" customHeight="1">
      <c r="A34" s="42" t="s">
        <v>139</v>
      </c>
      <c r="B34" s="42" t="s">
        <v>990</v>
      </c>
      <c r="C34" s="43" t="s">
        <v>186</v>
      </c>
      <c r="D34" s="44">
        <v>2.0</v>
      </c>
      <c r="E34" s="45" t="s">
        <v>191</v>
      </c>
      <c r="F34" s="45" t="s">
        <v>488</v>
      </c>
      <c r="G34" s="46">
        <v>0.010069444444444445</v>
      </c>
    </row>
    <row r="35" ht="14.25" customHeight="1">
      <c r="A35" s="42" t="s">
        <v>139</v>
      </c>
      <c r="B35" s="42" t="s">
        <v>990</v>
      </c>
      <c r="C35" s="43" t="s">
        <v>186</v>
      </c>
      <c r="D35" s="44">
        <v>2.0</v>
      </c>
      <c r="E35" s="45" t="s">
        <v>191</v>
      </c>
      <c r="F35" s="45" t="s">
        <v>489</v>
      </c>
      <c r="G35" s="46">
        <v>0.012199074074074074</v>
      </c>
    </row>
    <row r="36" ht="14.25" customHeight="1">
      <c r="A36" s="42" t="s">
        <v>139</v>
      </c>
      <c r="B36" s="42" t="s">
        <v>990</v>
      </c>
      <c r="C36" s="43" t="s">
        <v>186</v>
      </c>
      <c r="D36" s="44">
        <v>2.0</v>
      </c>
      <c r="E36" s="45" t="s">
        <v>191</v>
      </c>
      <c r="F36" s="45" t="s">
        <v>193</v>
      </c>
      <c r="G36" s="46">
        <v>0.0038773148148148148</v>
      </c>
    </row>
    <row r="37" ht="14.25" customHeight="1">
      <c r="A37" s="42" t="s">
        <v>139</v>
      </c>
      <c r="B37" s="42" t="s">
        <v>990</v>
      </c>
      <c r="C37" s="43" t="s">
        <v>194</v>
      </c>
      <c r="D37" s="44">
        <v>1.0</v>
      </c>
      <c r="E37" s="45" t="s">
        <v>195</v>
      </c>
      <c r="F37" s="45" t="s">
        <v>197</v>
      </c>
      <c r="G37" s="46">
        <v>0.007245370370370371</v>
      </c>
    </row>
    <row r="38" ht="14.25" customHeight="1">
      <c r="A38" s="42" t="s">
        <v>139</v>
      </c>
      <c r="B38" s="42" t="s">
        <v>990</v>
      </c>
      <c r="C38" s="43" t="s">
        <v>194</v>
      </c>
      <c r="D38" s="44">
        <v>1.0</v>
      </c>
      <c r="E38" s="45" t="s">
        <v>195</v>
      </c>
      <c r="F38" s="45" t="s">
        <v>198</v>
      </c>
      <c r="G38" s="46">
        <v>0.0171875</v>
      </c>
    </row>
    <row r="39" ht="14.25" customHeight="1">
      <c r="A39" s="42" t="s">
        <v>139</v>
      </c>
      <c r="B39" s="42" t="s">
        <v>990</v>
      </c>
      <c r="C39" s="43" t="s">
        <v>194</v>
      </c>
      <c r="D39" s="44">
        <v>1.0</v>
      </c>
      <c r="E39" s="45" t="s">
        <v>195</v>
      </c>
      <c r="F39" s="45" t="s">
        <v>199</v>
      </c>
      <c r="G39" s="46">
        <v>0.01474537037037037</v>
      </c>
    </row>
    <row r="40" ht="14.25" customHeight="1">
      <c r="A40" s="42" t="s">
        <v>139</v>
      </c>
      <c r="B40" s="42" t="s">
        <v>990</v>
      </c>
      <c r="C40" s="43" t="s">
        <v>194</v>
      </c>
      <c r="D40" s="44">
        <v>1.0</v>
      </c>
      <c r="E40" s="45" t="s">
        <v>195</v>
      </c>
      <c r="F40" s="45" t="s">
        <v>200</v>
      </c>
      <c r="G40" s="46">
        <v>0.012060185185185186</v>
      </c>
    </row>
    <row r="41" ht="14.25" customHeight="1">
      <c r="A41" s="42" t="s">
        <v>139</v>
      </c>
      <c r="B41" s="42" t="s">
        <v>990</v>
      </c>
      <c r="C41" s="43" t="s">
        <v>194</v>
      </c>
      <c r="D41" s="44">
        <v>1.0</v>
      </c>
      <c r="E41" s="45" t="s">
        <v>195</v>
      </c>
      <c r="F41" s="45" t="s">
        <v>992</v>
      </c>
      <c r="G41" s="46">
        <v>0.05555555555555555</v>
      </c>
    </row>
    <row r="42" ht="14.25" customHeight="1">
      <c r="A42" s="42" t="s">
        <v>139</v>
      </c>
      <c r="B42" s="42" t="s">
        <v>990</v>
      </c>
      <c r="C42" s="43" t="s">
        <v>194</v>
      </c>
      <c r="D42" s="44">
        <v>2.0</v>
      </c>
      <c r="E42" s="45" t="s">
        <v>201</v>
      </c>
      <c r="F42" s="45" t="s">
        <v>203</v>
      </c>
      <c r="G42" s="46">
        <v>0.017534722222222222</v>
      </c>
    </row>
    <row r="43" ht="14.25" customHeight="1">
      <c r="A43" s="42" t="s">
        <v>139</v>
      </c>
      <c r="B43" s="42" t="s">
        <v>990</v>
      </c>
      <c r="C43" s="43" t="s">
        <v>194</v>
      </c>
      <c r="D43" s="44">
        <v>2.0</v>
      </c>
      <c r="E43" s="45" t="s">
        <v>201</v>
      </c>
      <c r="F43" s="45" t="s">
        <v>204</v>
      </c>
      <c r="G43" s="46">
        <v>0.01269675925925926</v>
      </c>
    </row>
    <row r="44" ht="14.25" customHeight="1">
      <c r="A44" s="42" t="s">
        <v>139</v>
      </c>
      <c r="B44" s="42" t="s">
        <v>990</v>
      </c>
      <c r="C44" s="43" t="s">
        <v>194</v>
      </c>
      <c r="D44" s="44">
        <v>3.0</v>
      </c>
      <c r="E44" s="45" t="s">
        <v>205</v>
      </c>
      <c r="F44" s="45" t="s">
        <v>207</v>
      </c>
      <c r="G44" s="46">
        <v>0.0171875</v>
      </c>
    </row>
    <row r="45" ht="14.25" customHeight="1">
      <c r="A45" s="42" t="s">
        <v>139</v>
      </c>
      <c r="B45" s="42" t="s">
        <v>990</v>
      </c>
      <c r="C45" s="43" t="s">
        <v>194</v>
      </c>
      <c r="D45" s="44">
        <v>3.0</v>
      </c>
      <c r="E45" s="45" t="s">
        <v>205</v>
      </c>
      <c r="F45" s="45" t="s">
        <v>208</v>
      </c>
      <c r="G45" s="46">
        <v>0.01642361111111111</v>
      </c>
    </row>
    <row r="46" ht="14.25" customHeight="1">
      <c r="A46" s="42" t="s">
        <v>139</v>
      </c>
      <c r="B46" s="42" t="s">
        <v>990</v>
      </c>
      <c r="C46" s="43" t="s">
        <v>194</v>
      </c>
      <c r="D46" s="44">
        <v>3.0</v>
      </c>
      <c r="E46" s="45" t="s">
        <v>205</v>
      </c>
      <c r="F46" s="45" t="s">
        <v>209</v>
      </c>
      <c r="G46" s="46">
        <v>0.01662037037037037</v>
      </c>
    </row>
    <row r="47" ht="14.25" customHeight="1">
      <c r="A47" s="42" t="s">
        <v>139</v>
      </c>
      <c r="B47" s="42" t="s">
        <v>990</v>
      </c>
      <c r="C47" s="43" t="s">
        <v>194</v>
      </c>
      <c r="D47" s="44">
        <v>3.0</v>
      </c>
      <c r="E47" s="45" t="s">
        <v>205</v>
      </c>
      <c r="F47" s="45" t="s">
        <v>491</v>
      </c>
      <c r="G47" s="46">
        <v>0.010266203703703704</v>
      </c>
    </row>
    <row r="48" ht="14.25" customHeight="1">
      <c r="A48" s="42" t="s">
        <v>139</v>
      </c>
      <c r="B48" s="42" t="s">
        <v>990</v>
      </c>
      <c r="C48" s="43" t="s">
        <v>194</v>
      </c>
      <c r="D48" s="44">
        <v>4.0</v>
      </c>
      <c r="E48" s="45" t="s">
        <v>210</v>
      </c>
      <c r="F48" s="45" t="s">
        <v>212</v>
      </c>
      <c r="G48" s="46">
        <v>0.014444444444444444</v>
      </c>
    </row>
    <row r="49" ht="14.25" customHeight="1">
      <c r="A49" s="42" t="s">
        <v>139</v>
      </c>
      <c r="B49" s="42" t="s">
        <v>990</v>
      </c>
      <c r="C49" s="43" t="s">
        <v>194</v>
      </c>
      <c r="D49" s="44">
        <v>4.0</v>
      </c>
      <c r="E49" s="45" t="s">
        <v>210</v>
      </c>
      <c r="F49" s="45" t="s">
        <v>213</v>
      </c>
      <c r="G49" s="46">
        <v>0.0077546296296296295</v>
      </c>
    </row>
    <row r="50" ht="14.25" customHeight="1">
      <c r="A50" s="42" t="s">
        <v>139</v>
      </c>
      <c r="B50" s="42" t="s">
        <v>990</v>
      </c>
      <c r="C50" s="43" t="s">
        <v>194</v>
      </c>
      <c r="D50" s="44">
        <v>4.0</v>
      </c>
      <c r="E50" s="45" t="s">
        <v>210</v>
      </c>
      <c r="F50" s="45" t="s">
        <v>214</v>
      </c>
      <c r="G50" s="46">
        <v>0.012905092592592593</v>
      </c>
    </row>
    <row r="51" ht="14.25" customHeight="1">
      <c r="A51" s="42" t="s">
        <v>139</v>
      </c>
      <c r="B51" s="42" t="s">
        <v>990</v>
      </c>
      <c r="C51" s="43" t="s">
        <v>194</v>
      </c>
      <c r="D51" s="44">
        <v>5.0</v>
      </c>
      <c r="E51" s="45" t="s">
        <v>215</v>
      </c>
      <c r="F51" s="45" t="s">
        <v>217</v>
      </c>
      <c r="G51" s="46">
        <v>0.009976851851851851</v>
      </c>
    </row>
    <row r="52" ht="14.25" customHeight="1">
      <c r="A52" s="42" t="s">
        <v>139</v>
      </c>
      <c r="B52" s="42" t="s">
        <v>990</v>
      </c>
      <c r="C52" s="43" t="s">
        <v>194</v>
      </c>
      <c r="D52" s="44">
        <v>5.0</v>
      </c>
      <c r="E52" s="45" t="s">
        <v>215</v>
      </c>
      <c r="F52" s="45" t="s">
        <v>493</v>
      </c>
      <c r="G52" s="46">
        <v>0.014513888888888889</v>
      </c>
    </row>
    <row r="53" ht="14.25" customHeight="1">
      <c r="A53" s="42" t="s">
        <v>139</v>
      </c>
      <c r="B53" s="42" t="s">
        <v>990</v>
      </c>
      <c r="C53" s="43" t="s">
        <v>194</v>
      </c>
      <c r="D53" s="44">
        <v>5.0</v>
      </c>
      <c r="E53" s="45" t="s">
        <v>215</v>
      </c>
      <c r="F53" s="45" t="s">
        <v>218</v>
      </c>
      <c r="G53" s="46">
        <v>0.05555555555555555</v>
      </c>
    </row>
    <row r="54" ht="14.25" customHeight="1">
      <c r="A54" s="42" t="s">
        <v>139</v>
      </c>
      <c r="B54" s="42" t="s">
        <v>990</v>
      </c>
      <c r="C54" s="43" t="s">
        <v>219</v>
      </c>
      <c r="D54" s="44">
        <v>1.0</v>
      </c>
      <c r="E54" s="45" t="s">
        <v>220</v>
      </c>
      <c r="F54" s="45" t="s">
        <v>222</v>
      </c>
      <c r="G54" s="46">
        <v>0.012893518518518518</v>
      </c>
    </row>
    <row r="55" ht="14.25" customHeight="1">
      <c r="A55" s="42" t="s">
        <v>139</v>
      </c>
      <c r="B55" s="42" t="s">
        <v>990</v>
      </c>
      <c r="C55" s="43" t="s">
        <v>219</v>
      </c>
      <c r="D55" s="44">
        <v>1.0</v>
      </c>
      <c r="E55" s="45" t="s">
        <v>220</v>
      </c>
      <c r="F55" s="45" t="s">
        <v>223</v>
      </c>
      <c r="G55" s="46">
        <v>0.008252314814814815</v>
      </c>
    </row>
    <row r="56" ht="14.25" customHeight="1">
      <c r="A56" s="42" t="s">
        <v>139</v>
      </c>
      <c r="B56" s="42" t="s">
        <v>990</v>
      </c>
      <c r="C56" s="43" t="s">
        <v>219</v>
      </c>
      <c r="D56" s="44">
        <v>2.0</v>
      </c>
      <c r="E56" s="45" t="s">
        <v>224</v>
      </c>
      <c r="F56" s="45" t="s">
        <v>226</v>
      </c>
      <c r="G56" s="46">
        <v>0.005555555555555556</v>
      </c>
    </row>
    <row r="57" ht="14.25" customHeight="1">
      <c r="A57" s="42" t="s">
        <v>139</v>
      </c>
      <c r="B57" s="42" t="s">
        <v>990</v>
      </c>
      <c r="C57" s="43" t="s">
        <v>219</v>
      </c>
      <c r="D57" s="44">
        <v>2.0</v>
      </c>
      <c r="E57" s="45" t="s">
        <v>224</v>
      </c>
      <c r="F57" s="45" t="s">
        <v>495</v>
      </c>
      <c r="G57" s="46">
        <v>0.013229166666666667</v>
      </c>
    </row>
    <row r="58" ht="14.25" customHeight="1">
      <c r="A58" s="42" t="s">
        <v>139</v>
      </c>
      <c r="B58" s="42" t="s">
        <v>990</v>
      </c>
      <c r="C58" s="43" t="s">
        <v>219</v>
      </c>
      <c r="D58" s="44">
        <v>2.0</v>
      </c>
      <c r="E58" s="45" t="s">
        <v>224</v>
      </c>
      <c r="F58" s="45" t="s">
        <v>227</v>
      </c>
      <c r="G58" s="46">
        <v>0.011041666666666667</v>
      </c>
    </row>
    <row r="59" ht="14.25" customHeight="1">
      <c r="A59" s="42" t="s">
        <v>139</v>
      </c>
      <c r="B59" s="42" t="s">
        <v>990</v>
      </c>
      <c r="C59" s="43" t="s">
        <v>219</v>
      </c>
      <c r="D59" s="44">
        <v>2.0</v>
      </c>
      <c r="E59" s="45" t="s">
        <v>224</v>
      </c>
      <c r="F59" s="45" t="s">
        <v>228</v>
      </c>
      <c r="G59" s="46">
        <v>0.02136574074074074</v>
      </c>
    </row>
    <row r="60" ht="14.25" customHeight="1">
      <c r="A60" s="42" t="s">
        <v>139</v>
      </c>
      <c r="B60" s="42" t="s">
        <v>990</v>
      </c>
      <c r="C60" s="43" t="s">
        <v>219</v>
      </c>
      <c r="D60" s="44">
        <v>2.0</v>
      </c>
      <c r="E60" s="45" t="s">
        <v>224</v>
      </c>
      <c r="F60" s="45" t="s">
        <v>229</v>
      </c>
      <c r="G60" s="46">
        <v>0.013414351851851853</v>
      </c>
    </row>
    <row r="61" ht="14.25" customHeight="1">
      <c r="A61" s="42" t="s">
        <v>139</v>
      </c>
      <c r="B61" s="42" t="s">
        <v>990</v>
      </c>
      <c r="C61" s="43" t="s">
        <v>219</v>
      </c>
      <c r="D61" s="44">
        <v>2.0</v>
      </c>
      <c r="E61" s="45" t="s">
        <v>224</v>
      </c>
      <c r="F61" s="45" t="s">
        <v>230</v>
      </c>
      <c r="G61" s="46">
        <v>0.018703703703703705</v>
      </c>
    </row>
    <row r="62" ht="14.25" customHeight="1">
      <c r="A62" s="42" t="s">
        <v>139</v>
      </c>
      <c r="B62" s="42" t="s">
        <v>990</v>
      </c>
      <c r="C62" s="43" t="s">
        <v>219</v>
      </c>
      <c r="D62" s="44">
        <v>2.0</v>
      </c>
      <c r="E62" s="45" t="s">
        <v>224</v>
      </c>
      <c r="F62" s="45" t="s">
        <v>231</v>
      </c>
      <c r="G62" s="46">
        <v>0.05555555555555555</v>
      </c>
    </row>
    <row r="63" ht="14.25" customHeight="1">
      <c r="A63" s="42" t="s">
        <v>139</v>
      </c>
      <c r="B63" s="42" t="s">
        <v>990</v>
      </c>
      <c r="C63" s="43" t="s">
        <v>219</v>
      </c>
      <c r="D63" s="44">
        <v>3.0</v>
      </c>
      <c r="E63" s="45" t="s">
        <v>232</v>
      </c>
      <c r="F63" s="45" t="s">
        <v>234</v>
      </c>
      <c r="G63" s="46">
        <v>0.023078703703703702</v>
      </c>
    </row>
    <row r="64" ht="14.25" customHeight="1">
      <c r="A64" s="42" t="s">
        <v>139</v>
      </c>
      <c r="B64" s="42" t="s">
        <v>990</v>
      </c>
      <c r="C64" s="43" t="s">
        <v>219</v>
      </c>
      <c r="D64" s="44">
        <v>3.0</v>
      </c>
      <c r="E64" s="45" t="s">
        <v>232</v>
      </c>
      <c r="F64" s="45" t="s">
        <v>235</v>
      </c>
      <c r="G64" s="46">
        <v>0.029097222222222222</v>
      </c>
    </row>
    <row r="65" ht="14.25" customHeight="1">
      <c r="A65" s="42" t="s">
        <v>139</v>
      </c>
      <c r="B65" s="42" t="s">
        <v>990</v>
      </c>
      <c r="C65" s="43" t="s">
        <v>219</v>
      </c>
      <c r="D65" s="44">
        <v>4.0</v>
      </c>
      <c r="E65" s="45" t="s">
        <v>236</v>
      </c>
      <c r="F65" s="45" t="s">
        <v>238</v>
      </c>
      <c r="G65" s="46">
        <v>0.012847222222222222</v>
      </c>
    </row>
    <row r="66" ht="14.25" customHeight="1">
      <c r="A66" s="42" t="s">
        <v>139</v>
      </c>
      <c r="B66" s="42" t="s">
        <v>990</v>
      </c>
      <c r="C66" s="43" t="s">
        <v>219</v>
      </c>
      <c r="D66" s="44">
        <v>4.0</v>
      </c>
      <c r="E66" s="45" t="s">
        <v>236</v>
      </c>
      <c r="F66" s="45" t="s">
        <v>239</v>
      </c>
      <c r="G66" s="46">
        <v>0.015439814814814814</v>
      </c>
    </row>
    <row r="67" ht="14.25" customHeight="1">
      <c r="A67" s="42" t="s">
        <v>139</v>
      </c>
      <c r="B67" s="42" t="s">
        <v>990</v>
      </c>
      <c r="C67" s="43" t="s">
        <v>219</v>
      </c>
      <c r="D67" s="44">
        <v>5.0</v>
      </c>
      <c r="E67" s="45" t="s">
        <v>240</v>
      </c>
      <c r="F67" s="45" t="s">
        <v>242</v>
      </c>
      <c r="G67" s="46">
        <v>0.01704861111111111</v>
      </c>
    </row>
    <row r="68" ht="14.25" customHeight="1">
      <c r="A68" s="42" t="s">
        <v>139</v>
      </c>
      <c r="B68" s="42" t="s">
        <v>990</v>
      </c>
      <c r="C68" s="43" t="s">
        <v>243</v>
      </c>
      <c r="D68" s="44">
        <v>1.0</v>
      </c>
      <c r="E68" s="45" t="s">
        <v>244</v>
      </c>
      <c r="F68" s="45" t="s">
        <v>246</v>
      </c>
      <c r="G68" s="46">
        <v>0.015625</v>
      </c>
    </row>
    <row r="69" ht="14.25" customHeight="1">
      <c r="A69" s="42" t="s">
        <v>139</v>
      </c>
      <c r="B69" s="42" t="s">
        <v>990</v>
      </c>
      <c r="C69" s="43" t="s">
        <v>243</v>
      </c>
      <c r="D69" s="44">
        <v>1.0</v>
      </c>
      <c r="E69" s="45" t="s">
        <v>244</v>
      </c>
      <c r="F69" s="45" t="s">
        <v>247</v>
      </c>
      <c r="G69" s="46">
        <v>0.018692129629629628</v>
      </c>
    </row>
    <row r="70" ht="14.25" customHeight="1">
      <c r="A70" s="42" t="s">
        <v>139</v>
      </c>
      <c r="B70" s="42" t="s">
        <v>990</v>
      </c>
      <c r="C70" s="43" t="s">
        <v>243</v>
      </c>
      <c r="D70" s="44">
        <v>1.0</v>
      </c>
      <c r="E70" s="45" t="s">
        <v>244</v>
      </c>
      <c r="F70" s="45" t="s">
        <v>248</v>
      </c>
      <c r="G70" s="46">
        <v>0.016030092592592592</v>
      </c>
    </row>
    <row r="71" ht="14.25" customHeight="1">
      <c r="A71" s="42" t="s">
        <v>139</v>
      </c>
      <c r="B71" s="42" t="s">
        <v>990</v>
      </c>
      <c r="C71" s="43" t="s">
        <v>243</v>
      </c>
      <c r="D71" s="44">
        <v>1.0</v>
      </c>
      <c r="E71" s="45" t="s">
        <v>244</v>
      </c>
      <c r="F71" s="45" t="s">
        <v>249</v>
      </c>
      <c r="G71" s="46">
        <v>0.011458333333333333</v>
      </c>
    </row>
    <row r="72" ht="14.25" customHeight="1">
      <c r="A72" s="42" t="s">
        <v>139</v>
      </c>
      <c r="B72" s="42" t="s">
        <v>990</v>
      </c>
      <c r="C72" s="43" t="s">
        <v>243</v>
      </c>
      <c r="D72" s="44">
        <v>1.0</v>
      </c>
      <c r="E72" s="45" t="s">
        <v>244</v>
      </c>
      <c r="F72" s="45" t="s">
        <v>250</v>
      </c>
      <c r="G72" s="46">
        <v>0.018194444444444444</v>
      </c>
    </row>
    <row r="73" ht="14.25" customHeight="1">
      <c r="A73" s="42" t="s">
        <v>139</v>
      </c>
      <c r="B73" s="42" t="s">
        <v>990</v>
      </c>
      <c r="C73" s="43" t="s">
        <v>243</v>
      </c>
      <c r="D73" s="44">
        <v>1.0</v>
      </c>
      <c r="E73" s="45" t="s">
        <v>244</v>
      </c>
      <c r="F73" s="45" t="s">
        <v>251</v>
      </c>
      <c r="G73" s="46">
        <v>0.014548611111111111</v>
      </c>
    </row>
    <row r="74" ht="14.25" customHeight="1">
      <c r="A74" s="42" t="s">
        <v>139</v>
      </c>
      <c r="B74" s="42" t="s">
        <v>990</v>
      </c>
      <c r="C74" s="43" t="s">
        <v>243</v>
      </c>
      <c r="D74" s="44">
        <v>1.0</v>
      </c>
      <c r="E74" s="45" t="s">
        <v>244</v>
      </c>
      <c r="F74" s="45" t="s">
        <v>252</v>
      </c>
      <c r="G74" s="46">
        <v>0.019363425925925926</v>
      </c>
    </row>
    <row r="75" ht="14.25" customHeight="1">
      <c r="A75" s="42" t="s">
        <v>139</v>
      </c>
      <c r="B75" s="42" t="s">
        <v>990</v>
      </c>
      <c r="C75" s="43" t="s">
        <v>243</v>
      </c>
      <c r="D75" s="44">
        <v>1.0</v>
      </c>
      <c r="E75" s="45" t="s">
        <v>244</v>
      </c>
      <c r="F75" s="45" t="s">
        <v>253</v>
      </c>
      <c r="G75" s="46">
        <v>0.015902777777777776</v>
      </c>
    </row>
    <row r="76" ht="14.25" customHeight="1">
      <c r="A76" s="42" t="s">
        <v>139</v>
      </c>
      <c r="B76" s="42" t="s">
        <v>990</v>
      </c>
      <c r="C76" s="43" t="s">
        <v>243</v>
      </c>
      <c r="D76" s="44">
        <v>1.0</v>
      </c>
      <c r="E76" s="45" t="s">
        <v>244</v>
      </c>
      <c r="F76" s="45" t="s">
        <v>496</v>
      </c>
      <c r="G76" s="46">
        <v>0.013738425925925926</v>
      </c>
    </row>
    <row r="77" ht="14.25" customHeight="1">
      <c r="A77" s="42" t="s">
        <v>139</v>
      </c>
      <c r="B77" s="42" t="s">
        <v>990</v>
      </c>
      <c r="C77" s="43" t="s">
        <v>243</v>
      </c>
      <c r="D77" s="44">
        <v>1.0</v>
      </c>
      <c r="E77" s="45" t="s">
        <v>244</v>
      </c>
      <c r="F77" s="45" t="s">
        <v>497</v>
      </c>
      <c r="G77" s="46">
        <v>0.08333333333333333</v>
      </c>
    </row>
    <row r="78" ht="14.25" customHeight="1">
      <c r="A78" s="42" t="s">
        <v>139</v>
      </c>
      <c r="B78" s="42" t="s">
        <v>990</v>
      </c>
      <c r="C78" s="43" t="s">
        <v>243</v>
      </c>
      <c r="D78" s="44">
        <v>2.0</v>
      </c>
      <c r="E78" s="45" t="s">
        <v>254</v>
      </c>
      <c r="F78" s="45" t="s">
        <v>498</v>
      </c>
      <c r="G78" s="46">
        <v>0.015543981481481482</v>
      </c>
    </row>
    <row r="79" ht="14.25" customHeight="1">
      <c r="A79" s="42" t="s">
        <v>139</v>
      </c>
      <c r="B79" s="42" t="s">
        <v>990</v>
      </c>
      <c r="C79" s="43" t="s">
        <v>243</v>
      </c>
      <c r="D79" s="44">
        <v>2.0</v>
      </c>
      <c r="E79" s="45" t="s">
        <v>254</v>
      </c>
      <c r="F79" s="45" t="s">
        <v>499</v>
      </c>
      <c r="G79" s="46">
        <v>0.014664351851851852</v>
      </c>
    </row>
    <row r="80" ht="14.25" customHeight="1">
      <c r="A80" s="42" t="s">
        <v>139</v>
      </c>
      <c r="B80" s="42" t="s">
        <v>990</v>
      </c>
      <c r="C80" s="43" t="s">
        <v>243</v>
      </c>
      <c r="D80" s="44">
        <v>2.0</v>
      </c>
      <c r="E80" s="45" t="s">
        <v>254</v>
      </c>
      <c r="F80" s="45" t="s">
        <v>256</v>
      </c>
      <c r="G80" s="46">
        <v>0.013738425925925926</v>
      </c>
    </row>
    <row r="81" ht="14.25" customHeight="1">
      <c r="A81" s="42" t="s">
        <v>139</v>
      </c>
      <c r="B81" s="42" t="s">
        <v>990</v>
      </c>
      <c r="C81" s="43" t="s">
        <v>243</v>
      </c>
      <c r="D81" s="44">
        <v>2.0</v>
      </c>
      <c r="E81" s="45" t="s">
        <v>254</v>
      </c>
      <c r="F81" s="45" t="s">
        <v>500</v>
      </c>
      <c r="G81" s="46">
        <v>0.013958333333333333</v>
      </c>
    </row>
    <row r="82" ht="14.25" customHeight="1">
      <c r="A82" s="42" t="s">
        <v>139</v>
      </c>
      <c r="B82" s="42" t="s">
        <v>990</v>
      </c>
      <c r="C82" s="43" t="s">
        <v>243</v>
      </c>
      <c r="D82" s="44">
        <v>2.0</v>
      </c>
      <c r="E82" s="45" t="s">
        <v>254</v>
      </c>
      <c r="F82" s="45" t="s">
        <v>257</v>
      </c>
      <c r="G82" s="46">
        <v>0.010428240740740741</v>
      </c>
    </row>
    <row r="83" ht="14.25" customHeight="1">
      <c r="A83" s="42" t="s">
        <v>139</v>
      </c>
      <c r="B83" s="42" t="s">
        <v>990</v>
      </c>
      <c r="C83" s="43" t="s">
        <v>243</v>
      </c>
      <c r="D83" s="44">
        <v>2.0</v>
      </c>
      <c r="E83" s="45" t="s">
        <v>254</v>
      </c>
      <c r="F83" s="45" t="s">
        <v>258</v>
      </c>
      <c r="G83" s="46">
        <v>0.020613425925925927</v>
      </c>
    </row>
    <row r="84" ht="14.25" customHeight="1">
      <c r="A84" s="42" t="s">
        <v>139</v>
      </c>
      <c r="B84" s="42" t="s">
        <v>990</v>
      </c>
      <c r="C84" s="43" t="s">
        <v>243</v>
      </c>
      <c r="D84" s="44">
        <v>2.0</v>
      </c>
      <c r="E84" s="45" t="s">
        <v>254</v>
      </c>
      <c r="F84" s="45" t="s">
        <v>259</v>
      </c>
      <c r="G84" s="46">
        <v>0.0203125</v>
      </c>
    </row>
    <row r="85" ht="14.25" customHeight="1">
      <c r="A85" s="42" t="s">
        <v>139</v>
      </c>
      <c r="B85" s="42" t="s">
        <v>990</v>
      </c>
      <c r="C85" s="43" t="s">
        <v>243</v>
      </c>
      <c r="D85" s="44">
        <v>2.0</v>
      </c>
      <c r="E85" s="45" t="s">
        <v>254</v>
      </c>
      <c r="F85" s="45" t="s">
        <v>993</v>
      </c>
      <c r="G85" s="46">
        <v>0.0625</v>
      </c>
    </row>
    <row r="86" ht="14.25" customHeight="1">
      <c r="A86" s="42" t="s">
        <v>139</v>
      </c>
      <c r="B86" s="42" t="s">
        <v>990</v>
      </c>
      <c r="C86" s="43" t="s">
        <v>243</v>
      </c>
      <c r="D86" s="44">
        <v>2.0</v>
      </c>
      <c r="E86" s="45" t="s">
        <v>254</v>
      </c>
      <c r="F86" s="45" t="s">
        <v>260</v>
      </c>
      <c r="G86" s="46">
        <v>0.0625</v>
      </c>
    </row>
    <row r="87" ht="14.25" customHeight="1">
      <c r="A87" s="42" t="s">
        <v>139</v>
      </c>
      <c r="B87" s="42" t="s">
        <v>990</v>
      </c>
      <c r="C87" s="43" t="s">
        <v>243</v>
      </c>
      <c r="D87" s="44">
        <v>3.0</v>
      </c>
      <c r="E87" s="45" t="s">
        <v>261</v>
      </c>
      <c r="F87" s="45" t="s">
        <v>263</v>
      </c>
      <c r="G87" s="46">
        <v>0.015856481481481482</v>
      </c>
    </row>
    <row r="88" ht="14.25" customHeight="1">
      <c r="A88" s="42" t="s">
        <v>139</v>
      </c>
      <c r="B88" s="42" t="s">
        <v>990</v>
      </c>
      <c r="C88" s="43" t="s">
        <v>243</v>
      </c>
      <c r="D88" s="44">
        <v>3.0</v>
      </c>
      <c r="E88" s="45" t="s">
        <v>261</v>
      </c>
      <c r="F88" s="45" t="s">
        <v>264</v>
      </c>
      <c r="G88" s="46">
        <v>0.009965277777777778</v>
      </c>
    </row>
    <row r="89" ht="14.25" customHeight="1">
      <c r="A89" s="42" t="s">
        <v>139</v>
      </c>
      <c r="B89" s="42" t="s">
        <v>990</v>
      </c>
      <c r="C89" s="43" t="s">
        <v>243</v>
      </c>
      <c r="D89" s="44">
        <v>3.0</v>
      </c>
      <c r="E89" s="45" t="s">
        <v>261</v>
      </c>
      <c r="F89" s="45" t="s">
        <v>265</v>
      </c>
      <c r="G89" s="46">
        <v>0.01982638888888889</v>
      </c>
    </row>
    <row r="90" ht="14.25" customHeight="1">
      <c r="A90" s="42" t="s">
        <v>139</v>
      </c>
      <c r="B90" s="42" t="s">
        <v>990</v>
      </c>
      <c r="C90" s="43" t="s">
        <v>243</v>
      </c>
      <c r="D90" s="44">
        <v>3.0</v>
      </c>
      <c r="E90" s="45" t="s">
        <v>261</v>
      </c>
      <c r="F90" s="45" t="s">
        <v>266</v>
      </c>
      <c r="G90" s="46">
        <v>0.017418981481481483</v>
      </c>
    </row>
    <row r="91" ht="14.25" customHeight="1">
      <c r="A91" s="42" t="s">
        <v>139</v>
      </c>
      <c r="B91" s="42" t="s">
        <v>990</v>
      </c>
      <c r="C91" s="43" t="s">
        <v>243</v>
      </c>
      <c r="D91" s="44">
        <v>3.0</v>
      </c>
      <c r="E91" s="45" t="s">
        <v>261</v>
      </c>
      <c r="F91" s="45" t="s">
        <v>267</v>
      </c>
      <c r="G91" s="46">
        <v>0.05555555555555555</v>
      </c>
    </row>
    <row r="92" ht="14.25" customHeight="1">
      <c r="A92" s="42" t="s">
        <v>139</v>
      </c>
      <c r="B92" s="42" t="s">
        <v>990</v>
      </c>
      <c r="C92" s="43" t="s">
        <v>243</v>
      </c>
      <c r="D92" s="44">
        <v>4.0</v>
      </c>
      <c r="E92" s="45" t="s">
        <v>268</v>
      </c>
      <c r="F92" s="45" t="s">
        <v>270</v>
      </c>
      <c r="G92" s="46">
        <v>0.015729166666666666</v>
      </c>
    </row>
    <row r="93" ht="14.25" customHeight="1">
      <c r="A93" s="42" t="s">
        <v>139</v>
      </c>
      <c r="B93" s="42" t="s">
        <v>990</v>
      </c>
      <c r="C93" s="43" t="s">
        <v>243</v>
      </c>
      <c r="D93" s="44">
        <v>4.0</v>
      </c>
      <c r="E93" s="45" t="s">
        <v>268</v>
      </c>
      <c r="F93" s="45" t="s">
        <v>271</v>
      </c>
      <c r="G93" s="46">
        <v>0.016238425925925927</v>
      </c>
    </row>
    <row r="94" ht="14.25" customHeight="1">
      <c r="A94" s="42" t="s">
        <v>139</v>
      </c>
      <c r="B94" s="42" t="s">
        <v>990</v>
      </c>
      <c r="C94" s="43" t="s">
        <v>243</v>
      </c>
      <c r="D94" s="44">
        <v>5.0</v>
      </c>
      <c r="E94" s="45" t="s">
        <v>272</v>
      </c>
      <c r="F94" s="45" t="s">
        <v>332</v>
      </c>
      <c r="G94" s="46">
        <v>0.0096875</v>
      </c>
    </row>
    <row r="95" ht="14.25" customHeight="1">
      <c r="A95" s="42" t="s">
        <v>139</v>
      </c>
      <c r="B95" s="42" t="s">
        <v>990</v>
      </c>
      <c r="C95" s="43" t="s">
        <v>243</v>
      </c>
      <c r="D95" s="44">
        <v>5.0</v>
      </c>
      <c r="E95" s="45" t="s">
        <v>272</v>
      </c>
      <c r="F95" s="45" t="s">
        <v>274</v>
      </c>
      <c r="G95" s="46">
        <v>0.010891203703703703</v>
      </c>
    </row>
    <row r="96" ht="14.25" customHeight="1">
      <c r="A96" s="42" t="s">
        <v>139</v>
      </c>
      <c r="B96" s="42" t="s">
        <v>990</v>
      </c>
      <c r="C96" s="43" t="s">
        <v>243</v>
      </c>
      <c r="D96" s="44">
        <v>5.0</v>
      </c>
      <c r="E96" s="45" t="s">
        <v>272</v>
      </c>
      <c r="F96" s="45" t="s">
        <v>275</v>
      </c>
      <c r="G96" s="46">
        <v>0.05555555555555555</v>
      </c>
    </row>
    <row r="97" ht="14.25" customHeight="1">
      <c r="A97" s="42" t="s">
        <v>139</v>
      </c>
      <c r="B97" s="42" t="s">
        <v>994</v>
      </c>
      <c r="C97" s="43" t="s">
        <v>277</v>
      </c>
      <c r="D97" s="44">
        <v>1.0</v>
      </c>
      <c r="E97" s="45" t="s">
        <v>278</v>
      </c>
      <c r="F97" s="45" t="s">
        <v>280</v>
      </c>
      <c r="G97" s="46">
        <v>0.014004629629629629</v>
      </c>
    </row>
    <row r="98" ht="14.25" customHeight="1">
      <c r="A98" s="42" t="s">
        <v>139</v>
      </c>
      <c r="B98" s="42" t="s">
        <v>994</v>
      </c>
      <c r="C98" s="43" t="s">
        <v>277</v>
      </c>
      <c r="D98" s="44">
        <v>1.0</v>
      </c>
      <c r="E98" s="45" t="s">
        <v>278</v>
      </c>
      <c r="F98" s="45" t="s">
        <v>506</v>
      </c>
      <c r="G98" s="46">
        <v>0.00400462962962963</v>
      </c>
    </row>
    <row r="99" ht="14.25" customHeight="1">
      <c r="A99" s="42" t="s">
        <v>139</v>
      </c>
      <c r="B99" s="42" t="s">
        <v>994</v>
      </c>
      <c r="C99" s="43" t="s">
        <v>277</v>
      </c>
      <c r="D99" s="44">
        <v>1.0</v>
      </c>
      <c r="E99" s="45" t="s">
        <v>278</v>
      </c>
      <c r="F99" s="45" t="s">
        <v>137</v>
      </c>
      <c r="G99" s="46">
        <v>0.014548611111111111</v>
      </c>
    </row>
    <row r="100" ht="14.25" customHeight="1">
      <c r="A100" s="42" t="s">
        <v>139</v>
      </c>
      <c r="B100" s="42" t="s">
        <v>994</v>
      </c>
      <c r="C100" s="43" t="s">
        <v>277</v>
      </c>
      <c r="D100" s="44">
        <v>1.0</v>
      </c>
      <c r="E100" s="45" t="s">
        <v>278</v>
      </c>
      <c r="F100" s="45" t="s">
        <v>281</v>
      </c>
      <c r="G100" s="46">
        <v>0.008310185185185184</v>
      </c>
    </row>
    <row r="101" ht="14.25" customHeight="1">
      <c r="A101" s="42" t="s">
        <v>139</v>
      </c>
      <c r="B101" s="42" t="s">
        <v>994</v>
      </c>
      <c r="C101" s="43" t="s">
        <v>277</v>
      </c>
      <c r="D101" s="44">
        <v>2.0</v>
      </c>
      <c r="E101" s="45" t="s">
        <v>282</v>
      </c>
      <c r="F101" s="45" t="s">
        <v>284</v>
      </c>
      <c r="G101" s="46">
        <v>0.00829861111111111</v>
      </c>
    </row>
    <row r="102" ht="14.25" customHeight="1">
      <c r="A102" s="42" t="s">
        <v>139</v>
      </c>
      <c r="B102" s="42" t="s">
        <v>994</v>
      </c>
      <c r="C102" s="43" t="s">
        <v>277</v>
      </c>
      <c r="D102" s="44">
        <v>2.0</v>
      </c>
      <c r="E102" s="45" t="s">
        <v>282</v>
      </c>
      <c r="F102" s="45" t="s">
        <v>285</v>
      </c>
      <c r="G102" s="46">
        <v>0.01849537037037037</v>
      </c>
    </row>
    <row r="103" ht="14.25" customHeight="1">
      <c r="A103" s="42" t="s">
        <v>139</v>
      </c>
      <c r="B103" s="42" t="s">
        <v>994</v>
      </c>
      <c r="C103" s="43" t="s">
        <v>277</v>
      </c>
      <c r="D103" s="44">
        <v>2.0</v>
      </c>
      <c r="E103" s="45" t="s">
        <v>282</v>
      </c>
      <c r="F103" s="45" t="s">
        <v>508</v>
      </c>
      <c r="G103" s="46">
        <v>0.0025</v>
      </c>
    </row>
    <row r="104" ht="14.25" customHeight="1">
      <c r="A104" s="42" t="s">
        <v>139</v>
      </c>
      <c r="B104" s="42" t="s">
        <v>994</v>
      </c>
      <c r="C104" s="43" t="s">
        <v>277</v>
      </c>
      <c r="D104" s="44">
        <v>2.0</v>
      </c>
      <c r="E104" s="45" t="s">
        <v>282</v>
      </c>
      <c r="F104" s="45" t="s">
        <v>509</v>
      </c>
      <c r="G104" s="46">
        <v>0.016516203703703703</v>
      </c>
    </row>
    <row r="105" ht="14.25" customHeight="1">
      <c r="A105" s="42" t="s">
        <v>139</v>
      </c>
      <c r="B105" s="42" t="s">
        <v>994</v>
      </c>
      <c r="C105" s="43" t="s">
        <v>277</v>
      </c>
      <c r="D105" s="44">
        <v>2.0</v>
      </c>
      <c r="E105" s="45" t="s">
        <v>282</v>
      </c>
      <c r="F105" s="45" t="s">
        <v>286</v>
      </c>
      <c r="G105" s="46">
        <v>0.012534722222222221</v>
      </c>
    </row>
    <row r="106" ht="14.25" customHeight="1">
      <c r="A106" s="42" t="s">
        <v>139</v>
      </c>
      <c r="B106" s="42" t="s">
        <v>994</v>
      </c>
      <c r="C106" s="43" t="s">
        <v>277</v>
      </c>
      <c r="D106" s="44">
        <v>2.0</v>
      </c>
      <c r="E106" s="45" t="s">
        <v>282</v>
      </c>
      <c r="F106" s="45" t="s">
        <v>287</v>
      </c>
      <c r="G106" s="46">
        <v>0.01638888888888889</v>
      </c>
    </row>
    <row r="107" ht="14.25" customHeight="1">
      <c r="A107" s="42" t="s">
        <v>139</v>
      </c>
      <c r="B107" s="42" t="s">
        <v>994</v>
      </c>
      <c r="C107" s="43" t="s">
        <v>277</v>
      </c>
      <c r="D107" s="44">
        <v>2.0</v>
      </c>
      <c r="E107" s="45" t="s">
        <v>282</v>
      </c>
      <c r="F107" s="45" t="s">
        <v>288</v>
      </c>
      <c r="G107" s="46">
        <v>0.0018171296296296297</v>
      </c>
    </row>
    <row r="108" ht="14.25" customHeight="1">
      <c r="A108" s="42" t="s">
        <v>139</v>
      </c>
      <c r="B108" s="42" t="s">
        <v>994</v>
      </c>
      <c r="C108" s="43" t="s">
        <v>277</v>
      </c>
      <c r="D108" s="44">
        <v>2.0</v>
      </c>
      <c r="E108" s="45" t="s">
        <v>282</v>
      </c>
      <c r="F108" s="45" t="s">
        <v>289</v>
      </c>
      <c r="G108" s="46">
        <v>0.0011689814814814816</v>
      </c>
    </row>
    <row r="109" ht="14.25" customHeight="1">
      <c r="A109" s="42" t="s">
        <v>139</v>
      </c>
      <c r="B109" s="42" t="s">
        <v>994</v>
      </c>
      <c r="C109" s="43" t="s">
        <v>277</v>
      </c>
      <c r="D109" s="44">
        <v>2.0</v>
      </c>
      <c r="E109" s="45" t="s">
        <v>282</v>
      </c>
      <c r="F109" s="45" t="s">
        <v>290</v>
      </c>
      <c r="G109" s="46">
        <v>6.365740740740741E-4</v>
      </c>
    </row>
    <row r="110" ht="14.25" customHeight="1">
      <c r="A110" s="42" t="s">
        <v>139</v>
      </c>
      <c r="B110" s="42" t="s">
        <v>994</v>
      </c>
      <c r="C110" s="43" t="s">
        <v>277</v>
      </c>
      <c r="D110" s="44">
        <v>2.0</v>
      </c>
      <c r="E110" s="45" t="s">
        <v>282</v>
      </c>
      <c r="F110" s="45" t="s">
        <v>292</v>
      </c>
      <c r="G110" s="46">
        <v>0.05555555555555555</v>
      </c>
    </row>
    <row r="111" ht="14.25" customHeight="1">
      <c r="A111" s="42" t="s">
        <v>139</v>
      </c>
      <c r="B111" s="42" t="s">
        <v>994</v>
      </c>
      <c r="C111" s="43" t="s">
        <v>293</v>
      </c>
      <c r="D111" s="44">
        <v>1.0</v>
      </c>
      <c r="E111" s="45" t="s">
        <v>294</v>
      </c>
      <c r="F111" s="45" t="s">
        <v>296</v>
      </c>
      <c r="G111" s="46">
        <v>0.009965277777777778</v>
      </c>
    </row>
    <row r="112" ht="14.25" customHeight="1">
      <c r="A112" s="42" t="s">
        <v>139</v>
      </c>
      <c r="B112" s="42" t="s">
        <v>994</v>
      </c>
      <c r="C112" s="43" t="s">
        <v>293</v>
      </c>
      <c r="D112" s="44">
        <v>1.0</v>
      </c>
      <c r="E112" s="45" t="s">
        <v>294</v>
      </c>
      <c r="F112" s="45" t="s">
        <v>995</v>
      </c>
      <c r="G112" s="46">
        <v>0.006655092592592593</v>
      </c>
    </row>
    <row r="113" ht="14.25" customHeight="1">
      <c r="A113" s="42" t="s">
        <v>139</v>
      </c>
      <c r="B113" s="42" t="s">
        <v>994</v>
      </c>
      <c r="C113" s="43" t="s">
        <v>293</v>
      </c>
      <c r="D113" s="44">
        <v>2.0</v>
      </c>
      <c r="E113" s="45" t="s">
        <v>297</v>
      </c>
      <c r="F113" s="45" t="s">
        <v>298</v>
      </c>
      <c r="G113" s="46">
        <v>0.002685185185185185</v>
      </c>
    </row>
    <row r="114" ht="14.25" customHeight="1">
      <c r="A114" s="42" t="s">
        <v>139</v>
      </c>
      <c r="B114" s="42" t="s">
        <v>994</v>
      </c>
      <c r="C114" s="43" t="s">
        <v>293</v>
      </c>
      <c r="D114" s="44">
        <v>2.0</v>
      </c>
      <c r="E114" s="45" t="s">
        <v>297</v>
      </c>
      <c r="F114" s="45" t="s">
        <v>299</v>
      </c>
      <c r="G114" s="46">
        <v>0.0030671296296296297</v>
      </c>
    </row>
    <row r="115" ht="14.25" customHeight="1">
      <c r="A115" s="42" t="s">
        <v>139</v>
      </c>
      <c r="B115" s="42" t="s">
        <v>994</v>
      </c>
      <c r="C115" s="43" t="s">
        <v>293</v>
      </c>
      <c r="D115" s="44">
        <v>2.0</v>
      </c>
      <c r="E115" s="45" t="s">
        <v>297</v>
      </c>
      <c r="F115" s="45" t="s">
        <v>300</v>
      </c>
      <c r="G115" s="46">
        <v>0.003969907407407407</v>
      </c>
    </row>
    <row r="116" ht="14.25" customHeight="1">
      <c r="A116" s="42" t="s">
        <v>139</v>
      </c>
      <c r="B116" s="42" t="s">
        <v>994</v>
      </c>
      <c r="C116" s="43" t="s">
        <v>293</v>
      </c>
      <c r="D116" s="44">
        <v>2.0</v>
      </c>
      <c r="E116" s="45" t="s">
        <v>297</v>
      </c>
      <c r="F116" s="45" t="s">
        <v>301</v>
      </c>
      <c r="G116" s="46">
        <v>0.009375</v>
      </c>
    </row>
    <row r="117" ht="14.25" customHeight="1">
      <c r="A117" s="42" t="s">
        <v>139</v>
      </c>
      <c r="B117" s="42" t="s">
        <v>994</v>
      </c>
      <c r="C117" s="43" t="s">
        <v>293</v>
      </c>
      <c r="D117" s="44">
        <v>2.0</v>
      </c>
      <c r="E117" s="45" t="s">
        <v>297</v>
      </c>
      <c r="F117" s="45" t="s">
        <v>302</v>
      </c>
      <c r="G117" s="46">
        <v>0.014027777777777778</v>
      </c>
    </row>
    <row r="118" ht="14.25" customHeight="1">
      <c r="A118" s="42" t="s">
        <v>139</v>
      </c>
      <c r="B118" s="42" t="s">
        <v>994</v>
      </c>
      <c r="C118" s="43" t="s">
        <v>293</v>
      </c>
      <c r="D118" s="44">
        <v>2.0</v>
      </c>
      <c r="E118" s="45" t="s">
        <v>297</v>
      </c>
      <c r="F118" s="45" t="s">
        <v>996</v>
      </c>
      <c r="G118" s="46">
        <v>0.005752314814814815</v>
      </c>
    </row>
    <row r="119" ht="14.25" customHeight="1">
      <c r="A119" s="42" t="s">
        <v>139</v>
      </c>
      <c r="B119" s="42" t="s">
        <v>994</v>
      </c>
      <c r="C119" s="43" t="s">
        <v>293</v>
      </c>
      <c r="D119" s="44">
        <v>2.0</v>
      </c>
      <c r="E119" s="45" t="s">
        <v>297</v>
      </c>
      <c r="F119" s="45" t="s">
        <v>303</v>
      </c>
      <c r="G119" s="46">
        <v>0.0036226851851851854</v>
      </c>
    </row>
    <row r="120" ht="14.25" customHeight="1">
      <c r="A120" s="42" t="s">
        <v>139</v>
      </c>
      <c r="B120" s="42" t="s">
        <v>994</v>
      </c>
      <c r="C120" s="43" t="s">
        <v>293</v>
      </c>
      <c r="D120" s="44">
        <v>2.0</v>
      </c>
      <c r="E120" s="45" t="s">
        <v>297</v>
      </c>
      <c r="F120" s="45" t="s">
        <v>304</v>
      </c>
      <c r="G120" s="46">
        <v>0.05555555555555555</v>
      </c>
    </row>
    <row r="121" ht="14.25" customHeight="1">
      <c r="A121" s="42" t="s">
        <v>139</v>
      </c>
      <c r="B121" s="42" t="s">
        <v>994</v>
      </c>
      <c r="C121" s="43" t="s">
        <v>293</v>
      </c>
      <c r="D121" s="44">
        <v>2.0</v>
      </c>
      <c r="E121" s="45" t="s">
        <v>297</v>
      </c>
      <c r="F121" s="45" t="s">
        <v>305</v>
      </c>
      <c r="G121" s="46">
        <v>0.01025462962962963</v>
      </c>
    </row>
    <row r="122" ht="14.25" customHeight="1">
      <c r="A122" s="42" t="s">
        <v>139</v>
      </c>
      <c r="B122" s="42" t="s">
        <v>994</v>
      </c>
      <c r="C122" s="43" t="s">
        <v>293</v>
      </c>
      <c r="D122" s="44">
        <v>2.0</v>
      </c>
      <c r="E122" s="45" t="s">
        <v>297</v>
      </c>
      <c r="F122" s="45" t="s">
        <v>511</v>
      </c>
      <c r="G122" s="46">
        <v>0.0021296296296296298</v>
      </c>
    </row>
    <row r="123" ht="14.25" customHeight="1">
      <c r="A123" s="42" t="s">
        <v>139</v>
      </c>
      <c r="B123" s="42" t="s">
        <v>994</v>
      </c>
      <c r="C123" s="43" t="s">
        <v>293</v>
      </c>
      <c r="D123" s="44">
        <v>2.0</v>
      </c>
      <c r="E123" s="45" t="s">
        <v>297</v>
      </c>
      <c r="F123" s="45" t="s">
        <v>306</v>
      </c>
      <c r="G123" s="46">
        <v>0.004189814814814815</v>
      </c>
    </row>
    <row r="124" ht="14.25" customHeight="1">
      <c r="A124" s="42" t="s">
        <v>139</v>
      </c>
      <c r="B124" s="42" t="s">
        <v>994</v>
      </c>
      <c r="C124" s="43" t="s">
        <v>293</v>
      </c>
      <c r="D124" s="44">
        <v>2.0</v>
      </c>
      <c r="E124" s="45" t="s">
        <v>297</v>
      </c>
      <c r="F124" s="45" t="s">
        <v>307</v>
      </c>
      <c r="G124" s="46">
        <v>0.05555555555555555</v>
      </c>
    </row>
    <row r="125" ht="14.25" customHeight="1">
      <c r="A125" s="42" t="s">
        <v>139</v>
      </c>
      <c r="B125" s="42" t="s">
        <v>994</v>
      </c>
      <c r="C125" s="43" t="s">
        <v>293</v>
      </c>
      <c r="D125" s="44">
        <v>2.0</v>
      </c>
      <c r="E125" s="45" t="s">
        <v>297</v>
      </c>
      <c r="F125" s="45" t="s">
        <v>308</v>
      </c>
      <c r="G125" s="46">
        <v>0.05555555555555555</v>
      </c>
    </row>
    <row r="126" ht="14.25" customHeight="1">
      <c r="A126" s="42" t="s">
        <v>139</v>
      </c>
      <c r="B126" s="42" t="s">
        <v>994</v>
      </c>
      <c r="C126" s="43" t="s">
        <v>293</v>
      </c>
      <c r="D126" s="44">
        <v>2.0</v>
      </c>
      <c r="E126" s="45" t="s">
        <v>297</v>
      </c>
      <c r="F126" s="45" t="s">
        <v>310</v>
      </c>
      <c r="G126" s="46">
        <v>0.020694444444444446</v>
      </c>
    </row>
    <row r="127" ht="14.25" customHeight="1">
      <c r="A127" s="42" t="s">
        <v>139</v>
      </c>
      <c r="B127" s="42" t="s">
        <v>994</v>
      </c>
      <c r="C127" s="43" t="s">
        <v>293</v>
      </c>
      <c r="D127" s="44">
        <v>2.0</v>
      </c>
      <c r="E127" s="45" t="s">
        <v>297</v>
      </c>
      <c r="F127" s="45" t="s">
        <v>997</v>
      </c>
      <c r="G127" s="46">
        <v>0.05555555555555555</v>
      </c>
    </row>
    <row r="128" ht="14.25" customHeight="1">
      <c r="A128" s="42" t="s">
        <v>139</v>
      </c>
      <c r="B128" s="42" t="s">
        <v>994</v>
      </c>
      <c r="C128" s="43" t="s">
        <v>293</v>
      </c>
      <c r="D128" s="44">
        <v>2.0</v>
      </c>
      <c r="E128" s="45" t="s">
        <v>297</v>
      </c>
      <c r="F128" s="45" t="s">
        <v>311</v>
      </c>
      <c r="G128" s="46">
        <v>0.010289351851851852</v>
      </c>
    </row>
    <row r="129" ht="14.25" customHeight="1">
      <c r="A129" s="42" t="s">
        <v>139</v>
      </c>
      <c r="B129" s="42" t="s">
        <v>994</v>
      </c>
      <c r="C129" s="43" t="s">
        <v>293</v>
      </c>
      <c r="D129" s="44">
        <v>3.0</v>
      </c>
      <c r="E129" s="45" t="s">
        <v>312</v>
      </c>
      <c r="F129" s="45" t="s">
        <v>313</v>
      </c>
      <c r="G129" s="46">
        <v>0.017418981481481483</v>
      </c>
    </row>
    <row r="130" ht="14.25" customHeight="1">
      <c r="A130" s="42" t="s">
        <v>139</v>
      </c>
      <c r="B130" s="42" t="s">
        <v>994</v>
      </c>
      <c r="C130" s="43" t="s">
        <v>293</v>
      </c>
      <c r="D130" s="44">
        <v>3.0</v>
      </c>
      <c r="E130" s="45" t="s">
        <v>312</v>
      </c>
      <c r="F130" s="45" t="s">
        <v>315</v>
      </c>
      <c r="G130" s="46">
        <v>0.01659722222222222</v>
      </c>
    </row>
    <row r="131" ht="14.25" customHeight="1">
      <c r="A131" s="42" t="s">
        <v>139</v>
      </c>
      <c r="B131" s="42" t="s">
        <v>994</v>
      </c>
      <c r="C131" s="43" t="s">
        <v>293</v>
      </c>
      <c r="D131" s="44">
        <v>3.0</v>
      </c>
      <c r="E131" s="45" t="s">
        <v>312</v>
      </c>
      <c r="F131" s="45" t="s">
        <v>316</v>
      </c>
      <c r="G131" s="46">
        <v>0.006307870370370371</v>
      </c>
    </row>
    <row r="132" ht="14.25" customHeight="1">
      <c r="A132" s="42" t="s">
        <v>139</v>
      </c>
      <c r="B132" s="42" t="s">
        <v>994</v>
      </c>
      <c r="C132" s="43" t="s">
        <v>293</v>
      </c>
      <c r="D132" s="44">
        <v>3.0</v>
      </c>
      <c r="E132" s="45" t="s">
        <v>312</v>
      </c>
      <c r="F132" s="45" t="s">
        <v>512</v>
      </c>
      <c r="G132" s="46">
        <v>0.008715277777777778</v>
      </c>
    </row>
    <row r="133" ht="14.25" customHeight="1">
      <c r="A133" s="42" t="s">
        <v>139</v>
      </c>
      <c r="B133" s="42" t="s">
        <v>994</v>
      </c>
      <c r="C133" s="43" t="s">
        <v>317</v>
      </c>
      <c r="D133" s="44">
        <v>1.0</v>
      </c>
      <c r="E133" s="45" t="s">
        <v>318</v>
      </c>
      <c r="F133" s="45" t="s">
        <v>319</v>
      </c>
      <c r="G133" s="46">
        <v>0.014826388888888889</v>
      </c>
    </row>
    <row r="134" ht="14.25" customHeight="1">
      <c r="A134" s="42" t="s">
        <v>139</v>
      </c>
      <c r="B134" s="42" t="s">
        <v>994</v>
      </c>
      <c r="C134" s="43" t="s">
        <v>317</v>
      </c>
      <c r="D134" s="44">
        <v>1.0</v>
      </c>
      <c r="E134" s="45" t="s">
        <v>318</v>
      </c>
      <c r="F134" s="45" t="s">
        <v>320</v>
      </c>
      <c r="G134" s="46">
        <v>0.00738425925925926</v>
      </c>
    </row>
    <row r="135" ht="14.25" customHeight="1">
      <c r="A135" s="42" t="s">
        <v>139</v>
      </c>
      <c r="B135" s="42" t="s">
        <v>994</v>
      </c>
      <c r="C135" s="43" t="s">
        <v>317</v>
      </c>
      <c r="D135" s="44">
        <v>1.0</v>
      </c>
      <c r="E135" s="45" t="s">
        <v>318</v>
      </c>
      <c r="F135" s="45" t="s">
        <v>321</v>
      </c>
      <c r="G135" s="46">
        <v>0.01678240740740741</v>
      </c>
    </row>
    <row r="136" ht="14.25" customHeight="1">
      <c r="A136" s="42" t="s">
        <v>139</v>
      </c>
      <c r="B136" s="42" t="s">
        <v>994</v>
      </c>
      <c r="C136" s="43" t="s">
        <v>317</v>
      </c>
      <c r="D136" s="44">
        <v>1.0</v>
      </c>
      <c r="E136" s="45" t="s">
        <v>318</v>
      </c>
      <c r="F136" s="45" t="s">
        <v>323</v>
      </c>
      <c r="G136" s="46">
        <v>0.05555555555555555</v>
      </c>
    </row>
    <row r="137" ht="14.25" customHeight="1">
      <c r="A137" s="42" t="s">
        <v>139</v>
      </c>
      <c r="B137" s="42" t="s">
        <v>994</v>
      </c>
      <c r="C137" s="43" t="s">
        <v>317</v>
      </c>
      <c r="D137" s="44">
        <v>1.0</v>
      </c>
      <c r="E137" s="45" t="s">
        <v>318</v>
      </c>
      <c r="F137" s="45" t="s">
        <v>324</v>
      </c>
      <c r="G137" s="46">
        <v>0.020833333333333332</v>
      </c>
    </row>
    <row r="138" ht="14.25" customHeight="1">
      <c r="A138" s="42" t="s">
        <v>139</v>
      </c>
      <c r="B138" s="42" t="s">
        <v>994</v>
      </c>
      <c r="C138" s="43" t="s">
        <v>317</v>
      </c>
      <c r="D138" s="44">
        <v>2.0</v>
      </c>
      <c r="E138" s="45" t="s">
        <v>325</v>
      </c>
      <c r="F138" s="45" t="s">
        <v>326</v>
      </c>
      <c r="G138" s="46">
        <v>0.0025</v>
      </c>
    </row>
    <row r="139" ht="14.25" customHeight="1">
      <c r="A139" s="42" t="s">
        <v>139</v>
      </c>
      <c r="B139" s="42" t="s">
        <v>994</v>
      </c>
      <c r="C139" s="43" t="s">
        <v>317</v>
      </c>
      <c r="D139" s="44">
        <v>2.0</v>
      </c>
      <c r="E139" s="45" t="s">
        <v>325</v>
      </c>
      <c r="F139" s="45" t="s">
        <v>327</v>
      </c>
      <c r="G139" s="46">
        <v>0.0019328703703703704</v>
      </c>
    </row>
    <row r="140" ht="14.25" customHeight="1">
      <c r="A140" s="42" t="s">
        <v>139</v>
      </c>
      <c r="B140" s="42" t="s">
        <v>994</v>
      </c>
      <c r="C140" s="43" t="s">
        <v>317</v>
      </c>
      <c r="D140" s="44">
        <v>2.0</v>
      </c>
      <c r="E140" s="45" t="s">
        <v>325</v>
      </c>
      <c r="F140" s="45" t="s">
        <v>328</v>
      </c>
      <c r="G140" s="46">
        <v>0.0020486111111111113</v>
      </c>
    </row>
    <row r="141" ht="14.25" customHeight="1">
      <c r="A141" s="42" t="s">
        <v>139</v>
      </c>
      <c r="B141" s="42" t="s">
        <v>994</v>
      </c>
      <c r="C141" s="43" t="s">
        <v>317</v>
      </c>
      <c r="D141" s="44">
        <v>2.0</v>
      </c>
      <c r="E141" s="45" t="s">
        <v>325</v>
      </c>
      <c r="F141" s="45" t="s">
        <v>329</v>
      </c>
      <c r="G141" s="46">
        <v>0.0030555555555555557</v>
      </c>
    </row>
    <row r="142" ht="14.25" customHeight="1">
      <c r="A142" s="42" t="s">
        <v>139</v>
      </c>
      <c r="B142" s="42" t="s">
        <v>994</v>
      </c>
      <c r="C142" s="43" t="s">
        <v>317</v>
      </c>
      <c r="D142" s="44">
        <v>2.0</v>
      </c>
      <c r="E142" s="45" t="s">
        <v>325</v>
      </c>
      <c r="F142" s="45" t="s">
        <v>516</v>
      </c>
      <c r="G142" s="46">
        <v>0.0018287037037037037</v>
      </c>
    </row>
    <row r="143" ht="14.25" customHeight="1">
      <c r="A143" s="42" t="s">
        <v>139</v>
      </c>
      <c r="B143" s="42" t="s">
        <v>994</v>
      </c>
      <c r="C143" s="43" t="s">
        <v>317</v>
      </c>
      <c r="D143" s="44">
        <v>2.0</v>
      </c>
      <c r="E143" s="45" t="s">
        <v>325</v>
      </c>
      <c r="F143" s="45" t="s">
        <v>517</v>
      </c>
      <c r="G143" s="46">
        <v>0.003576388888888889</v>
      </c>
    </row>
    <row r="144" ht="14.25" customHeight="1">
      <c r="A144" s="42" t="s">
        <v>139</v>
      </c>
      <c r="B144" s="42" t="s">
        <v>994</v>
      </c>
      <c r="C144" s="43" t="s">
        <v>317</v>
      </c>
      <c r="D144" s="44">
        <v>2.0</v>
      </c>
      <c r="E144" s="45" t="s">
        <v>325</v>
      </c>
      <c r="F144" s="45" t="s">
        <v>330</v>
      </c>
      <c r="G144" s="46">
        <v>0.0031018518518518517</v>
      </c>
    </row>
    <row r="145" ht="14.25" customHeight="1">
      <c r="A145" s="42" t="s">
        <v>139</v>
      </c>
      <c r="B145" s="42" t="s">
        <v>994</v>
      </c>
      <c r="C145" s="43" t="s">
        <v>317</v>
      </c>
      <c r="D145" s="44">
        <v>2.0</v>
      </c>
      <c r="E145" s="45" t="s">
        <v>325</v>
      </c>
      <c r="F145" s="45" t="s">
        <v>331</v>
      </c>
      <c r="G145" s="46">
        <v>0.012303240740740741</v>
      </c>
    </row>
    <row r="146" ht="14.25" customHeight="1">
      <c r="A146" s="42" t="s">
        <v>139</v>
      </c>
      <c r="B146" s="42" t="s">
        <v>994</v>
      </c>
      <c r="C146" s="43" t="s">
        <v>317</v>
      </c>
      <c r="D146" s="44">
        <v>2.0</v>
      </c>
      <c r="E146" s="45" t="s">
        <v>325</v>
      </c>
      <c r="F146" s="45" t="s">
        <v>518</v>
      </c>
      <c r="G146" s="46">
        <v>0.05555555555555555</v>
      </c>
    </row>
    <row r="147" ht="14.25" customHeight="1">
      <c r="A147" s="42" t="s">
        <v>139</v>
      </c>
      <c r="B147" s="42" t="s">
        <v>994</v>
      </c>
      <c r="C147" s="43" t="s">
        <v>317</v>
      </c>
      <c r="D147" s="44">
        <v>3.0</v>
      </c>
      <c r="E147" s="45" t="s">
        <v>272</v>
      </c>
      <c r="F147" s="45" t="s">
        <v>332</v>
      </c>
      <c r="G147" s="46">
        <v>0.0096875</v>
      </c>
    </row>
    <row r="148" ht="14.25" customHeight="1">
      <c r="A148" s="42" t="s">
        <v>139</v>
      </c>
      <c r="B148" s="42" t="s">
        <v>994</v>
      </c>
      <c r="C148" s="43" t="s">
        <v>317</v>
      </c>
      <c r="D148" s="44">
        <v>3.0</v>
      </c>
      <c r="E148" s="45" t="s">
        <v>272</v>
      </c>
      <c r="F148" s="45" t="s">
        <v>274</v>
      </c>
      <c r="G148" s="46">
        <v>0.010891203703703703</v>
      </c>
    </row>
    <row r="149" ht="14.25" customHeight="1">
      <c r="A149" s="42" t="s">
        <v>139</v>
      </c>
      <c r="B149" s="42" t="s">
        <v>994</v>
      </c>
      <c r="C149" s="43" t="s">
        <v>317</v>
      </c>
      <c r="D149" s="44">
        <v>3.0</v>
      </c>
      <c r="E149" s="45" t="s">
        <v>272</v>
      </c>
      <c r="F149" s="45" t="s">
        <v>275</v>
      </c>
      <c r="G149" s="46">
        <v>0.05555555555555555</v>
      </c>
    </row>
    <row r="150" ht="14.25" customHeight="1">
      <c r="A150" s="42" t="s">
        <v>139</v>
      </c>
      <c r="B150" s="42" t="s">
        <v>994</v>
      </c>
      <c r="C150" s="43" t="s">
        <v>317</v>
      </c>
      <c r="D150" s="44">
        <v>3.0</v>
      </c>
      <c r="E150" s="45" t="s">
        <v>272</v>
      </c>
      <c r="F150" s="45" t="s">
        <v>998</v>
      </c>
      <c r="G150" s="46">
        <v>0.05555555555555555</v>
      </c>
    </row>
    <row r="151" ht="14.25" customHeight="1">
      <c r="A151" s="42" t="s">
        <v>139</v>
      </c>
      <c r="B151" s="42" t="s">
        <v>994</v>
      </c>
      <c r="C151" s="43" t="s">
        <v>334</v>
      </c>
      <c r="D151" s="44">
        <v>1.0</v>
      </c>
      <c r="E151" s="45" t="s">
        <v>335</v>
      </c>
      <c r="F151" s="45" t="s">
        <v>336</v>
      </c>
      <c r="G151" s="46">
        <v>0.002662037037037037</v>
      </c>
    </row>
    <row r="152" ht="14.25" customHeight="1">
      <c r="A152" s="42" t="s">
        <v>139</v>
      </c>
      <c r="B152" s="42" t="s">
        <v>994</v>
      </c>
      <c r="C152" s="43" t="s">
        <v>334</v>
      </c>
      <c r="D152" s="44">
        <v>1.0</v>
      </c>
      <c r="E152" s="45" t="s">
        <v>335</v>
      </c>
      <c r="F152" s="45" t="s">
        <v>337</v>
      </c>
      <c r="G152" s="46">
        <v>7.986111111111112E-4</v>
      </c>
    </row>
    <row r="153" ht="14.25" customHeight="1">
      <c r="A153" s="42" t="s">
        <v>139</v>
      </c>
      <c r="B153" s="42" t="s">
        <v>994</v>
      </c>
      <c r="C153" s="43" t="s">
        <v>334</v>
      </c>
      <c r="D153" s="44">
        <v>1.0</v>
      </c>
      <c r="E153" s="45" t="s">
        <v>335</v>
      </c>
      <c r="F153" s="45" t="s">
        <v>339</v>
      </c>
      <c r="G153" s="46">
        <v>0.008611111111111111</v>
      </c>
    </row>
    <row r="154" ht="14.25" customHeight="1">
      <c r="A154" s="42" t="s">
        <v>139</v>
      </c>
      <c r="B154" s="42" t="s">
        <v>994</v>
      </c>
      <c r="C154" s="43" t="s">
        <v>334</v>
      </c>
      <c r="D154" s="44">
        <v>1.0</v>
      </c>
      <c r="E154" s="45" t="s">
        <v>335</v>
      </c>
      <c r="F154" s="45" t="s">
        <v>340</v>
      </c>
      <c r="G154" s="46">
        <v>7.986111111111112E-4</v>
      </c>
    </row>
    <row r="155" ht="14.25" customHeight="1">
      <c r="A155" s="42" t="s">
        <v>139</v>
      </c>
      <c r="B155" s="42" t="s">
        <v>994</v>
      </c>
      <c r="C155" s="43" t="s">
        <v>334</v>
      </c>
      <c r="D155" s="44">
        <v>2.0</v>
      </c>
      <c r="E155" s="45" t="s">
        <v>341</v>
      </c>
      <c r="F155" s="45" t="s">
        <v>341</v>
      </c>
      <c r="G155" s="46">
        <v>0.005127314814814815</v>
      </c>
    </row>
    <row r="156" ht="14.25" customHeight="1">
      <c r="A156" s="42" t="s">
        <v>139</v>
      </c>
      <c r="B156" s="42" t="s">
        <v>994</v>
      </c>
      <c r="C156" s="43" t="s">
        <v>334</v>
      </c>
      <c r="D156" s="44">
        <v>2.0</v>
      </c>
      <c r="E156" s="45" t="s">
        <v>341</v>
      </c>
      <c r="F156" s="45" t="s">
        <v>342</v>
      </c>
      <c r="G156" s="46">
        <v>9.375E-4</v>
      </c>
    </row>
    <row r="157" ht="14.25" customHeight="1">
      <c r="A157" s="42" t="s">
        <v>139</v>
      </c>
      <c r="B157" s="42" t="s">
        <v>994</v>
      </c>
      <c r="C157" s="43" t="s">
        <v>334</v>
      </c>
      <c r="D157" s="44">
        <v>2.0</v>
      </c>
      <c r="E157" s="45" t="s">
        <v>341</v>
      </c>
      <c r="F157" s="45" t="s">
        <v>343</v>
      </c>
      <c r="G157" s="46">
        <v>0.001863425925925926</v>
      </c>
    </row>
    <row r="158" ht="14.25" customHeight="1">
      <c r="A158" s="42" t="s">
        <v>139</v>
      </c>
      <c r="B158" s="42" t="s">
        <v>994</v>
      </c>
      <c r="C158" s="43" t="s">
        <v>334</v>
      </c>
      <c r="D158" s="44">
        <v>2.0</v>
      </c>
      <c r="E158" s="45" t="s">
        <v>341</v>
      </c>
      <c r="F158" s="45" t="s">
        <v>344</v>
      </c>
      <c r="G158" s="46">
        <v>6.828703703703704E-4</v>
      </c>
    </row>
    <row r="159" ht="14.25" customHeight="1">
      <c r="A159" s="42" t="s">
        <v>139</v>
      </c>
      <c r="B159" s="42" t="s">
        <v>994</v>
      </c>
      <c r="C159" s="43" t="s">
        <v>334</v>
      </c>
      <c r="D159" s="44">
        <v>2.0</v>
      </c>
      <c r="E159" s="45" t="s">
        <v>341</v>
      </c>
      <c r="F159" s="45" t="s">
        <v>539</v>
      </c>
      <c r="G159" s="46">
        <v>7.407407407407407E-4</v>
      </c>
    </row>
    <row r="160" ht="14.25" customHeight="1">
      <c r="A160" s="42" t="s">
        <v>139</v>
      </c>
      <c r="B160" s="42" t="s">
        <v>994</v>
      </c>
      <c r="C160" s="43" t="s">
        <v>334</v>
      </c>
      <c r="D160" s="44">
        <v>2.0</v>
      </c>
      <c r="E160" s="45" t="s">
        <v>341</v>
      </c>
      <c r="F160" s="45" t="s">
        <v>346</v>
      </c>
      <c r="G160" s="46">
        <v>6.134259259259259E-4</v>
      </c>
    </row>
    <row r="161" ht="14.25" customHeight="1">
      <c r="A161" s="42" t="s">
        <v>139</v>
      </c>
      <c r="B161" s="42" t="s">
        <v>994</v>
      </c>
      <c r="C161" s="43" t="s">
        <v>334</v>
      </c>
      <c r="D161" s="44">
        <v>2.0</v>
      </c>
      <c r="E161" s="45" t="s">
        <v>341</v>
      </c>
      <c r="F161" s="45" t="s">
        <v>347</v>
      </c>
      <c r="G161" s="46">
        <v>9.953703703703704E-4</v>
      </c>
    </row>
    <row r="162" ht="14.25" customHeight="1">
      <c r="A162" s="42" t="s">
        <v>139</v>
      </c>
      <c r="B162" s="42" t="s">
        <v>994</v>
      </c>
      <c r="C162" s="43" t="s">
        <v>334</v>
      </c>
      <c r="D162" s="44">
        <v>3.0</v>
      </c>
      <c r="E162" s="45" t="s">
        <v>348</v>
      </c>
      <c r="F162" s="45" t="s">
        <v>348</v>
      </c>
      <c r="G162" s="46">
        <v>0.0069560185185185185</v>
      </c>
    </row>
    <row r="163" ht="14.25" customHeight="1">
      <c r="A163" s="42" t="s">
        <v>139</v>
      </c>
      <c r="B163" s="42" t="s">
        <v>994</v>
      </c>
      <c r="C163" s="43" t="s">
        <v>334</v>
      </c>
      <c r="D163" s="44">
        <v>3.0</v>
      </c>
      <c r="E163" s="45" t="s">
        <v>348</v>
      </c>
      <c r="F163" s="45" t="s">
        <v>540</v>
      </c>
      <c r="G163" s="46">
        <v>5.555555555555556E-4</v>
      </c>
    </row>
    <row r="164" ht="14.25" customHeight="1">
      <c r="A164" s="42" t="s">
        <v>139</v>
      </c>
      <c r="B164" s="42" t="s">
        <v>994</v>
      </c>
      <c r="C164" s="43" t="s">
        <v>334</v>
      </c>
      <c r="D164" s="44">
        <v>3.0</v>
      </c>
      <c r="E164" s="45" t="s">
        <v>348</v>
      </c>
      <c r="F164" s="45" t="s">
        <v>349</v>
      </c>
      <c r="G164" s="46">
        <v>0.0015393518518518519</v>
      </c>
    </row>
    <row r="165" ht="14.25" customHeight="1">
      <c r="A165" s="42" t="s">
        <v>139</v>
      </c>
      <c r="B165" s="42" t="s">
        <v>994</v>
      </c>
      <c r="C165" s="43" t="s">
        <v>334</v>
      </c>
      <c r="D165" s="44">
        <v>3.0</v>
      </c>
      <c r="E165" s="45" t="s">
        <v>348</v>
      </c>
      <c r="F165" s="45" t="s">
        <v>351</v>
      </c>
      <c r="G165" s="46">
        <v>5.671296296296297E-4</v>
      </c>
    </row>
    <row r="166" ht="14.25" customHeight="1">
      <c r="A166" s="42" t="s">
        <v>139</v>
      </c>
      <c r="B166" s="42" t="s">
        <v>994</v>
      </c>
      <c r="C166" s="43" t="s">
        <v>334</v>
      </c>
      <c r="D166" s="44">
        <v>3.0</v>
      </c>
      <c r="E166" s="45" t="s">
        <v>348</v>
      </c>
      <c r="F166" s="45" t="s">
        <v>999</v>
      </c>
      <c r="G166" s="46">
        <v>0.0016319444444444445</v>
      </c>
    </row>
    <row r="167" ht="14.25" customHeight="1">
      <c r="A167" s="42" t="s">
        <v>139</v>
      </c>
      <c r="B167" s="42" t="s">
        <v>994</v>
      </c>
      <c r="C167" s="43" t="s">
        <v>334</v>
      </c>
      <c r="D167" s="44">
        <v>3.0</v>
      </c>
      <c r="E167" s="45" t="s">
        <v>348</v>
      </c>
      <c r="F167" s="45" t="s">
        <v>352</v>
      </c>
      <c r="G167" s="46">
        <v>0.05555555555555555</v>
      </c>
    </row>
    <row r="168" ht="14.25" customHeight="1">
      <c r="A168" s="42" t="s">
        <v>139</v>
      </c>
      <c r="B168" s="42" t="s">
        <v>994</v>
      </c>
      <c r="C168" s="43" t="s">
        <v>334</v>
      </c>
      <c r="D168" s="44">
        <v>4.0</v>
      </c>
      <c r="E168" s="45" t="s">
        <v>353</v>
      </c>
      <c r="F168" s="45" t="s">
        <v>354</v>
      </c>
      <c r="G168" s="46">
        <v>0.004074074074074074</v>
      </c>
    </row>
    <row r="169" ht="14.25" customHeight="1">
      <c r="A169" s="42" t="s">
        <v>139</v>
      </c>
      <c r="B169" s="42" t="s">
        <v>994</v>
      </c>
      <c r="C169" s="43" t="s">
        <v>334</v>
      </c>
      <c r="D169" s="44">
        <v>4.0</v>
      </c>
      <c r="E169" s="45" t="s">
        <v>353</v>
      </c>
      <c r="F169" s="45" t="s">
        <v>355</v>
      </c>
      <c r="G169" s="46">
        <v>0.014212962962962964</v>
      </c>
    </row>
    <row r="170" ht="14.25" customHeight="1">
      <c r="A170" s="42" t="s">
        <v>139</v>
      </c>
      <c r="B170" s="42" t="s">
        <v>994</v>
      </c>
      <c r="C170" s="43" t="s">
        <v>334</v>
      </c>
      <c r="D170" s="44">
        <v>4.0</v>
      </c>
      <c r="E170" s="45" t="s">
        <v>353</v>
      </c>
      <c r="F170" s="45" t="s">
        <v>356</v>
      </c>
      <c r="G170" s="46">
        <v>0.0015277777777777779</v>
      </c>
    </row>
    <row r="171" ht="14.25" customHeight="1">
      <c r="A171" s="42" t="s">
        <v>139</v>
      </c>
      <c r="B171" s="42" t="s">
        <v>994</v>
      </c>
      <c r="C171" s="43" t="s">
        <v>334</v>
      </c>
      <c r="D171" s="44">
        <v>4.0</v>
      </c>
      <c r="E171" s="45" t="s">
        <v>353</v>
      </c>
      <c r="F171" s="45" t="s">
        <v>357</v>
      </c>
      <c r="G171" s="46">
        <v>0.0010648148148148149</v>
      </c>
    </row>
    <row r="172" ht="14.25" customHeight="1">
      <c r="A172" s="42" t="s">
        <v>139</v>
      </c>
      <c r="B172" s="42" t="s">
        <v>994</v>
      </c>
      <c r="C172" s="43" t="s">
        <v>334</v>
      </c>
      <c r="D172" s="44">
        <v>4.0</v>
      </c>
      <c r="E172" s="45" t="s">
        <v>353</v>
      </c>
      <c r="F172" s="45" t="s">
        <v>359</v>
      </c>
      <c r="G172" s="46">
        <v>0.0013541666666666667</v>
      </c>
    </row>
    <row r="173" ht="14.25" customHeight="1">
      <c r="A173" s="42" t="s">
        <v>139</v>
      </c>
      <c r="B173" s="42" t="s">
        <v>994</v>
      </c>
      <c r="C173" s="43" t="s">
        <v>334</v>
      </c>
      <c r="D173" s="44">
        <v>4.0</v>
      </c>
      <c r="E173" s="45" t="s">
        <v>353</v>
      </c>
      <c r="F173" s="45" t="s">
        <v>360</v>
      </c>
      <c r="G173" s="46">
        <v>0.05555555555555555</v>
      </c>
    </row>
    <row r="174" ht="14.25" customHeight="1">
      <c r="A174" s="42" t="s">
        <v>139</v>
      </c>
      <c r="B174" s="42" t="s">
        <v>994</v>
      </c>
      <c r="C174" s="43" t="s">
        <v>361</v>
      </c>
      <c r="D174" s="44">
        <v>1.0</v>
      </c>
      <c r="E174" s="45" t="s">
        <v>362</v>
      </c>
      <c r="F174" s="45" t="s">
        <v>541</v>
      </c>
      <c r="G174" s="46">
        <v>0.005462962962962963</v>
      </c>
    </row>
    <row r="175" ht="14.25" customHeight="1">
      <c r="A175" s="42" t="s">
        <v>139</v>
      </c>
      <c r="B175" s="42" t="s">
        <v>994</v>
      </c>
      <c r="C175" s="43" t="s">
        <v>361</v>
      </c>
      <c r="D175" s="44">
        <v>1.0</v>
      </c>
      <c r="E175" s="45" t="s">
        <v>362</v>
      </c>
      <c r="F175" s="45" t="s">
        <v>363</v>
      </c>
      <c r="G175" s="46">
        <v>0.0026967592592592594</v>
      </c>
    </row>
    <row r="176" ht="14.25" customHeight="1">
      <c r="A176" s="42" t="s">
        <v>139</v>
      </c>
      <c r="B176" s="42" t="s">
        <v>994</v>
      </c>
      <c r="C176" s="43" t="s">
        <v>361</v>
      </c>
      <c r="D176" s="44">
        <v>1.0</v>
      </c>
      <c r="E176" s="45" t="s">
        <v>362</v>
      </c>
      <c r="F176" s="45" t="s">
        <v>364</v>
      </c>
      <c r="G176" s="46">
        <v>0.015439814814814814</v>
      </c>
    </row>
    <row r="177" ht="14.25" customHeight="1">
      <c r="A177" s="42" t="s">
        <v>139</v>
      </c>
      <c r="B177" s="42" t="s">
        <v>994</v>
      </c>
      <c r="C177" s="43" t="s">
        <v>361</v>
      </c>
      <c r="D177" s="44">
        <v>1.0</v>
      </c>
      <c r="E177" s="45" t="s">
        <v>362</v>
      </c>
      <c r="F177" s="45" t="s">
        <v>1000</v>
      </c>
      <c r="G177" s="46">
        <v>0.028819444444444446</v>
      </c>
    </row>
    <row r="178" ht="14.25" customHeight="1">
      <c r="A178" s="42" t="s">
        <v>139</v>
      </c>
      <c r="B178" s="42" t="s">
        <v>994</v>
      </c>
      <c r="C178" s="43" t="s">
        <v>361</v>
      </c>
      <c r="D178" s="44">
        <v>1.0</v>
      </c>
      <c r="E178" s="45" t="s">
        <v>362</v>
      </c>
      <c r="F178" s="45" t="s">
        <v>366</v>
      </c>
      <c r="G178" s="46">
        <v>0.010324074074074074</v>
      </c>
    </row>
    <row r="179" ht="14.25" customHeight="1">
      <c r="A179" s="42" t="s">
        <v>139</v>
      </c>
      <c r="B179" s="42" t="s">
        <v>994</v>
      </c>
      <c r="C179" s="43" t="s">
        <v>361</v>
      </c>
      <c r="D179" s="44">
        <v>1.0</v>
      </c>
      <c r="E179" s="45" t="s">
        <v>362</v>
      </c>
      <c r="F179" s="45" t="s">
        <v>367</v>
      </c>
      <c r="G179" s="46">
        <v>0.013761574074074074</v>
      </c>
    </row>
    <row r="180" ht="14.25" customHeight="1">
      <c r="A180" s="42" t="s">
        <v>139</v>
      </c>
      <c r="B180" s="42" t="s">
        <v>994</v>
      </c>
      <c r="C180" s="43" t="s">
        <v>361</v>
      </c>
      <c r="D180" s="44">
        <v>1.0</v>
      </c>
      <c r="E180" s="45" t="s">
        <v>362</v>
      </c>
      <c r="F180" s="45" t="s">
        <v>542</v>
      </c>
      <c r="G180" s="46">
        <v>0.00883101851851852</v>
      </c>
    </row>
    <row r="181" ht="14.25" customHeight="1">
      <c r="A181" s="42" t="s">
        <v>139</v>
      </c>
      <c r="B181" s="42" t="s">
        <v>994</v>
      </c>
      <c r="C181" s="43" t="s">
        <v>361</v>
      </c>
      <c r="D181" s="44">
        <v>2.0</v>
      </c>
      <c r="E181" s="45" t="s">
        <v>368</v>
      </c>
      <c r="F181" s="45" t="s">
        <v>369</v>
      </c>
      <c r="G181" s="46">
        <v>0.007893518518518518</v>
      </c>
    </row>
    <row r="182" ht="14.25" customHeight="1">
      <c r="A182" s="42" t="s">
        <v>139</v>
      </c>
      <c r="B182" s="42" t="s">
        <v>994</v>
      </c>
      <c r="C182" s="43" t="s">
        <v>361</v>
      </c>
      <c r="D182" s="44">
        <v>2.0</v>
      </c>
      <c r="E182" s="45" t="s">
        <v>368</v>
      </c>
      <c r="F182" s="45" t="s">
        <v>370</v>
      </c>
      <c r="G182" s="46">
        <v>0.007789351851851852</v>
      </c>
    </row>
    <row r="183" ht="14.25" customHeight="1">
      <c r="A183" s="42" t="s">
        <v>139</v>
      </c>
      <c r="B183" s="42" t="s">
        <v>994</v>
      </c>
      <c r="C183" s="43" t="s">
        <v>361</v>
      </c>
      <c r="D183" s="44">
        <v>2.0</v>
      </c>
      <c r="E183" s="45" t="s">
        <v>368</v>
      </c>
      <c r="F183" s="45" t="s">
        <v>371</v>
      </c>
      <c r="G183" s="46">
        <v>0.003275462962962963</v>
      </c>
    </row>
    <row r="184" ht="14.25" customHeight="1">
      <c r="A184" s="42" t="s">
        <v>139</v>
      </c>
      <c r="B184" s="42" t="s">
        <v>994</v>
      </c>
      <c r="C184" s="43" t="s">
        <v>361</v>
      </c>
      <c r="D184" s="44">
        <v>2.0</v>
      </c>
      <c r="E184" s="45" t="s">
        <v>368</v>
      </c>
      <c r="F184" s="45" t="s">
        <v>372</v>
      </c>
      <c r="G184" s="46">
        <v>0.014953703703703703</v>
      </c>
    </row>
    <row r="185" ht="14.25" customHeight="1">
      <c r="A185" s="42" t="s">
        <v>139</v>
      </c>
      <c r="B185" s="42" t="s">
        <v>994</v>
      </c>
      <c r="C185" s="43" t="s">
        <v>361</v>
      </c>
      <c r="D185" s="44">
        <v>2.0</v>
      </c>
      <c r="E185" s="45" t="s">
        <v>368</v>
      </c>
      <c r="F185" s="45" t="s">
        <v>374</v>
      </c>
      <c r="G185" s="46">
        <v>0.01744212962962963</v>
      </c>
    </row>
    <row r="186" ht="14.25" customHeight="1">
      <c r="A186" s="42" t="s">
        <v>139</v>
      </c>
      <c r="B186" s="42" t="s">
        <v>994</v>
      </c>
      <c r="C186" s="43" t="s">
        <v>361</v>
      </c>
      <c r="D186" s="44">
        <v>2.0</v>
      </c>
      <c r="E186" s="45" t="s">
        <v>368</v>
      </c>
      <c r="F186" s="45" t="s">
        <v>375</v>
      </c>
      <c r="G186" s="46">
        <v>0.00542824074074074</v>
      </c>
    </row>
    <row r="187" ht="14.25" customHeight="1">
      <c r="A187" s="42" t="s">
        <v>139</v>
      </c>
      <c r="B187" s="42" t="s">
        <v>994</v>
      </c>
      <c r="C187" s="43" t="s">
        <v>361</v>
      </c>
      <c r="D187" s="44">
        <v>3.0</v>
      </c>
      <c r="E187" s="45" t="s">
        <v>376</v>
      </c>
      <c r="F187" s="45" t="s">
        <v>377</v>
      </c>
      <c r="G187" s="46">
        <v>0.011620370370370371</v>
      </c>
    </row>
    <row r="188" ht="14.25" customHeight="1">
      <c r="A188" s="42" t="s">
        <v>139</v>
      </c>
      <c r="B188" s="42" t="s">
        <v>994</v>
      </c>
      <c r="C188" s="43" t="s">
        <v>361</v>
      </c>
      <c r="D188" s="44">
        <v>3.0</v>
      </c>
      <c r="E188" s="45" t="s">
        <v>376</v>
      </c>
      <c r="F188" s="45" t="s">
        <v>378</v>
      </c>
      <c r="G188" s="46">
        <v>0.015277777777777777</v>
      </c>
    </row>
    <row r="189" ht="14.25" customHeight="1">
      <c r="A189" s="42" t="s">
        <v>139</v>
      </c>
      <c r="B189" s="42" t="s">
        <v>994</v>
      </c>
      <c r="C189" s="43" t="s">
        <v>361</v>
      </c>
      <c r="D189" s="44">
        <v>3.0</v>
      </c>
      <c r="E189" s="45" t="s">
        <v>376</v>
      </c>
      <c r="F189" s="45" t="s">
        <v>379</v>
      </c>
      <c r="G189" s="46">
        <v>0.01105324074074074</v>
      </c>
    </row>
    <row r="190" ht="14.25" customHeight="1">
      <c r="A190" s="42" t="s">
        <v>139</v>
      </c>
      <c r="B190" s="42" t="s">
        <v>994</v>
      </c>
      <c r="C190" s="43" t="s">
        <v>361</v>
      </c>
      <c r="D190" s="44">
        <v>3.0</v>
      </c>
      <c r="E190" s="45" t="s">
        <v>376</v>
      </c>
      <c r="F190" s="45" t="s">
        <v>380</v>
      </c>
      <c r="G190" s="46">
        <v>0.05555555555555555</v>
      </c>
    </row>
    <row r="191" ht="14.25" customHeight="1">
      <c r="A191" s="42" t="s">
        <v>139</v>
      </c>
      <c r="B191" s="42" t="s">
        <v>994</v>
      </c>
      <c r="C191" s="43" t="s">
        <v>361</v>
      </c>
      <c r="D191" s="44">
        <v>4.0</v>
      </c>
      <c r="E191" s="45" t="s">
        <v>381</v>
      </c>
      <c r="F191" s="45" t="s">
        <v>382</v>
      </c>
      <c r="G191" s="46">
        <v>0.010868055555555556</v>
      </c>
    </row>
    <row r="192" ht="14.25" customHeight="1">
      <c r="A192" s="42" t="s">
        <v>139</v>
      </c>
      <c r="B192" s="42" t="s">
        <v>994</v>
      </c>
      <c r="C192" s="43" t="s">
        <v>361</v>
      </c>
      <c r="D192" s="44">
        <v>4.0</v>
      </c>
      <c r="E192" s="45" t="s">
        <v>381</v>
      </c>
      <c r="F192" s="45" t="s">
        <v>383</v>
      </c>
      <c r="G192" s="46">
        <v>0.01457175925925926</v>
      </c>
    </row>
    <row r="193" ht="14.25" customHeight="1">
      <c r="A193" s="42" t="s">
        <v>139</v>
      </c>
      <c r="B193" s="42" t="s">
        <v>994</v>
      </c>
      <c r="C193" s="43" t="s">
        <v>361</v>
      </c>
      <c r="D193" s="44">
        <v>4.0</v>
      </c>
      <c r="E193" s="45" t="s">
        <v>381</v>
      </c>
      <c r="F193" s="45" t="s">
        <v>384</v>
      </c>
      <c r="G193" s="46">
        <v>0.00755787037037037</v>
      </c>
    </row>
    <row r="194" ht="14.25" customHeight="1">
      <c r="A194" s="42" t="s">
        <v>139</v>
      </c>
      <c r="B194" s="42" t="s">
        <v>994</v>
      </c>
      <c r="C194" s="43" t="s">
        <v>361</v>
      </c>
      <c r="D194" s="44">
        <v>4.0</v>
      </c>
      <c r="E194" s="45" t="s">
        <v>381</v>
      </c>
      <c r="F194" s="45" t="s">
        <v>385</v>
      </c>
      <c r="G194" s="46">
        <v>0.005</v>
      </c>
    </row>
    <row r="195" ht="14.25" customHeight="1">
      <c r="A195" s="42" t="s">
        <v>139</v>
      </c>
      <c r="B195" s="42" t="s">
        <v>994</v>
      </c>
      <c r="C195" s="43" t="s">
        <v>361</v>
      </c>
      <c r="D195" s="44">
        <v>4.0</v>
      </c>
      <c r="E195" s="45" t="s">
        <v>381</v>
      </c>
      <c r="F195" s="45" t="s">
        <v>386</v>
      </c>
      <c r="G195" s="46">
        <v>0.011493055555555555</v>
      </c>
    </row>
    <row r="196" ht="14.25" customHeight="1">
      <c r="A196" s="42" t="s">
        <v>139</v>
      </c>
      <c r="B196" s="42" t="s">
        <v>994</v>
      </c>
      <c r="C196" s="43" t="s">
        <v>361</v>
      </c>
      <c r="D196" s="44">
        <v>4.0</v>
      </c>
      <c r="E196" s="45" t="s">
        <v>381</v>
      </c>
      <c r="F196" s="45" t="s">
        <v>387</v>
      </c>
      <c r="G196" s="46">
        <v>0.0038773148148148148</v>
      </c>
    </row>
    <row r="197" ht="14.25" customHeight="1">
      <c r="A197" s="42" t="s">
        <v>139</v>
      </c>
      <c r="B197" s="42" t="s">
        <v>994</v>
      </c>
      <c r="C197" s="43" t="s">
        <v>361</v>
      </c>
      <c r="D197" s="44">
        <v>4.0</v>
      </c>
      <c r="E197" s="45" t="s">
        <v>381</v>
      </c>
      <c r="F197" s="45" t="s">
        <v>389</v>
      </c>
      <c r="G197" s="46">
        <v>0.002951388888888889</v>
      </c>
    </row>
    <row r="198" ht="14.25" customHeight="1">
      <c r="A198" s="42" t="s">
        <v>139</v>
      </c>
      <c r="B198" s="42" t="s">
        <v>994</v>
      </c>
      <c r="C198" s="43" t="s">
        <v>361</v>
      </c>
      <c r="D198" s="44">
        <v>4.0</v>
      </c>
      <c r="E198" s="45" t="s">
        <v>381</v>
      </c>
      <c r="F198" s="45" t="s">
        <v>390</v>
      </c>
      <c r="G198" s="46">
        <v>0.012997685185185185</v>
      </c>
    </row>
    <row r="199" ht="14.25" customHeight="1">
      <c r="A199" s="42" t="s">
        <v>139</v>
      </c>
      <c r="B199" s="42" t="s">
        <v>994</v>
      </c>
      <c r="C199" s="43" t="s">
        <v>391</v>
      </c>
      <c r="D199" s="44">
        <v>1.0</v>
      </c>
      <c r="E199" s="45" t="s">
        <v>392</v>
      </c>
      <c r="F199" s="45" t="s">
        <v>394</v>
      </c>
      <c r="G199" s="46">
        <v>0.02556712962962963</v>
      </c>
    </row>
    <row r="200" ht="14.25" customHeight="1">
      <c r="A200" s="42" t="s">
        <v>139</v>
      </c>
      <c r="B200" s="42" t="s">
        <v>994</v>
      </c>
      <c r="C200" s="43" t="s">
        <v>391</v>
      </c>
      <c r="D200" s="44">
        <v>1.0</v>
      </c>
      <c r="E200" s="45" t="s">
        <v>392</v>
      </c>
      <c r="F200" s="45" t="s">
        <v>396</v>
      </c>
      <c r="G200" s="46">
        <v>0.013298611111111112</v>
      </c>
    </row>
    <row r="201" ht="14.25" customHeight="1">
      <c r="A201" s="42" t="s">
        <v>139</v>
      </c>
      <c r="B201" s="42" t="s">
        <v>994</v>
      </c>
      <c r="C201" s="43" t="s">
        <v>391</v>
      </c>
      <c r="D201" s="44">
        <v>2.0</v>
      </c>
      <c r="E201" s="45" t="s">
        <v>397</v>
      </c>
      <c r="F201" s="45" t="s">
        <v>1001</v>
      </c>
      <c r="G201" s="46">
        <v>0.02230324074074074</v>
      </c>
    </row>
    <row r="202" ht="14.25" customHeight="1">
      <c r="A202" s="42" t="s">
        <v>139</v>
      </c>
      <c r="B202" s="42" t="s">
        <v>994</v>
      </c>
      <c r="C202" s="43" t="s">
        <v>391</v>
      </c>
      <c r="D202" s="44">
        <v>2.0</v>
      </c>
      <c r="E202" s="45" t="s">
        <v>397</v>
      </c>
      <c r="F202" s="45" t="s">
        <v>398</v>
      </c>
      <c r="G202" s="46">
        <v>0.01375</v>
      </c>
    </row>
    <row r="203" ht="14.25" customHeight="1">
      <c r="A203" s="42" t="s">
        <v>139</v>
      </c>
      <c r="B203" s="42" t="s">
        <v>994</v>
      </c>
      <c r="C203" s="43" t="s">
        <v>399</v>
      </c>
      <c r="D203" s="44">
        <v>1.0</v>
      </c>
      <c r="E203" s="45" t="s">
        <v>400</v>
      </c>
      <c r="F203" s="45" t="s">
        <v>401</v>
      </c>
      <c r="G203" s="46">
        <v>0.021608796296296296</v>
      </c>
    </row>
    <row r="204" ht="14.25" customHeight="1">
      <c r="A204" s="42" t="s">
        <v>139</v>
      </c>
      <c r="B204" s="42" t="s">
        <v>994</v>
      </c>
      <c r="C204" s="43" t="s">
        <v>399</v>
      </c>
      <c r="D204" s="44">
        <v>1.0</v>
      </c>
      <c r="E204" s="45" t="s">
        <v>400</v>
      </c>
      <c r="F204" s="45" t="s">
        <v>402</v>
      </c>
      <c r="G204" s="46">
        <v>0.014166666666666666</v>
      </c>
    </row>
    <row r="205" ht="14.25" customHeight="1">
      <c r="A205" s="42" t="s">
        <v>139</v>
      </c>
      <c r="B205" s="42" t="s">
        <v>994</v>
      </c>
      <c r="C205" s="43" t="s">
        <v>399</v>
      </c>
      <c r="D205" s="44">
        <v>1.0</v>
      </c>
      <c r="E205" s="45" t="s">
        <v>400</v>
      </c>
      <c r="F205" s="45" t="s">
        <v>1002</v>
      </c>
      <c r="G205" s="46">
        <v>0.018333333333333333</v>
      </c>
    </row>
    <row r="206" ht="14.25" customHeight="1">
      <c r="A206" s="42" t="s">
        <v>139</v>
      </c>
      <c r="B206" s="42" t="s">
        <v>994</v>
      </c>
      <c r="C206" s="43" t="s">
        <v>399</v>
      </c>
      <c r="D206" s="44">
        <v>1.0</v>
      </c>
      <c r="E206" s="45" t="s">
        <v>400</v>
      </c>
      <c r="F206" s="45" t="s">
        <v>403</v>
      </c>
      <c r="G206" s="46">
        <v>0.026712962962962963</v>
      </c>
    </row>
    <row r="207" ht="14.25" customHeight="1">
      <c r="A207" s="42" t="s">
        <v>139</v>
      </c>
      <c r="B207" s="42" t="s">
        <v>994</v>
      </c>
      <c r="C207" s="43" t="s">
        <v>399</v>
      </c>
      <c r="D207" s="44">
        <v>1.0</v>
      </c>
      <c r="E207" s="45" t="s">
        <v>400</v>
      </c>
      <c r="F207" s="45" t="s">
        <v>404</v>
      </c>
      <c r="G207" s="46">
        <v>0.010289351851851852</v>
      </c>
    </row>
    <row r="208" ht="14.25" customHeight="1">
      <c r="A208" s="42" t="s">
        <v>139</v>
      </c>
      <c r="B208" s="42" t="s">
        <v>994</v>
      </c>
      <c r="C208" s="43" t="s">
        <v>399</v>
      </c>
      <c r="D208" s="44">
        <v>1.0</v>
      </c>
      <c r="E208" s="45" t="s">
        <v>400</v>
      </c>
      <c r="F208" s="45" t="s">
        <v>1003</v>
      </c>
      <c r="G208" s="46">
        <v>0.0134375</v>
      </c>
    </row>
    <row r="209" ht="14.25" customHeight="1">
      <c r="A209" s="42" t="s">
        <v>139</v>
      </c>
      <c r="B209" s="42" t="s">
        <v>994</v>
      </c>
      <c r="C209" s="43" t="s">
        <v>399</v>
      </c>
      <c r="D209" s="44">
        <v>1.0</v>
      </c>
      <c r="E209" s="45" t="s">
        <v>400</v>
      </c>
      <c r="F209" s="45" t="s">
        <v>406</v>
      </c>
      <c r="G209" s="46">
        <v>0.017766203703703704</v>
      </c>
    </row>
    <row r="210" ht="14.25" customHeight="1">
      <c r="A210" s="42" t="s">
        <v>139</v>
      </c>
      <c r="B210" s="42" t="s">
        <v>994</v>
      </c>
      <c r="C210" s="43" t="s">
        <v>399</v>
      </c>
      <c r="D210" s="44">
        <v>1.0</v>
      </c>
      <c r="E210" s="45" t="s">
        <v>400</v>
      </c>
      <c r="F210" s="45" t="s">
        <v>407</v>
      </c>
      <c r="G210" s="46">
        <v>0.017060185185185185</v>
      </c>
    </row>
    <row r="211" ht="14.25" customHeight="1">
      <c r="A211" s="42" t="s">
        <v>139</v>
      </c>
      <c r="B211" s="42" t="s">
        <v>994</v>
      </c>
      <c r="C211" s="43" t="s">
        <v>399</v>
      </c>
      <c r="D211" s="44">
        <v>1.0</v>
      </c>
      <c r="E211" s="45" t="s">
        <v>400</v>
      </c>
      <c r="F211" s="45" t="s">
        <v>408</v>
      </c>
      <c r="G211" s="46">
        <v>0.018738425925925926</v>
      </c>
    </row>
    <row r="212" ht="14.25" customHeight="1">
      <c r="A212" s="42" t="s">
        <v>139</v>
      </c>
      <c r="B212" s="42" t="s">
        <v>994</v>
      </c>
      <c r="C212" s="43" t="s">
        <v>399</v>
      </c>
      <c r="D212" s="44">
        <v>2.0</v>
      </c>
      <c r="E212" s="45" t="s">
        <v>409</v>
      </c>
      <c r="F212" s="45" t="s">
        <v>410</v>
      </c>
      <c r="G212" s="46">
        <v>0.013773148148148149</v>
      </c>
    </row>
    <row r="213" ht="14.25" customHeight="1">
      <c r="A213" s="42" t="s">
        <v>139</v>
      </c>
      <c r="B213" s="42" t="s">
        <v>994</v>
      </c>
      <c r="C213" s="43" t="s">
        <v>399</v>
      </c>
      <c r="D213" s="44">
        <v>2.0</v>
      </c>
      <c r="E213" s="45" t="s">
        <v>409</v>
      </c>
      <c r="F213" s="45" t="s">
        <v>411</v>
      </c>
      <c r="G213" s="46">
        <v>0.010543981481481482</v>
      </c>
    </row>
    <row r="214" ht="14.25" customHeight="1">
      <c r="A214" s="42" t="s">
        <v>139</v>
      </c>
      <c r="B214" s="42" t="s">
        <v>994</v>
      </c>
      <c r="C214" s="43" t="s">
        <v>399</v>
      </c>
      <c r="D214" s="44">
        <v>2.0</v>
      </c>
      <c r="E214" s="45" t="s">
        <v>409</v>
      </c>
      <c r="F214" s="45" t="s">
        <v>412</v>
      </c>
      <c r="G214" s="46">
        <v>0.007581018518518518</v>
      </c>
    </row>
    <row r="215" ht="14.25" customHeight="1">
      <c r="A215" s="42" t="s">
        <v>139</v>
      </c>
      <c r="B215" s="42" t="s">
        <v>994</v>
      </c>
      <c r="C215" s="43" t="s">
        <v>399</v>
      </c>
      <c r="D215" s="44">
        <v>2.0</v>
      </c>
      <c r="E215" s="45" t="s">
        <v>409</v>
      </c>
      <c r="F215" s="45" t="s">
        <v>414</v>
      </c>
      <c r="G215" s="46">
        <v>0.025347222222222222</v>
      </c>
    </row>
    <row r="216" ht="14.25" customHeight="1">
      <c r="A216" s="42" t="s">
        <v>139</v>
      </c>
      <c r="B216" s="42" t="s">
        <v>994</v>
      </c>
      <c r="C216" s="43" t="s">
        <v>399</v>
      </c>
      <c r="D216" s="44">
        <v>2.0</v>
      </c>
      <c r="E216" s="45" t="s">
        <v>409</v>
      </c>
      <c r="F216" s="45" t="s">
        <v>415</v>
      </c>
      <c r="G216" s="46">
        <v>0.015810185185185184</v>
      </c>
    </row>
    <row r="217" ht="14.25" customHeight="1">
      <c r="A217" s="42" t="s">
        <v>139</v>
      </c>
      <c r="B217" s="42" t="s">
        <v>994</v>
      </c>
      <c r="C217" s="43" t="s">
        <v>399</v>
      </c>
      <c r="D217" s="44">
        <v>2.0</v>
      </c>
      <c r="E217" s="45" t="s">
        <v>409</v>
      </c>
      <c r="F217" s="45" t="s">
        <v>1004</v>
      </c>
      <c r="G217" s="46">
        <v>0.013819444444444445</v>
      </c>
    </row>
    <row r="218" ht="14.25" customHeight="1">
      <c r="A218" s="42" t="s">
        <v>139</v>
      </c>
      <c r="B218" s="42" t="s">
        <v>994</v>
      </c>
      <c r="C218" s="43" t="s">
        <v>399</v>
      </c>
      <c r="D218" s="44">
        <v>2.0</v>
      </c>
      <c r="E218" s="45" t="s">
        <v>409</v>
      </c>
      <c r="F218" s="45" t="s">
        <v>416</v>
      </c>
      <c r="G218" s="46">
        <v>0.007418981481481481</v>
      </c>
    </row>
    <row r="219" ht="14.25" customHeight="1">
      <c r="A219" s="42" t="s">
        <v>139</v>
      </c>
      <c r="B219" s="42" t="s">
        <v>994</v>
      </c>
      <c r="C219" s="43" t="s">
        <v>417</v>
      </c>
      <c r="D219" s="44">
        <v>1.0</v>
      </c>
      <c r="E219" s="45" t="s">
        <v>418</v>
      </c>
      <c r="F219" s="45" t="s">
        <v>419</v>
      </c>
      <c r="G219" s="46">
        <v>0.011539351851851851</v>
      </c>
    </row>
    <row r="220" ht="14.25" customHeight="1">
      <c r="A220" s="42" t="s">
        <v>139</v>
      </c>
      <c r="B220" s="42" t="s">
        <v>994</v>
      </c>
      <c r="C220" s="43" t="s">
        <v>417</v>
      </c>
      <c r="D220" s="44">
        <v>1.0</v>
      </c>
      <c r="E220" s="45" t="s">
        <v>418</v>
      </c>
      <c r="F220" s="45" t="s">
        <v>420</v>
      </c>
      <c r="G220" s="46">
        <v>0.015775462962962963</v>
      </c>
    </row>
    <row r="221" ht="14.25" customHeight="1">
      <c r="A221" s="42" t="s">
        <v>139</v>
      </c>
      <c r="B221" s="42" t="s">
        <v>994</v>
      </c>
      <c r="C221" s="43" t="s">
        <v>417</v>
      </c>
      <c r="D221" s="44">
        <v>1.0</v>
      </c>
      <c r="E221" s="45" t="s">
        <v>418</v>
      </c>
      <c r="F221" s="45" t="s">
        <v>421</v>
      </c>
      <c r="G221" s="46">
        <v>0.0077314814814814815</v>
      </c>
    </row>
    <row r="222" ht="14.25" customHeight="1">
      <c r="A222" s="42" t="s">
        <v>139</v>
      </c>
      <c r="B222" s="42" t="s">
        <v>994</v>
      </c>
      <c r="C222" s="43" t="s">
        <v>417</v>
      </c>
      <c r="D222" s="44">
        <v>1.0</v>
      </c>
      <c r="E222" s="45" t="s">
        <v>418</v>
      </c>
      <c r="F222" s="45" t="s">
        <v>1005</v>
      </c>
      <c r="G222" s="46">
        <v>0.012210648148148148</v>
      </c>
    </row>
    <row r="223" ht="14.25" customHeight="1">
      <c r="A223" s="42" t="s">
        <v>139</v>
      </c>
      <c r="B223" s="42" t="s">
        <v>994</v>
      </c>
      <c r="C223" s="43" t="s">
        <v>417</v>
      </c>
      <c r="D223" s="44">
        <v>1.0</v>
      </c>
      <c r="E223" s="45" t="s">
        <v>418</v>
      </c>
      <c r="F223" s="45" t="s">
        <v>1006</v>
      </c>
      <c r="G223" s="46">
        <v>0.00986111111111111</v>
      </c>
    </row>
    <row r="224" ht="14.25" customHeight="1">
      <c r="A224" s="42" t="s">
        <v>139</v>
      </c>
      <c r="B224" s="42" t="s">
        <v>994</v>
      </c>
      <c r="C224" s="43" t="s">
        <v>417</v>
      </c>
      <c r="D224" s="44">
        <v>1.0</v>
      </c>
      <c r="E224" s="45" t="s">
        <v>418</v>
      </c>
      <c r="F224" s="45" t="s">
        <v>422</v>
      </c>
      <c r="G224" s="46">
        <v>0.015069444444444444</v>
      </c>
    </row>
    <row r="225" ht="14.25" customHeight="1">
      <c r="A225" s="42" t="s">
        <v>139</v>
      </c>
      <c r="B225" s="42" t="s">
        <v>994</v>
      </c>
      <c r="C225" s="43" t="s">
        <v>417</v>
      </c>
      <c r="D225" s="44">
        <v>1.0</v>
      </c>
      <c r="E225" s="45" t="s">
        <v>418</v>
      </c>
      <c r="F225" s="45" t="s">
        <v>423</v>
      </c>
      <c r="G225" s="46">
        <v>0.018657407407407407</v>
      </c>
    </row>
    <row r="226" ht="14.25" customHeight="1">
      <c r="A226" s="42" t="s">
        <v>139</v>
      </c>
      <c r="B226" s="42" t="s">
        <v>994</v>
      </c>
      <c r="C226" s="43" t="s">
        <v>417</v>
      </c>
      <c r="D226" s="44">
        <v>1.0</v>
      </c>
      <c r="E226" s="45" t="s">
        <v>418</v>
      </c>
      <c r="F226" s="45" t="s">
        <v>424</v>
      </c>
      <c r="G226" s="46">
        <v>0.02</v>
      </c>
    </row>
    <row r="227" ht="14.25" customHeight="1">
      <c r="A227" s="42" t="s">
        <v>139</v>
      </c>
      <c r="B227" s="42" t="s">
        <v>994</v>
      </c>
      <c r="C227" s="43" t="s">
        <v>417</v>
      </c>
      <c r="D227" s="44">
        <v>1.0</v>
      </c>
      <c r="E227" s="45" t="s">
        <v>418</v>
      </c>
      <c r="F227" s="45" t="s">
        <v>425</v>
      </c>
      <c r="G227" s="46">
        <v>0.01628472222222222</v>
      </c>
    </row>
    <row r="228" ht="14.25" customHeight="1">
      <c r="A228" s="42" t="s">
        <v>139</v>
      </c>
      <c r="B228" s="42" t="s">
        <v>994</v>
      </c>
      <c r="C228" s="43" t="s">
        <v>417</v>
      </c>
      <c r="D228" s="44">
        <v>1.0</v>
      </c>
      <c r="E228" s="45" t="s">
        <v>418</v>
      </c>
      <c r="F228" s="45" t="s">
        <v>427</v>
      </c>
      <c r="G228" s="46">
        <v>0.018159722222222223</v>
      </c>
    </row>
    <row r="229" ht="14.25" customHeight="1">
      <c r="A229" s="42" t="s">
        <v>139</v>
      </c>
      <c r="B229" s="42" t="s">
        <v>994</v>
      </c>
      <c r="C229" s="43" t="s">
        <v>417</v>
      </c>
      <c r="D229" s="44">
        <v>1.0</v>
      </c>
      <c r="E229" s="45" t="s">
        <v>418</v>
      </c>
      <c r="F229" s="45" t="s">
        <v>1007</v>
      </c>
      <c r="G229" s="46">
        <v>0.004502314814814815</v>
      </c>
    </row>
    <row r="230" ht="14.25" customHeight="1">
      <c r="A230" s="42" t="s">
        <v>139</v>
      </c>
      <c r="B230" s="42" t="s">
        <v>994</v>
      </c>
      <c r="C230" s="43" t="s">
        <v>417</v>
      </c>
      <c r="D230" s="44">
        <v>1.0</v>
      </c>
      <c r="E230" s="45" t="s">
        <v>418</v>
      </c>
      <c r="F230" s="45" t="s">
        <v>428</v>
      </c>
      <c r="G230" s="46">
        <v>0.011689814814814814</v>
      </c>
    </row>
    <row r="231" ht="14.25" customHeight="1">
      <c r="A231" s="42" t="s">
        <v>139</v>
      </c>
      <c r="B231" s="42" t="s">
        <v>994</v>
      </c>
      <c r="C231" s="43" t="s">
        <v>417</v>
      </c>
      <c r="D231" s="44">
        <v>1.0</v>
      </c>
      <c r="E231" s="45" t="s">
        <v>418</v>
      </c>
      <c r="F231" s="45" t="s">
        <v>429</v>
      </c>
      <c r="G231" s="46">
        <v>0.01511574074074074</v>
      </c>
    </row>
    <row r="232" ht="14.25" customHeight="1">
      <c r="A232" s="42" t="s">
        <v>139</v>
      </c>
      <c r="B232" s="42" t="s">
        <v>994</v>
      </c>
      <c r="C232" s="43" t="s">
        <v>430</v>
      </c>
      <c r="D232" s="44">
        <v>1.0</v>
      </c>
      <c r="E232" s="45" t="s">
        <v>431</v>
      </c>
      <c r="F232" s="45" t="s">
        <v>432</v>
      </c>
      <c r="G232" s="46">
        <v>0.0013194444444444445</v>
      </c>
    </row>
    <row r="233" ht="14.25" customHeight="1">
      <c r="A233" s="42" t="s">
        <v>139</v>
      </c>
      <c r="B233" s="42" t="s">
        <v>994</v>
      </c>
      <c r="C233" s="43" t="s">
        <v>430</v>
      </c>
      <c r="D233" s="44">
        <v>1.0</v>
      </c>
      <c r="E233" s="45" t="s">
        <v>431</v>
      </c>
      <c r="F233" s="45" t="s">
        <v>433</v>
      </c>
      <c r="G233" s="46">
        <v>0.0037847222222222223</v>
      </c>
    </row>
    <row r="234" ht="14.25" customHeight="1">
      <c r="A234" s="42" t="s">
        <v>139</v>
      </c>
      <c r="B234" s="42" t="s">
        <v>994</v>
      </c>
      <c r="C234" s="43" t="s">
        <v>430</v>
      </c>
      <c r="D234" s="44">
        <v>1.0</v>
      </c>
      <c r="E234" s="45" t="s">
        <v>431</v>
      </c>
      <c r="F234" s="45" t="s">
        <v>435</v>
      </c>
      <c r="G234" s="46">
        <v>0.0040625</v>
      </c>
    </row>
    <row r="235" ht="14.25" customHeight="1">
      <c r="A235" s="42" t="s">
        <v>139</v>
      </c>
      <c r="B235" s="42" t="s">
        <v>994</v>
      </c>
      <c r="C235" s="43" t="s">
        <v>430</v>
      </c>
      <c r="D235" s="44">
        <v>1.0</v>
      </c>
      <c r="E235" s="45" t="s">
        <v>431</v>
      </c>
      <c r="F235" s="45" t="s">
        <v>1008</v>
      </c>
      <c r="G235" s="46">
        <v>0.006724537037037037</v>
      </c>
    </row>
    <row r="236" ht="14.25" customHeight="1">
      <c r="A236" s="42" t="s">
        <v>139</v>
      </c>
      <c r="B236" s="42" t="s">
        <v>994</v>
      </c>
      <c r="C236" s="43" t="s">
        <v>430</v>
      </c>
      <c r="D236" s="44">
        <v>1.0</v>
      </c>
      <c r="E236" s="45" t="s">
        <v>431</v>
      </c>
      <c r="F236" s="45" t="s">
        <v>436</v>
      </c>
      <c r="G236" s="46">
        <v>0.004409722222222222</v>
      </c>
    </row>
    <row r="237" ht="14.25" customHeight="1">
      <c r="A237" s="42" t="s">
        <v>139</v>
      </c>
      <c r="B237" s="42" t="s">
        <v>994</v>
      </c>
      <c r="C237" s="43" t="s">
        <v>430</v>
      </c>
      <c r="D237" s="44">
        <v>1.0</v>
      </c>
      <c r="E237" s="45" t="s">
        <v>431</v>
      </c>
      <c r="F237" s="45" t="s">
        <v>437</v>
      </c>
      <c r="G237" s="46">
        <v>0.006805555555555555</v>
      </c>
    </row>
    <row r="238" ht="14.25" customHeight="1">
      <c r="A238" s="42" t="s">
        <v>139</v>
      </c>
      <c r="B238" s="42" t="s">
        <v>994</v>
      </c>
      <c r="C238" s="43" t="s">
        <v>430</v>
      </c>
      <c r="D238" s="44">
        <v>2.0</v>
      </c>
      <c r="E238" s="45" t="s">
        <v>438</v>
      </c>
      <c r="F238" s="45" t="s">
        <v>439</v>
      </c>
      <c r="G238" s="46">
        <v>0.004085648148148148</v>
      </c>
    </row>
    <row r="239" ht="14.25" customHeight="1">
      <c r="A239" s="42" t="s">
        <v>139</v>
      </c>
      <c r="B239" s="42" t="s">
        <v>994</v>
      </c>
      <c r="C239" s="43" t="s">
        <v>430</v>
      </c>
      <c r="D239" s="44">
        <v>2.0</v>
      </c>
      <c r="E239" s="45" t="s">
        <v>438</v>
      </c>
      <c r="F239" s="45" t="s">
        <v>441</v>
      </c>
      <c r="G239" s="46">
        <v>0.0029861111111111113</v>
      </c>
    </row>
    <row r="240" ht="14.25" customHeight="1">
      <c r="A240" s="42" t="s">
        <v>139</v>
      </c>
      <c r="B240" s="42" t="s">
        <v>994</v>
      </c>
      <c r="C240" s="43" t="s">
        <v>430</v>
      </c>
      <c r="D240" s="44">
        <v>2.0</v>
      </c>
      <c r="E240" s="45" t="s">
        <v>438</v>
      </c>
      <c r="F240" s="45" t="s">
        <v>1009</v>
      </c>
      <c r="G240" s="46">
        <v>0.01597222222222222</v>
      </c>
    </row>
    <row r="241" ht="14.25" customHeight="1">
      <c r="A241" s="42" t="s">
        <v>139</v>
      </c>
      <c r="B241" s="42" t="s">
        <v>994</v>
      </c>
      <c r="C241" s="43" t="s">
        <v>430</v>
      </c>
      <c r="D241" s="44">
        <v>2.0</v>
      </c>
      <c r="E241" s="45" t="s">
        <v>438</v>
      </c>
      <c r="F241" s="45" t="s">
        <v>442</v>
      </c>
      <c r="G241" s="46">
        <v>0.015590277777777778</v>
      </c>
    </row>
    <row r="242" ht="14.25" customHeight="1">
      <c r="A242" s="42" t="s">
        <v>139</v>
      </c>
      <c r="B242" s="42" t="s">
        <v>994</v>
      </c>
      <c r="C242" s="43" t="s">
        <v>430</v>
      </c>
      <c r="D242" s="44">
        <v>2.0</v>
      </c>
      <c r="E242" s="45" t="s">
        <v>438</v>
      </c>
      <c r="F242" s="45" t="s">
        <v>443</v>
      </c>
      <c r="G242" s="46">
        <v>0.007592592592592593</v>
      </c>
    </row>
    <row r="243" ht="14.25" customHeight="1">
      <c r="A243" s="42" t="s">
        <v>139</v>
      </c>
      <c r="B243" s="42" t="s">
        <v>994</v>
      </c>
      <c r="C243" s="43" t="s">
        <v>430</v>
      </c>
      <c r="D243" s="44">
        <v>3.0</v>
      </c>
      <c r="E243" s="45" t="s">
        <v>444</v>
      </c>
      <c r="F243" s="45" t="s">
        <v>445</v>
      </c>
      <c r="G243" s="46">
        <v>0.001238425925925926</v>
      </c>
    </row>
    <row r="244" ht="14.25" customHeight="1">
      <c r="A244" s="42" t="s">
        <v>139</v>
      </c>
      <c r="B244" s="42" t="s">
        <v>994</v>
      </c>
      <c r="C244" s="43" t="s">
        <v>430</v>
      </c>
      <c r="D244" s="44">
        <v>3.0</v>
      </c>
      <c r="E244" s="45" t="s">
        <v>444</v>
      </c>
      <c r="F244" s="45" t="s">
        <v>1010</v>
      </c>
      <c r="G244" s="46">
        <v>0.006712962962962963</v>
      </c>
    </row>
    <row r="245" ht="14.25" customHeight="1">
      <c r="A245" s="42" t="s">
        <v>139</v>
      </c>
      <c r="B245" s="42" t="s">
        <v>994</v>
      </c>
      <c r="C245" s="43" t="s">
        <v>430</v>
      </c>
      <c r="D245" s="44">
        <v>3.0</v>
      </c>
      <c r="E245" s="45" t="s">
        <v>444</v>
      </c>
      <c r="F245" s="45" t="s">
        <v>1011</v>
      </c>
      <c r="G245" s="46">
        <v>0.003993055555555555</v>
      </c>
    </row>
    <row r="246" ht="14.25" customHeight="1">
      <c r="A246" s="42" t="s">
        <v>139</v>
      </c>
      <c r="B246" s="42" t="s">
        <v>994</v>
      </c>
      <c r="C246" s="43" t="s">
        <v>430</v>
      </c>
      <c r="D246" s="44">
        <v>3.0</v>
      </c>
      <c r="E246" s="45" t="s">
        <v>444</v>
      </c>
      <c r="F246" s="45" t="s">
        <v>1012</v>
      </c>
      <c r="G246" s="46">
        <v>0.01017361111111111</v>
      </c>
    </row>
    <row r="247" ht="14.25" customHeight="1">
      <c r="A247" s="42" t="s">
        <v>139</v>
      </c>
      <c r="B247" s="42" t="s">
        <v>994</v>
      </c>
      <c r="C247" s="43" t="s">
        <v>430</v>
      </c>
      <c r="D247" s="44">
        <v>3.0</v>
      </c>
      <c r="E247" s="45" t="s">
        <v>444</v>
      </c>
      <c r="F247" s="45" t="s">
        <v>1013</v>
      </c>
      <c r="G247" s="46">
        <v>0.0037962962962962963</v>
      </c>
    </row>
    <row r="248" ht="14.25" customHeight="1">
      <c r="A248" s="42" t="s">
        <v>139</v>
      </c>
      <c r="B248" s="42" t="s">
        <v>994</v>
      </c>
      <c r="C248" s="43" t="s">
        <v>430</v>
      </c>
      <c r="D248" s="44">
        <v>3.0</v>
      </c>
      <c r="E248" s="45" t="s">
        <v>444</v>
      </c>
      <c r="F248" s="45" t="s">
        <v>1014</v>
      </c>
      <c r="G248" s="46">
        <v>0.006076388888888889</v>
      </c>
    </row>
    <row r="249" ht="14.25" customHeight="1">
      <c r="A249" s="42" t="s">
        <v>139</v>
      </c>
      <c r="B249" s="42" t="s">
        <v>994</v>
      </c>
      <c r="C249" s="43" t="s">
        <v>430</v>
      </c>
      <c r="D249" s="44">
        <v>3.0</v>
      </c>
      <c r="E249" s="45" t="s">
        <v>444</v>
      </c>
      <c r="F249" s="45" t="s">
        <v>1015</v>
      </c>
      <c r="G249" s="46">
        <v>0.008645833333333333</v>
      </c>
    </row>
    <row r="250" ht="14.25" customHeight="1">
      <c r="A250" s="42" t="s">
        <v>139</v>
      </c>
      <c r="B250" s="42" t="s">
        <v>994</v>
      </c>
      <c r="C250" s="43" t="s">
        <v>430</v>
      </c>
      <c r="D250" s="44">
        <v>3.0</v>
      </c>
      <c r="E250" s="45" t="s">
        <v>444</v>
      </c>
      <c r="F250" s="45" t="s">
        <v>1016</v>
      </c>
      <c r="G250" s="46">
        <v>0.00542824074074074</v>
      </c>
    </row>
    <row r="251" ht="14.25" customHeight="1">
      <c r="A251" s="42" t="s">
        <v>139</v>
      </c>
      <c r="B251" s="42" t="s">
        <v>994</v>
      </c>
      <c r="C251" s="43" t="s">
        <v>430</v>
      </c>
      <c r="D251" s="44">
        <v>3.0</v>
      </c>
      <c r="E251" s="45" t="s">
        <v>444</v>
      </c>
      <c r="F251" s="45" t="s">
        <v>1017</v>
      </c>
      <c r="G251" s="46">
        <v>0.011782407407407408</v>
      </c>
    </row>
    <row r="252" ht="14.25" customHeight="1">
      <c r="A252" s="42" t="s">
        <v>139</v>
      </c>
      <c r="B252" s="42" t="s">
        <v>994</v>
      </c>
      <c r="C252" s="43" t="s">
        <v>430</v>
      </c>
      <c r="D252" s="44">
        <v>3.0</v>
      </c>
      <c r="E252" s="45" t="s">
        <v>444</v>
      </c>
      <c r="F252" s="45" t="s">
        <v>1018</v>
      </c>
      <c r="G252" s="46">
        <v>0.0022453703703703702</v>
      </c>
    </row>
    <row r="253" ht="14.25" customHeight="1">
      <c r="A253" s="42" t="s">
        <v>139</v>
      </c>
      <c r="B253" s="42" t="s">
        <v>994</v>
      </c>
      <c r="C253" s="43" t="s">
        <v>430</v>
      </c>
      <c r="D253" s="44">
        <v>3.0</v>
      </c>
      <c r="E253" s="45" t="s">
        <v>444</v>
      </c>
      <c r="F253" s="45" t="s">
        <v>1019</v>
      </c>
      <c r="G253" s="46">
        <v>0.0067708333333333336</v>
      </c>
    </row>
    <row r="254" ht="14.25" customHeight="1">
      <c r="A254" s="42" t="s">
        <v>139</v>
      </c>
      <c r="B254" s="42" t="s">
        <v>994</v>
      </c>
      <c r="C254" s="45" t="s">
        <v>1020</v>
      </c>
      <c r="D254" s="44">
        <v>1.0</v>
      </c>
      <c r="E254" s="45" t="s">
        <v>1021</v>
      </c>
      <c r="F254" s="45" t="s">
        <v>1022</v>
      </c>
      <c r="G254" s="46">
        <v>0.006574074074074074</v>
      </c>
    </row>
    <row r="255" ht="14.25" customHeight="1">
      <c r="A255" s="42" t="s">
        <v>139</v>
      </c>
      <c r="B255" s="42" t="s">
        <v>994</v>
      </c>
      <c r="C255" s="45" t="s">
        <v>1020</v>
      </c>
      <c r="D255" s="44">
        <v>1.0</v>
      </c>
      <c r="E255" s="45" t="s">
        <v>1021</v>
      </c>
      <c r="F255" s="45" t="s">
        <v>1023</v>
      </c>
      <c r="G255" s="46">
        <v>0.002951388888888889</v>
      </c>
    </row>
    <row r="256" ht="14.25" customHeight="1">
      <c r="A256" s="42" t="s">
        <v>139</v>
      </c>
      <c r="B256" s="42" t="s">
        <v>994</v>
      </c>
      <c r="C256" s="45" t="s">
        <v>1020</v>
      </c>
      <c r="D256" s="44">
        <v>1.0</v>
      </c>
      <c r="E256" s="45" t="s">
        <v>1021</v>
      </c>
      <c r="F256" s="45" t="s">
        <v>1024</v>
      </c>
      <c r="G256" s="46">
        <v>0.010405092592592593</v>
      </c>
    </row>
    <row r="257" ht="14.25" customHeight="1">
      <c r="A257" s="42" t="s">
        <v>139</v>
      </c>
      <c r="B257" s="42" t="s">
        <v>994</v>
      </c>
      <c r="C257" s="45" t="s">
        <v>1020</v>
      </c>
      <c r="D257" s="44">
        <v>1.0</v>
      </c>
      <c r="E257" s="45" t="s">
        <v>1021</v>
      </c>
      <c r="F257" s="45" t="s">
        <v>1025</v>
      </c>
      <c r="G257" s="46">
        <v>0.018993055555555555</v>
      </c>
    </row>
    <row r="258" ht="14.25" customHeight="1">
      <c r="A258" s="42" t="s">
        <v>139</v>
      </c>
      <c r="B258" s="42" t="s">
        <v>994</v>
      </c>
      <c r="C258" s="45" t="s">
        <v>1020</v>
      </c>
      <c r="D258" s="44">
        <v>1.0</v>
      </c>
      <c r="E258" s="45" t="s">
        <v>1021</v>
      </c>
      <c r="F258" s="45" t="s">
        <v>1026</v>
      </c>
      <c r="G258" s="46">
        <v>0.0034837962962962965</v>
      </c>
    </row>
    <row r="259" ht="14.25" customHeight="1">
      <c r="A259" s="42" t="s">
        <v>139</v>
      </c>
      <c r="B259" s="42" t="s">
        <v>994</v>
      </c>
      <c r="C259" s="43" t="s">
        <v>1027</v>
      </c>
      <c r="D259" s="44">
        <v>1.0</v>
      </c>
      <c r="E259" s="45" t="s">
        <v>1028</v>
      </c>
      <c r="F259" s="45" t="s">
        <v>1029</v>
      </c>
      <c r="G259" s="46">
        <v>0.008472222222222223</v>
      </c>
    </row>
    <row r="260" ht="14.25" customHeight="1">
      <c r="A260" s="42" t="s">
        <v>139</v>
      </c>
      <c r="B260" s="42" t="s">
        <v>994</v>
      </c>
      <c r="C260" s="43" t="s">
        <v>1027</v>
      </c>
      <c r="D260" s="44">
        <v>1.0</v>
      </c>
      <c r="E260" s="45" t="s">
        <v>1028</v>
      </c>
      <c r="F260" s="45" t="s">
        <v>1030</v>
      </c>
      <c r="G260" s="46">
        <v>0.001875</v>
      </c>
    </row>
    <row r="261" ht="14.25" customHeight="1">
      <c r="A261" s="42" t="s">
        <v>139</v>
      </c>
      <c r="B261" s="42" t="s">
        <v>994</v>
      </c>
      <c r="C261" s="43" t="s">
        <v>1027</v>
      </c>
      <c r="D261" s="44">
        <v>1.0</v>
      </c>
      <c r="E261" s="45" t="s">
        <v>1028</v>
      </c>
      <c r="F261" s="45" t="s">
        <v>1031</v>
      </c>
      <c r="G261" s="46">
        <v>0.0010763888888888889</v>
      </c>
    </row>
    <row r="262" ht="14.25" customHeight="1">
      <c r="A262" s="42" t="s">
        <v>139</v>
      </c>
      <c r="B262" s="42" t="s">
        <v>994</v>
      </c>
      <c r="C262" s="43" t="s">
        <v>1027</v>
      </c>
      <c r="D262" s="44">
        <v>1.0</v>
      </c>
      <c r="E262" s="45" t="s">
        <v>1028</v>
      </c>
      <c r="F262" s="45" t="s">
        <v>1032</v>
      </c>
      <c r="G262" s="46">
        <v>0.0014351851851851852</v>
      </c>
    </row>
    <row r="263" ht="14.25" customHeight="1">
      <c r="A263" s="42" t="s">
        <v>139</v>
      </c>
      <c r="B263" s="42" t="s">
        <v>994</v>
      </c>
      <c r="C263" s="43" t="s">
        <v>1027</v>
      </c>
      <c r="D263" s="44">
        <v>2.0</v>
      </c>
      <c r="E263" s="45" t="s">
        <v>1033</v>
      </c>
      <c r="F263" s="45" t="s">
        <v>1034</v>
      </c>
      <c r="G263" s="46">
        <v>0.0018287037037037037</v>
      </c>
    </row>
    <row r="264" ht="14.25" customHeight="1">
      <c r="A264" s="42" t="s">
        <v>139</v>
      </c>
      <c r="B264" s="42" t="s">
        <v>994</v>
      </c>
      <c r="C264" s="43" t="s">
        <v>1027</v>
      </c>
      <c r="D264" s="44">
        <v>2.0</v>
      </c>
      <c r="E264" s="45" t="s">
        <v>1033</v>
      </c>
      <c r="F264" s="45" t="s">
        <v>1035</v>
      </c>
      <c r="G264" s="46">
        <v>0.0033333333333333335</v>
      </c>
    </row>
    <row r="265" ht="14.25" customHeight="1">
      <c r="A265" s="42" t="s">
        <v>139</v>
      </c>
      <c r="B265" s="42" t="s">
        <v>994</v>
      </c>
      <c r="C265" s="43" t="s">
        <v>1027</v>
      </c>
      <c r="D265" s="44">
        <v>2.0</v>
      </c>
      <c r="E265" s="45" t="s">
        <v>1033</v>
      </c>
      <c r="F265" s="45" t="s">
        <v>1036</v>
      </c>
      <c r="G265" s="46">
        <v>0.00568287037037037</v>
      </c>
    </row>
    <row r="266" ht="14.25" customHeight="1">
      <c r="A266" s="42" t="s">
        <v>139</v>
      </c>
      <c r="B266" s="42" t="s">
        <v>994</v>
      </c>
      <c r="C266" s="43" t="s">
        <v>1027</v>
      </c>
      <c r="D266" s="44">
        <v>2.0</v>
      </c>
      <c r="E266" s="45" t="s">
        <v>1033</v>
      </c>
      <c r="F266" s="45" t="s">
        <v>1037</v>
      </c>
      <c r="G266" s="46">
        <v>0.0016666666666666668</v>
      </c>
    </row>
    <row r="267" ht="14.25" customHeight="1">
      <c r="A267" s="42" t="s">
        <v>139</v>
      </c>
      <c r="B267" s="42" t="s">
        <v>994</v>
      </c>
      <c r="C267" s="43" t="s">
        <v>1027</v>
      </c>
      <c r="D267" s="44">
        <v>2.0</v>
      </c>
      <c r="E267" s="45" t="s">
        <v>1033</v>
      </c>
      <c r="F267" s="45" t="s">
        <v>1038</v>
      </c>
      <c r="G267" s="46">
        <v>0.005983796296296296</v>
      </c>
    </row>
    <row r="268" ht="14.25" customHeight="1">
      <c r="A268" s="42" t="s">
        <v>139</v>
      </c>
      <c r="B268" s="42" t="s">
        <v>994</v>
      </c>
      <c r="C268" s="43" t="s">
        <v>1027</v>
      </c>
      <c r="D268" s="44">
        <v>3.0</v>
      </c>
      <c r="E268" s="45" t="s">
        <v>1039</v>
      </c>
      <c r="F268" s="45" t="s">
        <v>1040</v>
      </c>
      <c r="G268" s="46">
        <v>0.003923611111111111</v>
      </c>
    </row>
    <row r="269" ht="14.25" customHeight="1">
      <c r="A269" s="42" t="s">
        <v>139</v>
      </c>
      <c r="B269" s="42" t="s">
        <v>994</v>
      </c>
      <c r="C269" s="43" t="s">
        <v>1027</v>
      </c>
      <c r="D269" s="44">
        <v>3.0</v>
      </c>
      <c r="E269" s="45" t="s">
        <v>1039</v>
      </c>
      <c r="F269" s="45" t="s">
        <v>1041</v>
      </c>
      <c r="G269" s="46">
        <v>0.0013425925925925925</v>
      </c>
    </row>
    <row r="270" ht="14.25" customHeight="1">
      <c r="A270" s="42" t="s">
        <v>139</v>
      </c>
      <c r="B270" s="42" t="s">
        <v>994</v>
      </c>
      <c r="C270" s="43" t="s">
        <v>1027</v>
      </c>
      <c r="D270" s="44">
        <v>3.0</v>
      </c>
      <c r="E270" s="45" t="s">
        <v>1039</v>
      </c>
      <c r="F270" s="45" t="s">
        <v>1042</v>
      </c>
      <c r="G270" s="46">
        <v>0.003425925925925926</v>
      </c>
    </row>
    <row r="271" ht="14.25" customHeight="1">
      <c r="A271" s="42" t="s">
        <v>139</v>
      </c>
      <c r="B271" s="42" t="s">
        <v>994</v>
      </c>
      <c r="C271" s="43" t="s">
        <v>1027</v>
      </c>
      <c r="D271" s="44">
        <v>4.0</v>
      </c>
      <c r="E271" s="45" t="s">
        <v>1043</v>
      </c>
      <c r="F271" s="45" t="s">
        <v>1044</v>
      </c>
      <c r="G271" s="46">
        <v>0.006840277777777778</v>
      </c>
    </row>
    <row r="272" ht="14.25" customHeight="1">
      <c r="A272" s="42" t="s">
        <v>139</v>
      </c>
      <c r="B272" s="42" t="s">
        <v>994</v>
      </c>
      <c r="C272" s="43" t="s">
        <v>1027</v>
      </c>
      <c r="D272" s="44">
        <v>4.0</v>
      </c>
      <c r="E272" s="45" t="s">
        <v>1043</v>
      </c>
      <c r="F272" s="45" t="s">
        <v>1045</v>
      </c>
      <c r="G272" s="46">
        <v>0.004583333333333333</v>
      </c>
    </row>
    <row r="273" ht="14.25" customHeight="1">
      <c r="A273" s="42" t="s">
        <v>139</v>
      </c>
      <c r="B273" s="42" t="s">
        <v>994</v>
      </c>
      <c r="C273" s="43" t="s">
        <v>1027</v>
      </c>
      <c r="D273" s="44">
        <v>4.0</v>
      </c>
      <c r="E273" s="45" t="s">
        <v>1043</v>
      </c>
      <c r="F273" s="45" t="s">
        <v>1046</v>
      </c>
      <c r="G273" s="46">
        <v>0.0020949074074074073</v>
      </c>
    </row>
    <row r="274" ht="14.25" customHeight="1">
      <c r="A274" s="42" t="s">
        <v>139</v>
      </c>
      <c r="B274" s="42" t="s">
        <v>994</v>
      </c>
      <c r="C274" s="43" t="s">
        <v>1027</v>
      </c>
      <c r="D274" s="44">
        <v>5.0</v>
      </c>
      <c r="E274" s="45" t="s">
        <v>1047</v>
      </c>
      <c r="F274" s="45" t="s">
        <v>1048</v>
      </c>
      <c r="G274" s="46"/>
    </row>
    <row r="275" ht="14.25" customHeight="1">
      <c r="A275" s="42" t="s">
        <v>139</v>
      </c>
      <c r="B275" s="42" t="s">
        <v>994</v>
      </c>
      <c r="C275" s="43" t="s">
        <v>1027</v>
      </c>
      <c r="D275" s="44">
        <v>5.0</v>
      </c>
      <c r="E275" s="45" t="s">
        <v>1047</v>
      </c>
      <c r="F275" s="45" t="s">
        <v>1049</v>
      </c>
      <c r="G275" s="46"/>
    </row>
    <row r="276" ht="14.25" customHeight="1">
      <c r="A276" s="42" t="s">
        <v>139</v>
      </c>
      <c r="B276" s="42" t="s">
        <v>994</v>
      </c>
      <c r="C276" s="43" t="s">
        <v>1027</v>
      </c>
      <c r="D276" s="44">
        <v>5.0</v>
      </c>
      <c r="E276" s="45" t="s">
        <v>1047</v>
      </c>
      <c r="F276" s="45" t="s">
        <v>1050</v>
      </c>
      <c r="G276" s="46"/>
    </row>
    <row r="277" ht="14.25" customHeight="1">
      <c r="A277" s="42" t="s">
        <v>139</v>
      </c>
      <c r="B277" s="42" t="s">
        <v>994</v>
      </c>
      <c r="C277" s="43" t="s">
        <v>1027</v>
      </c>
      <c r="D277" s="44">
        <v>5.0</v>
      </c>
      <c r="E277" s="45" t="s">
        <v>1047</v>
      </c>
      <c r="F277" s="45" t="s">
        <v>1051</v>
      </c>
      <c r="G277" s="46"/>
    </row>
    <row r="278" ht="14.25" customHeight="1">
      <c r="A278" s="42" t="s">
        <v>139</v>
      </c>
      <c r="B278" s="42" t="s">
        <v>994</v>
      </c>
      <c r="C278" s="43" t="s">
        <v>1027</v>
      </c>
      <c r="D278" s="44">
        <v>5.0</v>
      </c>
      <c r="E278" s="45" t="s">
        <v>1047</v>
      </c>
      <c r="F278" s="45" t="s">
        <v>1052</v>
      </c>
      <c r="G278" s="46"/>
    </row>
    <row r="279" ht="14.25" customHeight="1">
      <c r="A279" s="42" t="s">
        <v>139</v>
      </c>
      <c r="B279" s="42" t="s">
        <v>994</v>
      </c>
      <c r="C279" s="43" t="s">
        <v>1027</v>
      </c>
      <c r="D279" s="44">
        <v>5.0</v>
      </c>
      <c r="E279" s="45" t="s">
        <v>1047</v>
      </c>
      <c r="F279" s="45" t="s">
        <v>1053</v>
      </c>
      <c r="G279" s="46"/>
    </row>
    <row r="280" ht="14.25" customHeight="1">
      <c r="A280" s="42" t="s">
        <v>139</v>
      </c>
      <c r="B280" s="42" t="s">
        <v>994</v>
      </c>
      <c r="C280" s="43" t="s">
        <v>1027</v>
      </c>
      <c r="D280" s="44">
        <v>5.0</v>
      </c>
      <c r="E280" s="45" t="s">
        <v>1047</v>
      </c>
      <c r="F280" s="45" t="s">
        <v>1054</v>
      </c>
      <c r="G280" s="46"/>
    </row>
    <row r="281" ht="14.25" customHeight="1">
      <c r="A281" s="42" t="s">
        <v>139</v>
      </c>
      <c r="B281" s="42" t="s">
        <v>994</v>
      </c>
      <c r="C281" s="43" t="s">
        <v>1027</v>
      </c>
      <c r="D281" s="44">
        <v>5.0</v>
      </c>
      <c r="E281" s="45" t="s">
        <v>1047</v>
      </c>
      <c r="F281" s="45" t="s">
        <v>1055</v>
      </c>
      <c r="G281" s="46"/>
    </row>
    <row r="282" ht="14.25" customHeight="1">
      <c r="A282" s="42" t="s">
        <v>139</v>
      </c>
      <c r="B282" s="42" t="s">
        <v>994</v>
      </c>
      <c r="C282" s="43" t="s">
        <v>1027</v>
      </c>
      <c r="D282" s="44">
        <v>5.0</v>
      </c>
      <c r="E282" s="45" t="s">
        <v>1047</v>
      </c>
      <c r="F282" s="45" t="s">
        <v>1056</v>
      </c>
      <c r="G282" s="46"/>
    </row>
    <row r="283" ht="14.25" customHeight="1">
      <c r="A283" s="42" t="s">
        <v>139</v>
      </c>
      <c r="B283" s="42" t="s">
        <v>994</v>
      </c>
      <c r="C283" s="43" t="s">
        <v>1027</v>
      </c>
      <c r="D283" s="44">
        <v>5.0</v>
      </c>
      <c r="E283" s="45" t="s">
        <v>1047</v>
      </c>
      <c r="F283" s="45" t="s">
        <v>1057</v>
      </c>
      <c r="G283" s="46"/>
    </row>
    <row r="284" ht="14.25" customHeight="1">
      <c r="A284" s="42" t="s">
        <v>139</v>
      </c>
      <c r="B284" s="42" t="s">
        <v>994</v>
      </c>
      <c r="C284" s="43" t="s">
        <v>1027</v>
      </c>
      <c r="D284" s="44">
        <v>5.0</v>
      </c>
      <c r="E284" s="45" t="s">
        <v>1047</v>
      </c>
      <c r="F284" s="45" t="s">
        <v>1058</v>
      </c>
      <c r="G284" s="46"/>
    </row>
    <row r="285" ht="14.25" customHeight="1">
      <c r="A285" s="42" t="s">
        <v>139</v>
      </c>
      <c r="B285" s="42" t="s">
        <v>994</v>
      </c>
      <c r="C285" s="43" t="s">
        <v>1027</v>
      </c>
      <c r="D285" s="44">
        <v>5.0</v>
      </c>
      <c r="E285" s="45" t="s">
        <v>1047</v>
      </c>
      <c r="F285" s="45" t="s">
        <v>1059</v>
      </c>
      <c r="G285" s="46"/>
    </row>
    <row r="286" ht="14.25" customHeight="1">
      <c r="A286" s="42" t="s">
        <v>139</v>
      </c>
      <c r="B286" s="42" t="s">
        <v>994</v>
      </c>
      <c r="C286" s="43" t="s">
        <v>1027</v>
      </c>
      <c r="D286" s="44">
        <v>5.0</v>
      </c>
      <c r="E286" s="45" t="s">
        <v>1047</v>
      </c>
      <c r="F286" s="45" t="s">
        <v>1060</v>
      </c>
      <c r="G286" s="46"/>
    </row>
    <row r="287" ht="14.25" customHeight="1">
      <c r="A287" s="42" t="s">
        <v>139</v>
      </c>
      <c r="B287" s="42" t="s">
        <v>994</v>
      </c>
      <c r="C287" s="43" t="s">
        <v>1027</v>
      </c>
      <c r="D287" s="44">
        <v>5.0</v>
      </c>
      <c r="E287" s="45" t="s">
        <v>1047</v>
      </c>
      <c r="F287" s="45" t="s">
        <v>1061</v>
      </c>
      <c r="G287" s="46"/>
    </row>
  </sheetData>
  <conditionalFormatting sqref="F2:F287">
    <cfRule type="containsText" dxfId="0" priority="1" stopIfTrue="1" operator="containsText" text="Lab -">
      <formula>NOT(ISERROR(SEARCH(("Lab -"),(F2))))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89"/>
    <col customWidth="1" min="2" max="2" width="19.56"/>
    <col customWidth="1" min="3" max="3" width="30.67"/>
    <col customWidth="1" min="4" max="4" width="6.67"/>
    <col customWidth="1" min="5" max="5" width="25.56"/>
    <col customWidth="1" min="6" max="6" width="34.56"/>
    <col customWidth="1" min="7" max="7" width="7.0"/>
  </cols>
  <sheetData>
    <row r="1">
      <c r="A1" s="47" t="s">
        <v>970</v>
      </c>
      <c r="B1" s="47" t="s">
        <v>989</v>
      </c>
      <c r="C1" s="47" t="s">
        <v>971</v>
      </c>
      <c r="D1" s="48" t="s">
        <v>972</v>
      </c>
      <c r="E1" s="48" t="s">
        <v>1062</v>
      </c>
      <c r="F1" s="47" t="s">
        <v>974</v>
      </c>
      <c r="G1" s="48" t="s">
        <v>975</v>
      </c>
    </row>
    <row r="2">
      <c r="A2" s="49" t="s">
        <v>446</v>
      </c>
      <c r="B2" s="49" t="s">
        <v>447</v>
      </c>
      <c r="C2" s="50" t="s">
        <v>448</v>
      </c>
      <c r="D2" s="51">
        <v>1.0</v>
      </c>
      <c r="E2" s="49" t="s">
        <v>449</v>
      </c>
      <c r="F2" s="50" t="s">
        <v>450</v>
      </c>
      <c r="G2" s="52">
        <v>0.011307870370370371</v>
      </c>
    </row>
    <row r="3">
      <c r="A3" s="49" t="s">
        <v>446</v>
      </c>
      <c r="B3" s="49" t="s">
        <v>447</v>
      </c>
      <c r="C3" s="50" t="s">
        <v>448</v>
      </c>
      <c r="D3" s="51">
        <v>2.0</v>
      </c>
      <c r="E3" s="49" t="s">
        <v>451</v>
      </c>
      <c r="F3" s="50" t="s">
        <v>1063</v>
      </c>
      <c r="G3" s="52">
        <v>0.010821759259259258</v>
      </c>
    </row>
    <row r="4">
      <c r="A4" s="49" t="s">
        <v>446</v>
      </c>
      <c r="B4" s="49" t="s">
        <v>447</v>
      </c>
      <c r="C4" s="53" t="s">
        <v>448</v>
      </c>
      <c r="D4" s="54">
        <v>2.0</v>
      </c>
      <c r="E4" s="53" t="s">
        <v>451</v>
      </c>
      <c r="F4" s="55" t="s">
        <v>1064</v>
      </c>
      <c r="G4" s="56">
        <v>0.009039351851851852</v>
      </c>
    </row>
    <row r="5">
      <c r="A5" s="49" t="s">
        <v>446</v>
      </c>
      <c r="B5" s="49" t="s">
        <v>447</v>
      </c>
      <c r="C5" s="49" t="s">
        <v>448</v>
      </c>
      <c r="D5" s="57">
        <v>2.0</v>
      </c>
      <c r="E5" s="49" t="s">
        <v>451</v>
      </c>
      <c r="F5" s="50" t="s">
        <v>452</v>
      </c>
      <c r="G5" s="52">
        <v>0.004571759259259259</v>
      </c>
    </row>
    <row r="6">
      <c r="A6" s="49" t="s">
        <v>446</v>
      </c>
      <c r="B6" s="49" t="s">
        <v>447</v>
      </c>
      <c r="C6" s="50" t="s">
        <v>448</v>
      </c>
      <c r="D6" s="51">
        <v>3.0</v>
      </c>
      <c r="E6" s="49" t="s">
        <v>453</v>
      </c>
      <c r="F6" s="49" t="s">
        <v>454</v>
      </c>
      <c r="G6" s="58">
        <v>0.007604166666666667</v>
      </c>
    </row>
    <row r="7">
      <c r="A7" s="49" t="s">
        <v>446</v>
      </c>
      <c r="B7" s="49" t="s">
        <v>447</v>
      </c>
      <c r="C7" s="49" t="s">
        <v>448</v>
      </c>
      <c r="D7" s="57">
        <v>3.0</v>
      </c>
      <c r="E7" s="49" t="s">
        <v>453</v>
      </c>
      <c r="F7" s="59" t="s">
        <v>455</v>
      </c>
      <c r="G7" s="58">
        <v>0.0040625</v>
      </c>
    </row>
    <row r="8">
      <c r="A8" s="49" t="s">
        <v>446</v>
      </c>
      <c r="B8" s="49" t="s">
        <v>447</v>
      </c>
      <c r="C8" s="50" t="s">
        <v>448</v>
      </c>
      <c r="D8" s="60">
        <v>3.0</v>
      </c>
      <c r="E8" s="49" t="s">
        <v>453</v>
      </c>
      <c r="F8" s="49" t="s">
        <v>456</v>
      </c>
      <c r="G8" s="52">
        <v>0.0038310185185185183</v>
      </c>
    </row>
    <row r="9">
      <c r="A9" s="49" t="s">
        <v>446</v>
      </c>
      <c r="B9" s="49" t="s">
        <v>447</v>
      </c>
      <c r="C9" s="50" t="s">
        <v>448</v>
      </c>
      <c r="D9" s="51">
        <v>3.0</v>
      </c>
      <c r="E9" s="49" t="s">
        <v>453</v>
      </c>
      <c r="F9" s="49" t="s">
        <v>457</v>
      </c>
      <c r="G9" s="58">
        <v>0.004791666666666666</v>
      </c>
    </row>
    <row r="10">
      <c r="A10" s="49" t="s">
        <v>446</v>
      </c>
      <c r="B10" s="49" t="s">
        <v>447</v>
      </c>
      <c r="C10" s="59" t="s">
        <v>448</v>
      </c>
      <c r="D10" s="60">
        <v>3.0</v>
      </c>
      <c r="E10" s="61" t="s">
        <v>453</v>
      </c>
      <c r="F10" s="61" t="s">
        <v>458</v>
      </c>
      <c r="G10" s="58">
        <v>0.003958333333333334</v>
      </c>
    </row>
    <row r="11">
      <c r="A11" s="49" t="s">
        <v>446</v>
      </c>
      <c r="B11" s="49" t="s">
        <v>447</v>
      </c>
      <c r="C11" s="61" t="s">
        <v>448</v>
      </c>
      <c r="D11" s="62">
        <v>3.0</v>
      </c>
      <c r="E11" s="61" t="s">
        <v>453</v>
      </c>
      <c r="F11" s="59" t="s">
        <v>459</v>
      </c>
      <c r="G11" s="52">
        <v>0.004097222222222223</v>
      </c>
    </row>
    <row r="12">
      <c r="A12" s="49" t="s">
        <v>446</v>
      </c>
      <c r="B12" s="49" t="s">
        <v>447</v>
      </c>
      <c r="C12" s="59" t="s">
        <v>448</v>
      </c>
      <c r="D12" s="60">
        <v>3.0</v>
      </c>
      <c r="E12" s="61" t="s">
        <v>453</v>
      </c>
      <c r="F12" s="61" t="s">
        <v>460</v>
      </c>
      <c r="G12" s="58">
        <v>0.004953703703703704</v>
      </c>
    </row>
    <row r="13">
      <c r="A13" s="49" t="s">
        <v>446</v>
      </c>
      <c r="B13" s="49" t="s">
        <v>447</v>
      </c>
      <c r="C13" s="59" t="s">
        <v>448</v>
      </c>
      <c r="D13" s="62">
        <v>3.0</v>
      </c>
      <c r="E13" s="61" t="s">
        <v>453</v>
      </c>
      <c r="F13" s="61" t="s">
        <v>461</v>
      </c>
      <c r="G13" s="58">
        <v>0.004710648148148148</v>
      </c>
    </row>
    <row r="14">
      <c r="A14" s="49" t="s">
        <v>446</v>
      </c>
      <c r="B14" s="49" t="s">
        <v>447</v>
      </c>
      <c r="C14" s="59" t="s">
        <v>448</v>
      </c>
      <c r="D14" s="60">
        <v>4.0</v>
      </c>
      <c r="E14" s="61" t="s">
        <v>462</v>
      </c>
      <c r="F14" s="61" t="s">
        <v>463</v>
      </c>
      <c r="G14" s="58">
        <v>0.005185185185185185</v>
      </c>
    </row>
    <row r="15">
      <c r="A15" s="49" t="s">
        <v>446</v>
      </c>
      <c r="B15" s="49" t="s">
        <v>447</v>
      </c>
      <c r="C15" s="59" t="s">
        <v>448</v>
      </c>
      <c r="D15" s="60">
        <v>4.0</v>
      </c>
      <c r="E15" s="61" t="s">
        <v>462</v>
      </c>
      <c r="F15" s="61" t="s">
        <v>464</v>
      </c>
      <c r="G15" s="58">
        <v>0.005335648148148148</v>
      </c>
    </row>
    <row r="16">
      <c r="A16" s="49" t="s">
        <v>446</v>
      </c>
      <c r="B16" s="49" t="s">
        <v>447</v>
      </c>
      <c r="C16" s="59" t="s">
        <v>448</v>
      </c>
      <c r="D16" s="60">
        <v>4.0</v>
      </c>
      <c r="E16" s="61" t="s">
        <v>462</v>
      </c>
      <c r="F16" s="61" t="s">
        <v>465</v>
      </c>
      <c r="G16" s="58">
        <v>0.0076851851851851855</v>
      </c>
    </row>
    <row r="17">
      <c r="A17" s="49" t="s">
        <v>446</v>
      </c>
      <c r="B17" s="49" t="s">
        <v>447</v>
      </c>
      <c r="C17" s="59" t="s">
        <v>448</v>
      </c>
      <c r="D17" s="60">
        <v>5.0</v>
      </c>
      <c r="E17" s="61" t="s">
        <v>466</v>
      </c>
      <c r="F17" s="61" t="s">
        <v>467</v>
      </c>
      <c r="G17" s="58">
        <v>0.005648148148148148</v>
      </c>
    </row>
    <row r="18">
      <c r="A18" s="49" t="s">
        <v>446</v>
      </c>
      <c r="B18" s="49" t="s">
        <v>447</v>
      </c>
      <c r="C18" s="59" t="s">
        <v>448</v>
      </c>
      <c r="D18" s="60">
        <v>5.0</v>
      </c>
      <c r="E18" s="61" t="s">
        <v>466</v>
      </c>
      <c r="F18" s="61" t="s">
        <v>1065</v>
      </c>
      <c r="G18" s="58">
        <v>0.0051736111111111115</v>
      </c>
    </row>
    <row r="19">
      <c r="A19" s="49" t="s">
        <v>446</v>
      </c>
      <c r="B19" s="49" t="s">
        <v>447</v>
      </c>
      <c r="C19" s="59" t="s">
        <v>448</v>
      </c>
      <c r="D19" s="60">
        <v>5.0</v>
      </c>
      <c r="E19" s="61" t="s">
        <v>466</v>
      </c>
      <c r="F19" s="61" t="s">
        <v>468</v>
      </c>
      <c r="G19" s="58">
        <v>0.0038888888888888888</v>
      </c>
    </row>
    <row r="20">
      <c r="A20" s="49" t="s">
        <v>446</v>
      </c>
      <c r="B20" s="49" t="s">
        <v>447</v>
      </c>
      <c r="C20" s="61" t="s">
        <v>448</v>
      </c>
      <c r="D20" s="62">
        <v>5.0</v>
      </c>
      <c r="E20" s="59" t="s">
        <v>466</v>
      </c>
      <c r="F20" s="59" t="s">
        <v>469</v>
      </c>
      <c r="G20" s="52">
        <v>0.007037037037037037</v>
      </c>
    </row>
    <row r="21">
      <c r="A21" s="49" t="s">
        <v>446</v>
      </c>
      <c r="B21" s="49" t="s">
        <v>447</v>
      </c>
      <c r="C21" s="63" t="s">
        <v>470</v>
      </c>
      <c r="D21" s="60">
        <v>1.0</v>
      </c>
      <c r="E21" s="61" t="s">
        <v>471</v>
      </c>
      <c r="F21" s="61" t="s">
        <v>150</v>
      </c>
      <c r="G21" s="58">
        <v>0.012094907407407407</v>
      </c>
    </row>
    <row r="22">
      <c r="A22" s="49" t="s">
        <v>446</v>
      </c>
      <c r="B22" s="49" t="s">
        <v>447</v>
      </c>
      <c r="C22" s="63" t="s">
        <v>470</v>
      </c>
      <c r="D22" s="60">
        <v>1.0</v>
      </c>
      <c r="E22" s="61" t="s">
        <v>471</v>
      </c>
      <c r="F22" s="61" t="s">
        <v>151</v>
      </c>
      <c r="G22" s="58">
        <v>0.015497685185185186</v>
      </c>
    </row>
    <row r="23">
      <c r="A23" s="49" t="s">
        <v>446</v>
      </c>
      <c r="B23" s="49" t="s">
        <v>447</v>
      </c>
      <c r="C23" s="63" t="s">
        <v>470</v>
      </c>
      <c r="D23" s="60">
        <v>1.0</v>
      </c>
      <c r="E23" s="61" t="s">
        <v>471</v>
      </c>
      <c r="F23" s="61" t="s">
        <v>152</v>
      </c>
      <c r="G23" s="58">
        <v>0.003553240740740741</v>
      </c>
    </row>
    <row r="24">
      <c r="A24" s="49" t="s">
        <v>446</v>
      </c>
      <c r="B24" s="49" t="s">
        <v>447</v>
      </c>
      <c r="C24" s="61" t="s">
        <v>470</v>
      </c>
      <c r="D24" s="62">
        <v>1.0</v>
      </c>
      <c r="E24" s="59" t="s">
        <v>471</v>
      </c>
      <c r="F24" s="59" t="s">
        <v>472</v>
      </c>
      <c r="G24" s="58">
        <v>0.004733796296296297</v>
      </c>
    </row>
    <row r="25">
      <c r="A25" s="49" t="s">
        <v>446</v>
      </c>
      <c r="B25" s="49" t="s">
        <v>447</v>
      </c>
      <c r="C25" s="49" t="s">
        <v>470</v>
      </c>
      <c r="D25" s="62">
        <v>1.0</v>
      </c>
      <c r="E25" s="61" t="s">
        <v>471</v>
      </c>
      <c r="F25" s="61" t="s">
        <v>473</v>
      </c>
      <c r="G25" s="58">
        <v>0.004016203703703704</v>
      </c>
    </row>
    <row r="26">
      <c r="A26" s="49" t="s">
        <v>446</v>
      </c>
      <c r="B26" s="49" t="s">
        <v>447</v>
      </c>
      <c r="C26" s="49" t="s">
        <v>470</v>
      </c>
      <c r="D26" s="62">
        <v>1.0</v>
      </c>
      <c r="E26" s="61" t="s">
        <v>471</v>
      </c>
      <c r="F26" s="61" t="s">
        <v>153</v>
      </c>
      <c r="G26" s="58">
        <v>0.010590277777777778</v>
      </c>
    </row>
    <row r="27">
      <c r="A27" s="49" t="s">
        <v>446</v>
      </c>
      <c r="B27" s="49" t="s">
        <v>447</v>
      </c>
      <c r="C27" s="49" t="s">
        <v>470</v>
      </c>
      <c r="D27" s="62">
        <v>1.0</v>
      </c>
      <c r="E27" s="61" t="s">
        <v>471</v>
      </c>
      <c r="F27" s="61" t="s">
        <v>474</v>
      </c>
      <c r="G27" s="64">
        <v>0.05555555555555555</v>
      </c>
    </row>
    <row r="28">
      <c r="A28" s="49" t="s">
        <v>446</v>
      </c>
      <c r="B28" s="49" t="s">
        <v>447</v>
      </c>
      <c r="C28" s="49" t="s">
        <v>470</v>
      </c>
      <c r="D28" s="62">
        <v>2.0</v>
      </c>
      <c r="E28" s="61" t="s">
        <v>154</v>
      </c>
      <c r="F28" s="61" t="s">
        <v>156</v>
      </c>
      <c r="G28" s="58">
        <v>0.01607638888888889</v>
      </c>
    </row>
    <row r="29">
      <c r="A29" s="49" t="s">
        <v>446</v>
      </c>
      <c r="B29" s="49" t="s">
        <v>447</v>
      </c>
      <c r="C29" s="53" t="s">
        <v>470</v>
      </c>
      <c r="D29" s="54">
        <v>2.0</v>
      </c>
      <c r="E29" s="53" t="s">
        <v>154</v>
      </c>
      <c r="F29" s="55" t="s">
        <v>157</v>
      </c>
      <c r="G29" s="56">
        <v>0.013668981481481482</v>
      </c>
    </row>
    <row r="30">
      <c r="A30" s="49" t="s">
        <v>446</v>
      </c>
      <c r="B30" s="49" t="s">
        <v>447</v>
      </c>
      <c r="C30" s="49" t="s">
        <v>470</v>
      </c>
      <c r="D30" s="57">
        <v>2.0</v>
      </c>
      <c r="E30" s="50" t="s">
        <v>154</v>
      </c>
      <c r="F30" s="50" t="s">
        <v>158</v>
      </c>
      <c r="G30" s="52">
        <v>0.010868055555555556</v>
      </c>
    </row>
    <row r="31">
      <c r="A31" s="49" t="s">
        <v>446</v>
      </c>
      <c r="B31" s="49" t="s">
        <v>447</v>
      </c>
      <c r="C31" s="50" t="s">
        <v>470</v>
      </c>
      <c r="D31" s="51">
        <v>2.0</v>
      </c>
      <c r="E31" s="49" t="s">
        <v>154</v>
      </c>
      <c r="F31" s="49" t="s">
        <v>159</v>
      </c>
      <c r="G31" s="52">
        <v>0.005300925925925926</v>
      </c>
    </row>
    <row r="32">
      <c r="A32" s="49" t="s">
        <v>446</v>
      </c>
      <c r="B32" s="49" t="s">
        <v>447</v>
      </c>
      <c r="C32" s="50" t="s">
        <v>470</v>
      </c>
      <c r="D32" s="51">
        <v>2.0</v>
      </c>
      <c r="E32" s="49" t="s">
        <v>154</v>
      </c>
      <c r="F32" s="49" t="s">
        <v>475</v>
      </c>
      <c r="G32" s="65">
        <v>0.05555555555555555</v>
      </c>
    </row>
    <row r="33">
      <c r="A33" s="49" t="s">
        <v>446</v>
      </c>
      <c r="B33" s="49" t="s">
        <v>447</v>
      </c>
      <c r="C33" s="50" t="s">
        <v>470</v>
      </c>
      <c r="D33" s="51">
        <v>3.0</v>
      </c>
      <c r="E33" s="49" t="s">
        <v>161</v>
      </c>
      <c r="F33" s="49" t="s">
        <v>163</v>
      </c>
      <c r="G33" s="52">
        <v>0.022337962962962962</v>
      </c>
    </row>
    <row r="34">
      <c r="A34" s="49" t="s">
        <v>446</v>
      </c>
      <c r="B34" s="49" t="s">
        <v>447</v>
      </c>
      <c r="C34" s="50" t="s">
        <v>470</v>
      </c>
      <c r="D34" s="51">
        <v>3.0</v>
      </c>
      <c r="E34" s="49" t="s">
        <v>161</v>
      </c>
      <c r="F34" s="49" t="s">
        <v>164</v>
      </c>
      <c r="G34" s="52">
        <v>0.01758101851851852</v>
      </c>
    </row>
    <row r="35">
      <c r="A35" s="49" t="s">
        <v>446</v>
      </c>
      <c r="B35" s="49" t="s">
        <v>447</v>
      </c>
      <c r="C35" s="50" t="s">
        <v>470</v>
      </c>
      <c r="D35" s="51">
        <v>3.0</v>
      </c>
      <c r="E35" s="49" t="s">
        <v>161</v>
      </c>
      <c r="F35" s="49" t="s">
        <v>165</v>
      </c>
      <c r="G35" s="52">
        <v>0.014618055555555556</v>
      </c>
    </row>
    <row r="36">
      <c r="A36" s="49" t="s">
        <v>446</v>
      </c>
      <c r="B36" s="49" t="s">
        <v>447</v>
      </c>
      <c r="C36" s="50" t="s">
        <v>470</v>
      </c>
      <c r="D36" s="51">
        <v>4.0</v>
      </c>
      <c r="E36" s="49" t="s">
        <v>166</v>
      </c>
      <c r="F36" s="49" t="s">
        <v>168</v>
      </c>
      <c r="G36" s="52">
        <v>0.025208333333333333</v>
      </c>
    </row>
    <row r="37">
      <c r="A37" s="49" t="s">
        <v>446</v>
      </c>
      <c r="B37" s="49" t="s">
        <v>447</v>
      </c>
      <c r="C37" s="50" t="s">
        <v>470</v>
      </c>
      <c r="D37" s="57">
        <v>4.0</v>
      </c>
      <c r="E37" s="49" t="s">
        <v>166</v>
      </c>
      <c r="F37" s="50" t="s">
        <v>169</v>
      </c>
      <c r="G37" s="52">
        <v>0.015</v>
      </c>
    </row>
    <row r="38">
      <c r="A38" s="49" t="s">
        <v>446</v>
      </c>
      <c r="B38" s="49" t="s">
        <v>447</v>
      </c>
      <c r="C38" s="49" t="s">
        <v>470</v>
      </c>
      <c r="D38" s="57">
        <v>4.0</v>
      </c>
      <c r="E38" s="49" t="s">
        <v>166</v>
      </c>
      <c r="F38" s="50" t="s">
        <v>476</v>
      </c>
      <c r="G38" s="52">
        <v>0.01255787037037037</v>
      </c>
    </row>
    <row r="39">
      <c r="A39" s="49" t="s">
        <v>446</v>
      </c>
      <c r="B39" s="49" t="s">
        <v>447</v>
      </c>
      <c r="C39" s="49" t="s">
        <v>470</v>
      </c>
      <c r="D39" s="57">
        <v>4.0</v>
      </c>
      <c r="E39" s="49" t="s">
        <v>166</v>
      </c>
      <c r="F39" s="49" t="s">
        <v>170</v>
      </c>
      <c r="G39" s="65">
        <v>0.05555555555555555</v>
      </c>
    </row>
    <row r="40">
      <c r="A40" s="49" t="s">
        <v>446</v>
      </c>
      <c r="B40" s="49" t="s">
        <v>447</v>
      </c>
      <c r="C40" s="50" t="s">
        <v>470</v>
      </c>
      <c r="D40" s="51">
        <v>5.0</v>
      </c>
      <c r="E40" s="49" t="s">
        <v>477</v>
      </c>
      <c r="F40" s="49" t="s">
        <v>174</v>
      </c>
      <c r="G40" s="52">
        <v>0.007743055555555556</v>
      </c>
    </row>
    <row r="41">
      <c r="A41" s="49" t="s">
        <v>446</v>
      </c>
      <c r="B41" s="49" t="s">
        <v>447</v>
      </c>
      <c r="C41" s="50" t="s">
        <v>470</v>
      </c>
      <c r="D41" s="51">
        <v>5.0</v>
      </c>
      <c r="E41" s="49" t="s">
        <v>477</v>
      </c>
      <c r="F41" s="49" t="s">
        <v>175</v>
      </c>
      <c r="G41" s="52">
        <v>0.00974537037037037</v>
      </c>
    </row>
    <row r="42">
      <c r="A42" s="49" t="s">
        <v>446</v>
      </c>
      <c r="B42" s="49" t="s">
        <v>447</v>
      </c>
      <c r="C42" s="50" t="s">
        <v>470</v>
      </c>
      <c r="D42" s="51">
        <v>5.0</v>
      </c>
      <c r="E42" s="49" t="s">
        <v>477</v>
      </c>
      <c r="F42" s="49" t="s">
        <v>176</v>
      </c>
      <c r="G42" s="52">
        <v>0.008067129629629629</v>
      </c>
    </row>
    <row r="43">
      <c r="A43" s="49" t="s">
        <v>446</v>
      </c>
      <c r="B43" s="49" t="s">
        <v>447</v>
      </c>
      <c r="C43" s="50" t="s">
        <v>470</v>
      </c>
      <c r="D43" s="51">
        <v>5.0</v>
      </c>
      <c r="E43" s="49" t="s">
        <v>477</v>
      </c>
      <c r="F43" s="49" t="s">
        <v>478</v>
      </c>
      <c r="G43" s="52">
        <v>0.05555555555555555</v>
      </c>
    </row>
    <row r="44">
      <c r="A44" s="49" t="s">
        <v>446</v>
      </c>
      <c r="B44" s="49" t="s">
        <v>447</v>
      </c>
      <c r="C44" s="49" t="s">
        <v>470</v>
      </c>
      <c r="D44" s="57">
        <v>7.0</v>
      </c>
      <c r="E44" s="50" t="s">
        <v>1066</v>
      </c>
      <c r="F44" s="50" t="s">
        <v>1067</v>
      </c>
      <c r="G44" s="52">
        <v>0.027430555555555555</v>
      </c>
    </row>
    <row r="45">
      <c r="A45" s="49" t="s">
        <v>446</v>
      </c>
      <c r="B45" s="49" t="s">
        <v>447</v>
      </c>
      <c r="C45" s="50" t="s">
        <v>470</v>
      </c>
      <c r="D45" s="51">
        <v>8.0</v>
      </c>
      <c r="E45" s="49" t="s">
        <v>479</v>
      </c>
      <c r="F45" s="49" t="s">
        <v>480</v>
      </c>
      <c r="G45" s="52">
        <v>0.020370370370370372</v>
      </c>
    </row>
    <row r="46">
      <c r="A46" s="49" t="s">
        <v>446</v>
      </c>
      <c r="B46" s="49" t="s">
        <v>447</v>
      </c>
      <c r="C46" s="50" t="s">
        <v>470</v>
      </c>
      <c r="D46" s="51">
        <v>8.0</v>
      </c>
      <c r="E46" s="49" t="s">
        <v>479</v>
      </c>
      <c r="F46" s="49" t="s">
        <v>481</v>
      </c>
      <c r="G46" s="52">
        <v>0.01570601851851852</v>
      </c>
    </row>
    <row r="47">
      <c r="A47" s="49" t="s">
        <v>446</v>
      </c>
      <c r="B47" s="49" t="s">
        <v>447</v>
      </c>
      <c r="C47" s="50" t="s">
        <v>470</v>
      </c>
      <c r="D47" s="51">
        <v>9.0</v>
      </c>
      <c r="E47" s="61" t="s">
        <v>482</v>
      </c>
      <c r="F47" s="49" t="s">
        <v>483</v>
      </c>
      <c r="G47" s="52">
        <v>0.006724537037037037</v>
      </c>
    </row>
    <row r="48">
      <c r="A48" s="49" t="s">
        <v>446</v>
      </c>
      <c r="B48" s="49" t="s">
        <v>447</v>
      </c>
      <c r="C48" s="49" t="s">
        <v>470</v>
      </c>
      <c r="D48" s="57">
        <v>9.0</v>
      </c>
      <c r="E48" s="50" t="s">
        <v>482</v>
      </c>
      <c r="F48" s="50" t="s">
        <v>484</v>
      </c>
      <c r="G48" s="52">
        <v>0.011979166666666667</v>
      </c>
    </row>
    <row r="49">
      <c r="A49" s="49" t="s">
        <v>446</v>
      </c>
      <c r="B49" s="49" t="s">
        <v>447</v>
      </c>
      <c r="C49" s="50" t="s">
        <v>470</v>
      </c>
      <c r="D49" s="51">
        <v>9.0</v>
      </c>
      <c r="E49" s="49" t="s">
        <v>482</v>
      </c>
      <c r="F49" s="49" t="s">
        <v>485</v>
      </c>
      <c r="G49" s="52">
        <v>0.006122685185185185</v>
      </c>
    </row>
    <row r="50">
      <c r="A50" s="49" t="s">
        <v>446</v>
      </c>
      <c r="B50" s="49" t="s">
        <v>447</v>
      </c>
      <c r="C50" s="50" t="s">
        <v>470</v>
      </c>
      <c r="D50" s="51">
        <v>9.0</v>
      </c>
      <c r="E50" s="49" t="s">
        <v>482</v>
      </c>
      <c r="F50" s="49" t="s">
        <v>486</v>
      </c>
      <c r="G50" s="52">
        <v>0.011041666666666667</v>
      </c>
    </row>
    <row r="51">
      <c r="A51" s="49" t="s">
        <v>446</v>
      </c>
      <c r="B51" s="49" t="s">
        <v>447</v>
      </c>
      <c r="C51" s="50" t="s">
        <v>470</v>
      </c>
      <c r="D51" s="51">
        <v>9.0</v>
      </c>
      <c r="E51" s="49" t="s">
        <v>482</v>
      </c>
      <c r="F51" s="61" t="s">
        <v>852</v>
      </c>
      <c r="G51" s="52">
        <v>0.00869212962962963</v>
      </c>
    </row>
    <row r="52">
      <c r="A52" s="49" t="s">
        <v>446</v>
      </c>
      <c r="B52" s="49" t="s">
        <v>447</v>
      </c>
      <c r="C52" s="50" t="s">
        <v>470</v>
      </c>
      <c r="D52" s="51">
        <v>9.0</v>
      </c>
      <c r="E52" s="49" t="s">
        <v>523</v>
      </c>
      <c r="F52" s="66">
        <v>0.05555555555555555</v>
      </c>
      <c r="G52" s="67"/>
    </row>
    <row r="53">
      <c r="A53" s="49" t="s">
        <v>446</v>
      </c>
      <c r="B53" s="49" t="s">
        <v>447</v>
      </c>
      <c r="C53" s="49" t="s">
        <v>487</v>
      </c>
      <c r="D53" s="62">
        <v>1.0</v>
      </c>
      <c r="E53" s="59" t="s">
        <v>187</v>
      </c>
      <c r="F53" s="59" t="s">
        <v>189</v>
      </c>
      <c r="G53" s="52">
        <v>0.020231481481481482</v>
      </c>
    </row>
    <row r="54">
      <c r="A54" s="49" t="s">
        <v>446</v>
      </c>
      <c r="B54" s="49" t="s">
        <v>447</v>
      </c>
      <c r="C54" s="50" t="s">
        <v>487</v>
      </c>
      <c r="D54" s="68">
        <v>1.0</v>
      </c>
      <c r="E54" s="49" t="s">
        <v>187</v>
      </c>
      <c r="F54" s="49" t="s">
        <v>190</v>
      </c>
      <c r="G54" s="58">
        <v>0.01204861111111111</v>
      </c>
    </row>
    <row r="55">
      <c r="A55" s="49" t="s">
        <v>446</v>
      </c>
      <c r="B55" s="49" t="s">
        <v>447</v>
      </c>
      <c r="C55" s="50" t="s">
        <v>487</v>
      </c>
      <c r="D55" s="68">
        <v>2.0</v>
      </c>
      <c r="E55" s="49" t="s">
        <v>191</v>
      </c>
      <c r="F55" s="49" t="s">
        <v>488</v>
      </c>
      <c r="G55" s="58">
        <v>0.010081018518518519</v>
      </c>
    </row>
    <row r="56">
      <c r="A56" s="49" t="s">
        <v>446</v>
      </c>
      <c r="B56" s="49" t="s">
        <v>447</v>
      </c>
      <c r="C56" s="50" t="s">
        <v>487</v>
      </c>
      <c r="D56" s="68">
        <v>2.0</v>
      </c>
      <c r="E56" s="49" t="s">
        <v>191</v>
      </c>
      <c r="F56" s="49" t="s">
        <v>489</v>
      </c>
      <c r="G56" s="58">
        <v>0.012199074074074074</v>
      </c>
    </row>
    <row r="57">
      <c r="A57" s="49" t="s">
        <v>446</v>
      </c>
      <c r="B57" s="49" t="s">
        <v>447</v>
      </c>
      <c r="C57" s="49" t="s">
        <v>487</v>
      </c>
      <c r="D57" s="62">
        <v>2.0</v>
      </c>
      <c r="E57" s="49" t="s">
        <v>191</v>
      </c>
      <c r="F57" s="50" t="s">
        <v>490</v>
      </c>
      <c r="G57" s="58">
        <v>0.0038773148148148148</v>
      </c>
    </row>
    <row r="58">
      <c r="A58" s="49" t="s">
        <v>446</v>
      </c>
      <c r="B58" s="49" t="s">
        <v>447</v>
      </c>
      <c r="C58" s="61" t="s">
        <v>487</v>
      </c>
      <c r="D58" s="62">
        <v>3.0</v>
      </c>
      <c r="E58" s="59" t="s">
        <v>205</v>
      </c>
      <c r="F58" s="59" t="s">
        <v>207</v>
      </c>
      <c r="G58" s="52">
        <v>0.0171875</v>
      </c>
    </row>
    <row r="59">
      <c r="A59" s="49" t="s">
        <v>446</v>
      </c>
      <c r="B59" s="49" t="s">
        <v>447</v>
      </c>
      <c r="C59" s="59" t="s">
        <v>487</v>
      </c>
      <c r="D59" s="60">
        <v>3.0</v>
      </c>
      <c r="E59" s="61" t="s">
        <v>205</v>
      </c>
      <c r="F59" s="49" t="s">
        <v>208</v>
      </c>
      <c r="G59" s="58">
        <v>0.01642361111111111</v>
      </c>
    </row>
    <row r="60">
      <c r="A60" s="49" t="s">
        <v>446</v>
      </c>
      <c r="B60" s="49" t="s">
        <v>447</v>
      </c>
      <c r="C60" s="61" t="s">
        <v>487</v>
      </c>
      <c r="D60" s="62">
        <v>3.0</v>
      </c>
      <c r="E60" s="61" t="s">
        <v>205</v>
      </c>
      <c r="F60" s="49" t="s">
        <v>209</v>
      </c>
      <c r="G60" s="52">
        <v>0.01662037037037037</v>
      </c>
    </row>
    <row r="61">
      <c r="A61" s="49" t="s">
        <v>446</v>
      </c>
      <c r="B61" s="49" t="s">
        <v>447</v>
      </c>
      <c r="C61" s="59" t="s">
        <v>487</v>
      </c>
      <c r="D61" s="60">
        <v>3.0</v>
      </c>
      <c r="E61" s="61" t="s">
        <v>205</v>
      </c>
      <c r="F61" s="49" t="s">
        <v>491</v>
      </c>
      <c r="G61" s="52">
        <v>0.010266203703703704</v>
      </c>
    </row>
    <row r="62">
      <c r="A62" s="49" t="s">
        <v>446</v>
      </c>
      <c r="B62" s="49" t="s">
        <v>447</v>
      </c>
      <c r="C62" s="59" t="s">
        <v>487</v>
      </c>
      <c r="D62" s="60">
        <v>4.0</v>
      </c>
      <c r="E62" s="61" t="s">
        <v>210</v>
      </c>
      <c r="F62" s="49" t="s">
        <v>212</v>
      </c>
      <c r="G62" s="58">
        <v>0.014444444444444444</v>
      </c>
    </row>
    <row r="63">
      <c r="A63" s="49" t="s">
        <v>446</v>
      </c>
      <c r="B63" s="49" t="s">
        <v>447</v>
      </c>
      <c r="C63" s="61" t="s">
        <v>487</v>
      </c>
      <c r="D63" s="62">
        <v>4.0</v>
      </c>
      <c r="E63" s="59" t="s">
        <v>210</v>
      </c>
      <c r="F63" s="59" t="s">
        <v>213</v>
      </c>
      <c r="G63" s="52">
        <v>0.0077546296296296295</v>
      </c>
    </row>
    <row r="64">
      <c r="A64" s="49" t="s">
        <v>446</v>
      </c>
      <c r="B64" s="49" t="s">
        <v>447</v>
      </c>
      <c r="C64" s="59" t="s">
        <v>487</v>
      </c>
      <c r="D64" s="60">
        <v>4.0</v>
      </c>
      <c r="E64" s="61" t="s">
        <v>210</v>
      </c>
      <c r="F64" s="49" t="s">
        <v>214</v>
      </c>
      <c r="G64" s="58">
        <v>0.012905092592592593</v>
      </c>
    </row>
    <row r="65">
      <c r="A65" s="49" t="s">
        <v>446</v>
      </c>
      <c r="B65" s="49" t="s">
        <v>447</v>
      </c>
      <c r="C65" s="59" t="s">
        <v>487</v>
      </c>
      <c r="D65" s="60">
        <v>5.0</v>
      </c>
      <c r="E65" s="61" t="s">
        <v>215</v>
      </c>
      <c r="F65" s="49" t="s">
        <v>492</v>
      </c>
      <c r="G65" s="58">
        <v>0.009976851851851851</v>
      </c>
    </row>
    <row r="66">
      <c r="A66" s="49" t="s">
        <v>446</v>
      </c>
      <c r="B66" s="49" t="s">
        <v>447</v>
      </c>
      <c r="C66" s="63" t="s">
        <v>487</v>
      </c>
      <c r="D66" s="60">
        <v>5.0</v>
      </c>
      <c r="E66" s="61" t="s">
        <v>215</v>
      </c>
      <c r="F66" s="49" t="s">
        <v>493</v>
      </c>
      <c r="G66" s="58">
        <v>0.014513888888888889</v>
      </c>
    </row>
    <row r="67">
      <c r="A67" s="49" t="s">
        <v>446</v>
      </c>
      <c r="B67" s="49" t="s">
        <v>447</v>
      </c>
      <c r="C67" s="63" t="s">
        <v>487</v>
      </c>
      <c r="D67" s="60">
        <v>5.0</v>
      </c>
      <c r="E67" s="61" t="s">
        <v>215</v>
      </c>
      <c r="F67" s="61" t="s">
        <v>494</v>
      </c>
      <c r="G67" s="65">
        <v>0.05555555555555555</v>
      </c>
    </row>
    <row r="68">
      <c r="A68" s="49" t="s">
        <v>446</v>
      </c>
      <c r="B68" s="49" t="s">
        <v>447</v>
      </c>
      <c r="C68" s="63" t="s">
        <v>487</v>
      </c>
      <c r="D68" s="68">
        <v>6.0</v>
      </c>
      <c r="E68" s="61" t="s">
        <v>220</v>
      </c>
      <c r="F68" s="49" t="s">
        <v>222</v>
      </c>
      <c r="G68" s="58">
        <v>0.012893518518518518</v>
      </c>
    </row>
    <row r="69">
      <c r="A69" s="49" t="s">
        <v>446</v>
      </c>
      <c r="B69" s="49" t="s">
        <v>447</v>
      </c>
      <c r="C69" s="63" t="s">
        <v>487</v>
      </c>
      <c r="D69" s="68">
        <v>6.0</v>
      </c>
      <c r="E69" s="49" t="s">
        <v>220</v>
      </c>
      <c r="F69" s="50" t="s">
        <v>223</v>
      </c>
      <c r="G69" s="58">
        <v>0.008252314814814815</v>
      </c>
    </row>
    <row r="70">
      <c r="A70" s="49" t="s">
        <v>446</v>
      </c>
      <c r="B70" s="49" t="s">
        <v>447</v>
      </c>
      <c r="C70" s="53" t="s">
        <v>487</v>
      </c>
      <c r="D70" s="54">
        <v>7.0</v>
      </c>
      <c r="E70" s="53" t="s">
        <v>224</v>
      </c>
      <c r="F70" s="55" t="s">
        <v>226</v>
      </c>
      <c r="G70" s="56">
        <v>0.005555555555555556</v>
      </c>
    </row>
    <row r="71">
      <c r="A71" s="49" t="s">
        <v>446</v>
      </c>
      <c r="B71" s="49" t="s">
        <v>447</v>
      </c>
      <c r="C71" s="49" t="s">
        <v>487</v>
      </c>
      <c r="D71" s="57">
        <v>7.0</v>
      </c>
      <c r="E71" s="59" t="s">
        <v>224</v>
      </c>
      <c r="F71" s="50" t="s">
        <v>495</v>
      </c>
      <c r="G71" s="52">
        <v>0.013229166666666667</v>
      </c>
    </row>
    <row r="72">
      <c r="A72" s="49" t="s">
        <v>446</v>
      </c>
      <c r="B72" s="49" t="s">
        <v>447</v>
      </c>
      <c r="C72" s="50" t="s">
        <v>487</v>
      </c>
      <c r="D72" s="51">
        <v>7.0</v>
      </c>
      <c r="E72" s="49" t="s">
        <v>224</v>
      </c>
      <c r="F72" s="49" t="s">
        <v>227</v>
      </c>
      <c r="G72" s="52">
        <v>0.011041666666666667</v>
      </c>
    </row>
    <row r="73">
      <c r="A73" s="49" t="s">
        <v>446</v>
      </c>
      <c r="B73" s="49" t="s">
        <v>447</v>
      </c>
      <c r="C73" s="50" t="s">
        <v>487</v>
      </c>
      <c r="D73" s="51">
        <v>7.0</v>
      </c>
      <c r="E73" s="50" t="s">
        <v>224</v>
      </c>
      <c r="F73" s="49" t="s">
        <v>228</v>
      </c>
      <c r="G73" s="52">
        <v>0.02136574074074074</v>
      </c>
    </row>
    <row r="74">
      <c r="A74" s="49" t="s">
        <v>446</v>
      </c>
      <c r="B74" s="49" t="s">
        <v>447</v>
      </c>
      <c r="C74" s="49" t="s">
        <v>487</v>
      </c>
      <c r="D74" s="57">
        <v>7.0</v>
      </c>
      <c r="E74" s="49" t="s">
        <v>224</v>
      </c>
      <c r="F74" s="49" t="s">
        <v>229</v>
      </c>
      <c r="G74" s="52">
        <v>0.013414351851851853</v>
      </c>
    </row>
    <row r="75">
      <c r="A75" s="49" t="s">
        <v>446</v>
      </c>
      <c r="B75" s="49" t="s">
        <v>447</v>
      </c>
      <c r="C75" s="50" t="s">
        <v>487</v>
      </c>
      <c r="D75" s="51">
        <v>7.0</v>
      </c>
      <c r="E75" s="49" t="s">
        <v>224</v>
      </c>
      <c r="F75" s="49" t="s">
        <v>230</v>
      </c>
      <c r="G75" s="52">
        <v>0.018703703703703705</v>
      </c>
    </row>
    <row r="76">
      <c r="A76" s="49" t="s">
        <v>446</v>
      </c>
      <c r="B76" s="49" t="s">
        <v>447</v>
      </c>
      <c r="C76" s="50" t="s">
        <v>487</v>
      </c>
      <c r="D76" s="51">
        <v>7.0</v>
      </c>
      <c r="E76" s="49" t="s">
        <v>224</v>
      </c>
      <c r="F76" s="49" t="s">
        <v>231</v>
      </c>
      <c r="G76" s="65">
        <v>0.05555555555555555</v>
      </c>
    </row>
    <row r="77">
      <c r="A77" s="49" t="s">
        <v>446</v>
      </c>
      <c r="B77" s="49" t="s">
        <v>447</v>
      </c>
      <c r="C77" s="50" t="s">
        <v>487</v>
      </c>
      <c r="D77" s="68">
        <v>8.0</v>
      </c>
      <c r="E77" s="49" t="s">
        <v>232</v>
      </c>
      <c r="F77" s="49" t="s">
        <v>234</v>
      </c>
      <c r="G77" s="52">
        <v>0.023078703703703702</v>
      </c>
    </row>
    <row r="78">
      <c r="A78" s="49" t="s">
        <v>446</v>
      </c>
      <c r="B78" s="49" t="s">
        <v>447</v>
      </c>
      <c r="C78" s="49" t="s">
        <v>487</v>
      </c>
      <c r="D78" s="57">
        <v>8.0</v>
      </c>
      <c r="E78" s="50" t="s">
        <v>232</v>
      </c>
      <c r="F78" s="50" t="s">
        <v>235</v>
      </c>
      <c r="G78" s="52">
        <v>0.029097222222222222</v>
      </c>
    </row>
    <row r="79">
      <c r="A79" s="49" t="s">
        <v>446</v>
      </c>
      <c r="B79" s="49" t="s">
        <v>447</v>
      </c>
      <c r="C79" s="59" t="s">
        <v>487</v>
      </c>
      <c r="D79" s="51">
        <v>9.0</v>
      </c>
      <c r="E79" s="49" t="s">
        <v>236</v>
      </c>
      <c r="F79" s="49" t="s">
        <v>238</v>
      </c>
      <c r="G79" s="52">
        <v>0.012847222222222222</v>
      </c>
    </row>
    <row r="80">
      <c r="A80" s="49" t="s">
        <v>446</v>
      </c>
      <c r="B80" s="49" t="s">
        <v>447</v>
      </c>
      <c r="C80" s="59" t="s">
        <v>487</v>
      </c>
      <c r="D80" s="51">
        <v>9.0</v>
      </c>
      <c r="E80" s="49" t="s">
        <v>236</v>
      </c>
      <c r="F80" s="49" t="s">
        <v>239</v>
      </c>
      <c r="G80" s="52">
        <v>0.015439814814814814</v>
      </c>
    </row>
    <row r="81">
      <c r="A81" s="49" t="s">
        <v>446</v>
      </c>
      <c r="B81" s="49" t="s">
        <v>447</v>
      </c>
      <c r="C81" s="59" t="s">
        <v>487</v>
      </c>
      <c r="D81" s="51">
        <v>10.0</v>
      </c>
      <c r="E81" s="49" t="s">
        <v>244</v>
      </c>
      <c r="F81" s="49" t="s">
        <v>246</v>
      </c>
      <c r="G81" s="52">
        <v>0.015625</v>
      </c>
    </row>
    <row r="82">
      <c r="A82" s="49" t="s">
        <v>446</v>
      </c>
      <c r="B82" s="49" t="s">
        <v>447</v>
      </c>
      <c r="C82" s="59" t="s">
        <v>487</v>
      </c>
      <c r="D82" s="51">
        <v>10.0</v>
      </c>
      <c r="E82" s="59" t="s">
        <v>244</v>
      </c>
      <c r="F82" s="49" t="s">
        <v>247</v>
      </c>
      <c r="G82" s="52">
        <v>0.018692129629629628</v>
      </c>
    </row>
    <row r="83">
      <c r="A83" s="49" t="s">
        <v>446</v>
      </c>
      <c r="B83" s="49" t="s">
        <v>447</v>
      </c>
      <c r="C83" s="49" t="s">
        <v>487</v>
      </c>
      <c r="D83" s="51">
        <v>10.0</v>
      </c>
      <c r="E83" s="50" t="s">
        <v>244</v>
      </c>
      <c r="F83" s="50" t="s">
        <v>248</v>
      </c>
      <c r="G83" s="52">
        <v>0.016030092592592592</v>
      </c>
    </row>
    <row r="84">
      <c r="A84" s="49" t="s">
        <v>446</v>
      </c>
      <c r="B84" s="49" t="s">
        <v>447</v>
      </c>
      <c r="C84" s="59" t="s">
        <v>487</v>
      </c>
      <c r="D84" s="51">
        <v>10.0</v>
      </c>
      <c r="E84" s="49" t="s">
        <v>244</v>
      </c>
      <c r="F84" s="49" t="s">
        <v>249</v>
      </c>
      <c r="G84" s="52">
        <v>0.011458333333333333</v>
      </c>
    </row>
    <row r="85">
      <c r="A85" s="49" t="s">
        <v>446</v>
      </c>
      <c r="B85" s="49" t="s">
        <v>447</v>
      </c>
      <c r="C85" s="59" t="s">
        <v>487</v>
      </c>
      <c r="D85" s="51">
        <v>10.0</v>
      </c>
      <c r="E85" s="49" t="s">
        <v>244</v>
      </c>
      <c r="F85" s="49" t="s">
        <v>250</v>
      </c>
      <c r="G85" s="52">
        <v>0.018194444444444444</v>
      </c>
    </row>
    <row r="86">
      <c r="A86" s="49" t="s">
        <v>446</v>
      </c>
      <c r="B86" s="49" t="s">
        <v>447</v>
      </c>
      <c r="C86" s="59" t="s">
        <v>487</v>
      </c>
      <c r="D86" s="51">
        <v>10.0</v>
      </c>
      <c r="E86" s="49" t="s">
        <v>244</v>
      </c>
      <c r="F86" s="49" t="s">
        <v>251</v>
      </c>
      <c r="G86" s="52">
        <v>0.014548611111111111</v>
      </c>
    </row>
    <row r="87">
      <c r="A87" s="49" t="s">
        <v>446</v>
      </c>
      <c r="B87" s="49" t="s">
        <v>447</v>
      </c>
      <c r="C87" s="49" t="s">
        <v>487</v>
      </c>
      <c r="D87" s="57">
        <v>10.0</v>
      </c>
      <c r="E87" s="59" t="s">
        <v>244</v>
      </c>
      <c r="F87" s="50" t="s">
        <v>252</v>
      </c>
      <c r="G87" s="52">
        <v>0.019363425925925926</v>
      </c>
    </row>
    <row r="88">
      <c r="A88" s="49" t="s">
        <v>446</v>
      </c>
      <c r="B88" s="49" t="s">
        <v>447</v>
      </c>
      <c r="C88" s="59" t="s">
        <v>487</v>
      </c>
      <c r="D88" s="57">
        <v>10.0</v>
      </c>
      <c r="E88" s="49" t="s">
        <v>244</v>
      </c>
      <c r="F88" s="49" t="s">
        <v>253</v>
      </c>
      <c r="G88" s="52">
        <v>0.015902777777777776</v>
      </c>
    </row>
    <row r="89">
      <c r="A89" s="49" t="s">
        <v>446</v>
      </c>
      <c r="B89" s="49" t="s">
        <v>447</v>
      </c>
      <c r="C89" s="59" t="s">
        <v>487</v>
      </c>
      <c r="D89" s="51">
        <v>10.0</v>
      </c>
      <c r="E89" s="50" t="s">
        <v>244</v>
      </c>
      <c r="F89" s="49" t="s">
        <v>496</v>
      </c>
      <c r="G89" s="52">
        <v>0.013738425925925926</v>
      </c>
    </row>
    <row r="90">
      <c r="A90" s="49" t="s">
        <v>446</v>
      </c>
      <c r="B90" s="49" t="s">
        <v>447</v>
      </c>
      <c r="C90" s="59" t="s">
        <v>487</v>
      </c>
      <c r="D90" s="51">
        <v>10.0</v>
      </c>
      <c r="E90" s="50" t="s">
        <v>244</v>
      </c>
      <c r="F90" s="49" t="s">
        <v>497</v>
      </c>
      <c r="G90" s="52">
        <v>0.08333333333333333</v>
      </c>
    </row>
    <row r="91">
      <c r="A91" s="49" t="s">
        <v>446</v>
      </c>
      <c r="B91" s="49" t="s">
        <v>447</v>
      </c>
      <c r="C91" s="49" t="s">
        <v>487</v>
      </c>
      <c r="D91" s="57">
        <v>11.0</v>
      </c>
      <c r="E91" s="50" t="s">
        <v>254</v>
      </c>
      <c r="F91" s="50" t="s">
        <v>498</v>
      </c>
      <c r="G91" s="52">
        <v>0.015543981481481482</v>
      </c>
    </row>
    <row r="92">
      <c r="A92" s="49" t="s">
        <v>446</v>
      </c>
      <c r="B92" s="49" t="s">
        <v>447</v>
      </c>
      <c r="C92" s="59" t="s">
        <v>487</v>
      </c>
      <c r="D92" s="51">
        <v>11.0</v>
      </c>
      <c r="E92" s="49" t="s">
        <v>254</v>
      </c>
      <c r="F92" s="49" t="s">
        <v>499</v>
      </c>
      <c r="G92" s="52">
        <v>0.014664351851851852</v>
      </c>
    </row>
    <row r="93">
      <c r="A93" s="49" t="s">
        <v>446</v>
      </c>
      <c r="B93" s="49" t="s">
        <v>447</v>
      </c>
      <c r="C93" s="59" t="s">
        <v>487</v>
      </c>
      <c r="D93" s="51">
        <v>11.0</v>
      </c>
      <c r="E93" s="50" t="s">
        <v>254</v>
      </c>
      <c r="F93" s="49" t="s">
        <v>256</v>
      </c>
      <c r="G93" s="52">
        <v>0.013738425925925926</v>
      </c>
    </row>
    <row r="94">
      <c r="A94" s="49" t="s">
        <v>446</v>
      </c>
      <c r="B94" s="49" t="s">
        <v>447</v>
      </c>
      <c r="C94" s="49" t="s">
        <v>487</v>
      </c>
      <c r="D94" s="57">
        <v>11.0</v>
      </c>
      <c r="E94" s="50" t="s">
        <v>254</v>
      </c>
      <c r="F94" s="50" t="s">
        <v>500</v>
      </c>
      <c r="G94" s="52">
        <v>0.013958333333333333</v>
      </c>
    </row>
    <row r="95">
      <c r="A95" s="49" t="s">
        <v>446</v>
      </c>
      <c r="B95" s="49" t="s">
        <v>447</v>
      </c>
      <c r="C95" s="59" t="s">
        <v>487</v>
      </c>
      <c r="D95" s="51">
        <v>11.0</v>
      </c>
      <c r="E95" s="49" t="s">
        <v>254</v>
      </c>
      <c r="F95" s="49" t="s">
        <v>257</v>
      </c>
      <c r="G95" s="52">
        <v>0.010428240740740741</v>
      </c>
    </row>
    <row r="96">
      <c r="A96" s="49" t="s">
        <v>446</v>
      </c>
      <c r="B96" s="49" t="s">
        <v>447</v>
      </c>
      <c r="C96" s="59" t="s">
        <v>487</v>
      </c>
      <c r="D96" s="51">
        <v>11.0</v>
      </c>
      <c r="E96" s="49" t="s">
        <v>254</v>
      </c>
      <c r="F96" s="49" t="s">
        <v>258</v>
      </c>
      <c r="G96" s="52">
        <v>0.020613425925925927</v>
      </c>
    </row>
    <row r="97">
      <c r="A97" s="49" t="s">
        <v>446</v>
      </c>
      <c r="B97" s="49" t="s">
        <v>447</v>
      </c>
      <c r="C97" s="59" t="s">
        <v>487</v>
      </c>
      <c r="D97" s="51">
        <v>11.0</v>
      </c>
      <c r="E97" s="49" t="s">
        <v>254</v>
      </c>
      <c r="F97" s="49" t="s">
        <v>259</v>
      </c>
      <c r="G97" s="52">
        <v>0.0203125</v>
      </c>
    </row>
    <row r="98">
      <c r="A98" s="49" t="s">
        <v>446</v>
      </c>
      <c r="B98" s="49" t="s">
        <v>447</v>
      </c>
      <c r="C98" s="59" t="s">
        <v>487</v>
      </c>
      <c r="D98" s="51">
        <v>11.0</v>
      </c>
      <c r="E98" s="49" t="s">
        <v>254</v>
      </c>
      <c r="F98" s="49" t="s">
        <v>993</v>
      </c>
      <c r="G98" s="65">
        <v>0.0625</v>
      </c>
    </row>
    <row r="99">
      <c r="A99" s="49" t="s">
        <v>446</v>
      </c>
      <c r="B99" s="49" t="s">
        <v>447</v>
      </c>
      <c r="C99" s="59" t="s">
        <v>487</v>
      </c>
      <c r="D99" s="51">
        <v>12.0</v>
      </c>
      <c r="E99" s="49" t="s">
        <v>268</v>
      </c>
      <c r="F99" s="49" t="s">
        <v>270</v>
      </c>
      <c r="G99" s="52">
        <v>0.015729166666666666</v>
      </c>
    </row>
    <row r="100">
      <c r="A100" s="49" t="s">
        <v>446</v>
      </c>
      <c r="B100" s="49" t="s">
        <v>447</v>
      </c>
      <c r="C100" s="59" t="s">
        <v>487</v>
      </c>
      <c r="D100" s="51">
        <v>12.0</v>
      </c>
      <c r="E100" s="49" t="s">
        <v>268</v>
      </c>
      <c r="F100" s="49" t="s">
        <v>271</v>
      </c>
      <c r="G100" s="52">
        <v>0.016238425925925927</v>
      </c>
    </row>
    <row r="101">
      <c r="A101" s="49" t="s">
        <v>446</v>
      </c>
      <c r="B101" s="49" t="s">
        <v>447</v>
      </c>
      <c r="C101" s="59" t="s">
        <v>487</v>
      </c>
      <c r="D101" s="57">
        <v>13.0</v>
      </c>
      <c r="E101" s="50" t="s">
        <v>501</v>
      </c>
      <c r="F101" s="50" t="s">
        <v>502</v>
      </c>
      <c r="G101" s="52">
        <v>0.014212962962962964</v>
      </c>
    </row>
    <row r="102">
      <c r="A102" s="49" t="s">
        <v>446</v>
      </c>
      <c r="B102" s="49" t="s">
        <v>447</v>
      </c>
      <c r="C102" s="49" t="s">
        <v>487</v>
      </c>
      <c r="D102" s="57">
        <v>13.0</v>
      </c>
      <c r="E102" s="50" t="s">
        <v>501</v>
      </c>
      <c r="F102" s="50" t="s">
        <v>503</v>
      </c>
      <c r="G102" s="52">
        <v>0.01885416666666667</v>
      </c>
    </row>
    <row r="103">
      <c r="A103" s="49" t="s">
        <v>446</v>
      </c>
      <c r="B103" s="49" t="s">
        <v>447</v>
      </c>
      <c r="C103" s="49" t="s">
        <v>487</v>
      </c>
      <c r="D103" s="57">
        <v>13.0</v>
      </c>
      <c r="E103" s="50" t="s">
        <v>501</v>
      </c>
      <c r="F103" s="49" t="s">
        <v>504</v>
      </c>
      <c r="G103" s="65">
        <v>0.05555555555555555</v>
      </c>
    </row>
    <row r="104">
      <c r="A104" s="49" t="s">
        <v>446</v>
      </c>
      <c r="B104" s="49" t="s">
        <v>505</v>
      </c>
      <c r="C104" s="50" t="s">
        <v>277</v>
      </c>
      <c r="D104" s="51">
        <v>1.0</v>
      </c>
      <c r="E104" s="49" t="s">
        <v>278</v>
      </c>
      <c r="F104" s="49" t="s">
        <v>280</v>
      </c>
      <c r="G104" s="52">
        <v>0.014004629629629629</v>
      </c>
    </row>
    <row r="105">
      <c r="A105" s="49" t="s">
        <v>446</v>
      </c>
      <c r="B105" s="49" t="s">
        <v>505</v>
      </c>
      <c r="C105" s="50" t="s">
        <v>277</v>
      </c>
      <c r="D105" s="51">
        <v>1.0</v>
      </c>
      <c r="E105" s="49" t="s">
        <v>278</v>
      </c>
      <c r="F105" s="49" t="s">
        <v>506</v>
      </c>
      <c r="G105" s="52">
        <v>0.00400462962962963</v>
      </c>
    </row>
    <row r="106">
      <c r="A106" s="49" t="s">
        <v>446</v>
      </c>
      <c r="B106" s="49" t="s">
        <v>505</v>
      </c>
      <c r="C106" s="50" t="s">
        <v>277</v>
      </c>
      <c r="D106" s="51">
        <v>1.0</v>
      </c>
      <c r="E106" s="49" t="s">
        <v>278</v>
      </c>
      <c r="F106" s="49" t="s">
        <v>137</v>
      </c>
      <c r="G106" s="52">
        <v>0.014548611111111111</v>
      </c>
    </row>
    <row r="107">
      <c r="A107" s="49" t="s">
        <v>446</v>
      </c>
      <c r="B107" s="49" t="s">
        <v>505</v>
      </c>
      <c r="C107" s="50" t="s">
        <v>277</v>
      </c>
      <c r="D107" s="51">
        <v>1.0</v>
      </c>
      <c r="E107" s="49" t="s">
        <v>278</v>
      </c>
      <c r="F107" s="49" t="s">
        <v>507</v>
      </c>
      <c r="G107" s="52">
        <v>0.008310185185185184</v>
      </c>
    </row>
    <row r="108">
      <c r="A108" s="49" t="s">
        <v>446</v>
      </c>
      <c r="B108" s="49" t="s">
        <v>505</v>
      </c>
      <c r="C108" s="50" t="s">
        <v>277</v>
      </c>
      <c r="D108" s="51">
        <v>2.0</v>
      </c>
      <c r="E108" s="49" t="s">
        <v>282</v>
      </c>
      <c r="F108" s="49" t="s">
        <v>284</v>
      </c>
      <c r="G108" s="52">
        <v>0.00829861111111111</v>
      </c>
    </row>
    <row r="109">
      <c r="A109" s="49" t="s">
        <v>446</v>
      </c>
      <c r="B109" s="49" t="s">
        <v>505</v>
      </c>
      <c r="C109" s="49" t="s">
        <v>277</v>
      </c>
      <c r="D109" s="57">
        <v>2.0</v>
      </c>
      <c r="E109" s="50" t="s">
        <v>282</v>
      </c>
      <c r="F109" s="50" t="s">
        <v>285</v>
      </c>
      <c r="G109" s="52">
        <v>0.01849537037037037</v>
      </c>
    </row>
    <row r="110">
      <c r="A110" s="49" t="s">
        <v>446</v>
      </c>
      <c r="B110" s="49" t="s">
        <v>505</v>
      </c>
      <c r="C110" s="50" t="s">
        <v>277</v>
      </c>
      <c r="D110" s="51">
        <v>2.0</v>
      </c>
      <c r="E110" s="49" t="s">
        <v>282</v>
      </c>
      <c r="F110" s="49" t="s">
        <v>508</v>
      </c>
      <c r="G110" s="52">
        <v>0.0025</v>
      </c>
    </row>
    <row r="111">
      <c r="A111" s="49" t="s">
        <v>446</v>
      </c>
      <c r="B111" s="49" t="s">
        <v>505</v>
      </c>
      <c r="C111" s="50" t="s">
        <v>277</v>
      </c>
      <c r="D111" s="51">
        <v>2.0</v>
      </c>
      <c r="E111" s="49" t="s">
        <v>282</v>
      </c>
      <c r="F111" s="49" t="s">
        <v>509</v>
      </c>
      <c r="G111" s="52">
        <v>0.016458333333333332</v>
      </c>
    </row>
    <row r="112">
      <c r="A112" s="49" t="s">
        <v>446</v>
      </c>
      <c r="B112" s="49" t="s">
        <v>505</v>
      </c>
      <c r="C112" s="50" t="s">
        <v>277</v>
      </c>
      <c r="D112" s="51">
        <v>2.0</v>
      </c>
      <c r="E112" s="49" t="s">
        <v>282</v>
      </c>
      <c r="F112" s="49" t="s">
        <v>286</v>
      </c>
      <c r="G112" s="52">
        <v>0.012534722222222221</v>
      </c>
    </row>
    <row r="113">
      <c r="A113" s="49" t="s">
        <v>446</v>
      </c>
      <c r="B113" s="49" t="s">
        <v>505</v>
      </c>
      <c r="C113" s="50" t="s">
        <v>277</v>
      </c>
      <c r="D113" s="51">
        <v>2.0</v>
      </c>
      <c r="E113" s="49" t="s">
        <v>282</v>
      </c>
      <c r="F113" s="49" t="s">
        <v>287</v>
      </c>
      <c r="G113" s="52">
        <v>0.01638888888888889</v>
      </c>
    </row>
    <row r="114">
      <c r="A114" s="49" t="s">
        <v>446</v>
      </c>
      <c r="B114" s="49" t="s">
        <v>505</v>
      </c>
      <c r="C114" s="50" t="s">
        <v>277</v>
      </c>
      <c r="D114" s="51">
        <v>2.0</v>
      </c>
      <c r="E114" s="49" t="s">
        <v>282</v>
      </c>
      <c r="F114" s="49" t="s">
        <v>288</v>
      </c>
      <c r="G114" s="52">
        <v>0.0018171296296296297</v>
      </c>
    </row>
    <row r="115">
      <c r="A115" s="49" t="s">
        <v>446</v>
      </c>
      <c r="B115" s="49" t="s">
        <v>505</v>
      </c>
      <c r="C115" s="50" t="s">
        <v>277</v>
      </c>
      <c r="D115" s="51">
        <v>2.0</v>
      </c>
      <c r="E115" s="49" t="s">
        <v>282</v>
      </c>
      <c r="F115" s="49" t="s">
        <v>289</v>
      </c>
      <c r="G115" s="52">
        <v>0.0011689814814814816</v>
      </c>
    </row>
    <row r="116">
      <c r="A116" s="49" t="s">
        <v>446</v>
      </c>
      <c r="B116" s="49" t="s">
        <v>505</v>
      </c>
      <c r="C116" s="50" t="s">
        <v>277</v>
      </c>
      <c r="D116" s="51">
        <v>2.0</v>
      </c>
      <c r="E116" s="49" t="s">
        <v>282</v>
      </c>
      <c r="F116" s="49" t="s">
        <v>290</v>
      </c>
      <c r="G116" s="52">
        <v>6.365740740740741E-4</v>
      </c>
    </row>
    <row r="117">
      <c r="A117" s="49" t="s">
        <v>446</v>
      </c>
      <c r="B117" s="49" t="s">
        <v>505</v>
      </c>
      <c r="C117" s="50" t="s">
        <v>277</v>
      </c>
      <c r="D117" s="51">
        <v>2.0</v>
      </c>
      <c r="E117" s="49" t="s">
        <v>282</v>
      </c>
      <c r="F117" s="49" t="s">
        <v>292</v>
      </c>
      <c r="G117" s="65">
        <v>0.05555555555555555</v>
      </c>
    </row>
    <row r="118">
      <c r="A118" s="49" t="s">
        <v>446</v>
      </c>
      <c r="B118" s="49" t="s">
        <v>505</v>
      </c>
      <c r="C118" s="49" t="s">
        <v>293</v>
      </c>
      <c r="D118" s="57">
        <v>1.0</v>
      </c>
      <c r="E118" s="59" t="s">
        <v>294</v>
      </c>
      <c r="F118" s="50" t="s">
        <v>296</v>
      </c>
      <c r="G118" s="52">
        <v>0.009965277777777778</v>
      </c>
    </row>
    <row r="119">
      <c r="A119" s="49" t="s">
        <v>446</v>
      </c>
      <c r="B119" s="49" t="s">
        <v>505</v>
      </c>
      <c r="C119" s="50" t="s">
        <v>293</v>
      </c>
      <c r="D119" s="51">
        <v>1.0</v>
      </c>
      <c r="E119" s="49" t="s">
        <v>294</v>
      </c>
      <c r="F119" s="49" t="s">
        <v>995</v>
      </c>
      <c r="G119" s="52">
        <v>0.006655092592592593</v>
      </c>
    </row>
    <row r="120">
      <c r="A120" s="49" t="s">
        <v>446</v>
      </c>
      <c r="B120" s="49" t="s">
        <v>505</v>
      </c>
      <c r="C120" s="50" t="s">
        <v>293</v>
      </c>
      <c r="D120" s="51">
        <v>2.0</v>
      </c>
      <c r="E120" s="49" t="s">
        <v>297</v>
      </c>
      <c r="F120" s="49" t="s">
        <v>298</v>
      </c>
      <c r="G120" s="52">
        <v>0.002685185185185185</v>
      </c>
    </row>
    <row r="121">
      <c r="A121" s="49" t="s">
        <v>446</v>
      </c>
      <c r="B121" s="49" t="s">
        <v>505</v>
      </c>
      <c r="C121" s="49" t="s">
        <v>293</v>
      </c>
      <c r="D121" s="62">
        <v>2.0</v>
      </c>
      <c r="E121" s="59" t="s">
        <v>297</v>
      </c>
      <c r="F121" s="59" t="s">
        <v>299</v>
      </c>
      <c r="G121" s="52">
        <v>0.0030671296296296297</v>
      </c>
    </row>
    <row r="122">
      <c r="A122" s="49" t="s">
        <v>446</v>
      </c>
      <c r="B122" s="49" t="s">
        <v>505</v>
      </c>
      <c r="C122" s="59" t="s">
        <v>293</v>
      </c>
      <c r="D122" s="51">
        <v>2.0</v>
      </c>
      <c r="E122" s="49" t="s">
        <v>297</v>
      </c>
      <c r="F122" s="49" t="s">
        <v>300</v>
      </c>
      <c r="G122" s="52">
        <v>0.003969907407407407</v>
      </c>
    </row>
    <row r="123">
      <c r="A123" s="49" t="s">
        <v>446</v>
      </c>
      <c r="B123" s="49" t="s">
        <v>505</v>
      </c>
      <c r="C123" s="59" t="s">
        <v>293</v>
      </c>
      <c r="D123" s="51">
        <v>2.0</v>
      </c>
      <c r="E123" s="49" t="s">
        <v>297</v>
      </c>
      <c r="F123" s="49" t="s">
        <v>301</v>
      </c>
      <c r="G123" s="52">
        <v>0.009375</v>
      </c>
    </row>
    <row r="124">
      <c r="A124" s="49" t="s">
        <v>446</v>
      </c>
      <c r="B124" s="49" t="s">
        <v>505</v>
      </c>
      <c r="C124" s="63" t="s">
        <v>293</v>
      </c>
      <c r="D124" s="51">
        <v>2.0</v>
      </c>
      <c r="E124" s="49" t="s">
        <v>297</v>
      </c>
      <c r="F124" s="50" t="s">
        <v>302</v>
      </c>
      <c r="G124" s="52">
        <v>0.014027777777777778</v>
      </c>
    </row>
    <row r="125">
      <c r="A125" s="49" t="s">
        <v>446</v>
      </c>
      <c r="B125" s="49" t="s">
        <v>505</v>
      </c>
      <c r="C125" s="49" t="s">
        <v>293</v>
      </c>
      <c r="D125" s="69">
        <v>2.0</v>
      </c>
      <c r="E125" s="49" t="s">
        <v>297</v>
      </c>
      <c r="F125" s="70" t="s">
        <v>996</v>
      </c>
      <c r="G125" s="65">
        <v>0.005752314814814815</v>
      </c>
    </row>
    <row r="126">
      <c r="A126" s="49" t="s">
        <v>446</v>
      </c>
      <c r="B126" s="49" t="s">
        <v>505</v>
      </c>
      <c r="C126" s="70" t="s">
        <v>293</v>
      </c>
      <c r="D126" s="69">
        <v>2.0</v>
      </c>
      <c r="E126" s="70" t="s">
        <v>297</v>
      </c>
      <c r="F126" s="70" t="s">
        <v>303</v>
      </c>
      <c r="G126" s="71">
        <v>0.0036226851851851854</v>
      </c>
    </row>
    <row r="127">
      <c r="A127" s="49" t="s">
        <v>446</v>
      </c>
      <c r="B127" s="49" t="s">
        <v>505</v>
      </c>
      <c r="C127" s="70" t="s">
        <v>293</v>
      </c>
      <c r="D127" s="69">
        <v>2.0</v>
      </c>
      <c r="E127" s="70" t="s">
        <v>297</v>
      </c>
      <c r="F127" s="49" t="s">
        <v>510</v>
      </c>
      <c r="G127" s="72">
        <v>0.05555555555555555</v>
      </c>
    </row>
    <row r="128">
      <c r="A128" s="49" t="s">
        <v>446</v>
      </c>
      <c r="B128" s="49" t="s">
        <v>505</v>
      </c>
      <c r="C128" s="70" t="s">
        <v>293</v>
      </c>
      <c r="D128" s="69">
        <v>2.0</v>
      </c>
      <c r="E128" s="70" t="s">
        <v>297</v>
      </c>
      <c r="F128" s="70" t="s">
        <v>305</v>
      </c>
      <c r="G128" s="71">
        <v>0.01025462962962963</v>
      </c>
    </row>
    <row r="129">
      <c r="A129" s="49" t="s">
        <v>446</v>
      </c>
      <c r="B129" s="49" t="s">
        <v>505</v>
      </c>
      <c r="C129" s="70" t="s">
        <v>293</v>
      </c>
      <c r="D129" s="69">
        <v>2.0</v>
      </c>
      <c r="E129" s="70" t="s">
        <v>297</v>
      </c>
      <c r="F129" s="70" t="s">
        <v>511</v>
      </c>
      <c r="G129" s="71">
        <v>0.0021296296296296298</v>
      </c>
    </row>
    <row r="130">
      <c r="A130" s="49" t="s">
        <v>446</v>
      </c>
      <c r="B130" s="49" t="s">
        <v>505</v>
      </c>
      <c r="C130" s="70" t="s">
        <v>293</v>
      </c>
      <c r="D130" s="69">
        <v>2.0</v>
      </c>
      <c r="E130" s="70" t="s">
        <v>297</v>
      </c>
      <c r="F130" s="70" t="s">
        <v>306</v>
      </c>
      <c r="G130" s="72">
        <v>0.004189814814814815</v>
      </c>
    </row>
    <row r="131">
      <c r="A131" s="49" t="s">
        <v>446</v>
      </c>
      <c r="B131" s="49" t="s">
        <v>505</v>
      </c>
      <c r="C131" s="70" t="s">
        <v>293</v>
      </c>
      <c r="D131" s="69">
        <v>2.0</v>
      </c>
      <c r="E131" s="70" t="s">
        <v>297</v>
      </c>
      <c r="F131" s="53" t="s">
        <v>307</v>
      </c>
      <c r="G131" s="56">
        <v>0.05555555555555555</v>
      </c>
    </row>
    <row r="132">
      <c r="A132" s="49" t="s">
        <v>446</v>
      </c>
      <c r="B132" s="49" t="s">
        <v>505</v>
      </c>
      <c r="C132" s="70" t="s">
        <v>293</v>
      </c>
      <c r="D132" s="69">
        <v>2.0</v>
      </c>
      <c r="E132" s="70" t="s">
        <v>297</v>
      </c>
      <c r="F132" s="55" t="s">
        <v>308</v>
      </c>
      <c r="G132" s="56">
        <v>0.05555555555555555</v>
      </c>
    </row>
    <row r="133">
      <c r="A133" s="49" t="s">
        <v>446</v>
      </c>
      <c r="B133" s="49" t="s">
        <v>505</v>
      </c>
      <c r="C133" s="53" t="s">
        <v>293</v>
      </c>
      <c r="D133" s="73">
        <v>2.0</v>
      </c>
      <c r="E133" s="55" t="s">
        <v>297</v>
      </c>
      <c r="F133" s="55" t="s">
        <v>311</v>
      </c>
      <c r="G133" s="56">
        <v>0.010289351851851852</v>
      </c>
    </row>
    <row r="134">
      <c r="A134" s="49" t="s">
        <v>446</v>
      </c>
      <c r="B134" s="49" t="s">
        <v>505</v>
      </c>
      <c r="C134" s="50" t="s">
        <v>293</v>
      </c>
      <c r="D134" s="51">
        <v>3.0</v>
      </c>
      <c r="E134" s="50" t="s">
        <v>312</v>
      </c>
      <c r="F134" s="50" t="s">
        <v>313</v>
      </c>
      <c r="G134" s="52">
        <v>0.017418981481481483</v>
      </c>
    </row>
    <row r="135">
      <c r="A135" s="49" t="s">
        <v>446</v>
      </c>
      <c r="B135" s="49" t="s">
        <v>505</v>
      </c>
      <c r="C135" s="50" t="s">
        <v>293</v>
      </c>
      <c r="D135" s="51">
        <v>3.0</v>
      </c>
      <c r="E135" s="49" t="s">
        <v>312</v>
      </c>
      <c r="F135" s="50" t="s">
        <v>315</v>
      </c>
      <c r="G135" s="52">
        <v>0.01659722222222222</v>
      </c>
    </row>
    <row r="136">
      <c r="A136" s="49" t="s">
        <v>446</v>
      </c>
      <c r="B136" s="49" t="s">
        <v>505</v>
      </c>
      <c r="C136" s="50" t="s">
        <v>293</v>
      </c>
      <c r="D136" s="51">
        <v>3.0</v>
      </c>
      <c r="E136" s="49" t="s">
        <v>312</v>
      </c>
      <c r="F136" s="50" t="s">
        <v>316</v>
      </c>
      <c r="G136" s="52">
        <v>0.006307870370370371</v>
      </c>
    </row>
    <row r="137">
      <c r="A137" s="49" t="s">
        <v>446</v>
      </c>
      <c r="B137" s="49" t="s">
        <v>505</v>
      </c>
      <c r="C137" s="53" t="s">
        <v>293</v>
      </c>
      <c r="D137" s="54">
        <v>3.0</v>
      </c>
      <c r="E137" s="53" t="s">
        <v>312</v>
      </c>
      <c r="F137" s="55" t="s">
        <v>512</v>
      </c>
      <c r="G137" s="56">
        <v>0.008715277777777778</v>
      </c>
    </row>
    <row r="138">
      <c r="A138" s="49" t="s">
        <v>446</v>
      </c>
      <c r="B138" s="49" t="s">
        <v>505</v>
      </c>
      <c r="C138" s="49" t="s">
        <v>293</v>
      </c>
      <c r="D138" s="74"/>
      <c r="E138" s="59" t="s">
        <v>513</v>
      </c>
      <c r="F138" s="59" t="s">
        <v>514</v>
      </c>
      <c r="G138" s="52">
        <v>0.005208333333333333</v>
      </c>
    </row>
    <row r="139">
      <c r="A139" s="49" t="s">
        <v>446</v>
      </c>
      <c r="B139" s="49" t="s">
        <v>505</v>
      </c>
      <c r="C139" s="59" t="s">
        <v>515</v>
      </c>
      <c r="D139" s="60">
        <v>1.0</v>
      </c>
      <c r="E139" s="49" t="s">
        <v>318</v>
      </c>
      <c r="F139" s="49" t="s">
        <v>319</v>
      </c>
      <c r="G139" s="52">
        <v>0.014826388888888889</v>
      </c>
    </row>
    <row r="140">
      <c r="A140" s="49" t="s">
        <v>446</v>
      </c>
      <c r="B140" s="49" t="s">
        <v>505</v>
      </c>
      <c r="C140" s="59" t="s">
        <v>515</v>
      </c>
      <c r="D140" s="60">
        <v>1.0</v>
      </c>
      <c r="E140" s="49" t="s">
        <v>318</v>
      </c>
      <c r="F140" s="49" t="s">
        <v>320</v>
      </c>
      <c r="G140" s="52">
        <v>0.00738425925925926</v>
      </c>
    </row>
    <row r="141">
      <c r="A141" s="49" t="s">
        <v>446</v>
      </c>
      <c r="B141" s="49" t="s">
        <v>505</v>
      </c>
      <c r="C141" s="59" t="s">
        <v>515</v>
      </c>
      <c r="D141" s="60">
        <v>1.0</v>
      </c>
      <c r="E141" s="49" t="s">
        <v>318</v>
      </c>
      <c r="F141" s="49" t="s">
        <v>321</v>
      </c>
      <c r="G141" s="52">
        <v>0.01678240740740741</v>
      </c>
    </row>
    <row r="142">
      <c r="A142" s="49" t="s">
        <v>446</v>
      </c>
      <c r="B142" s="49" t="s">
        <v>505</v>
      </c>
      <c r="C142" s="59" t="s">
        <v>515</v>
      </c>
      <c r="D142" s="60">
        <v>1.0</v>
      </c>
      <c r="E142" s="49" t="s">
        <v>318</v>
      </c>
      <c r="F142" s="49" t="s">
        <v>323</v>
      </c>
      <c r="G142" s="65">
        <v>0.05555555555555555</v>
      </c>
    </row>
    <row r="143">
      <c r="A143" s="49" t="s">
        <v>446</v>
      </c>
      <c r="B143" s="49" t="s">
        <v>505</v>
      </c>
      <c r="C143" s="59" t="s">
        <v>515</v>
      </c>
      <c r="D143" s="60">
        <v>1.0</v>
      </c>
      <c r="E143" s="49" t="s">
        <v>318</v>
      </c>
      <c r="F143" s="50" t="s">
        <v>324</v>
      </c>
      <c r="G143" s="52">
        <v>0.020833333333333332</v>
      </c>
    </row>
    <row r="144">
      <c r="A144" s="49" t="s">
        <v>446</v>
      </c>
      <c r="B144" s="49" t="s">
        <v>505</v>
      </c>
      <c r="C144" s="59" t="s">
        <v>515</v>
      </c>
      <c r="D144" s="51">
        <v>2.0</v>
      </c>
      <c r="E144" s="49" t="s">
        <v>325</v>
      </c>
      <c r="F144" s="49" t="s">
        <v>326</v>
      </c>
      <c r="G144" s="52">
        <v>0.0025</v>
      </c>
    </row>
    <row r="145">
      <c r="A145" s="49" t="s">
        <v>446</v>
      </c>
      <c r="B145" s="49" t="s">
        <v>505</v>
      </c>
      <c r="C145" s="59" t="s">
        <v>515</v>
      </c>
      <c r="D145" s="51">
        <v>2.0</v>
      </c>
      <c r="E145" s="49" t="s">
        <v>325</v>
      </c>
      <c r="F145" s="49" t="s">
        <v>327</v>
      </c>
      <c r="G145" s="52">
        <v>0.0019328703703703704</v>
      </c>
    </row>
    <row r="146">
      <c r="A146" s="49" t="s">
        <v>446</v>
      </c>
      <c r="B146" s="49" t="s">
        <v>505</v>
      </c>
      <c r="C146" s="59" t="s">
        <v>515</v>
      </c>
      <c r="D146" s="51">
        <v>2.0</v>
      </c>
      <c r="E146" s="49" t="s">
        <v>325</v>
      </c>
      <c r="F146" s="49" t="s">
        <v>328</v>
      </c>
      <c r="G146" s="52">
        <v>0.0020486111111111113</v>
      </c>
    </row>
    <row r="147">
      <c r="A147" s="49" t="s">
        <v>446</v>
      </c>
      <c r="B147" s="49" t="s">
        <v>505</v>
      </c>
      <c r="C147" s="59" t="s">
        <v>515</v>
      </c>
      <c r="D147" s="60">
        <v>2.0</v>
      </c>
      <c r="E147" s="49" t="s">
        <v>325</v>
      </c>
      <c r="F147" s="49" t="s">
        <v>329</v>
      </c>
      <c r="G147" s="52">
        <v>0.0030555555555555557</v>
      </c>
    </row>
    <row r="148">
      <c r="A148" s="49" t="s">
        <v>446</v>
      </c>
      <c r="B148" s="49" t="s">
        <v>505</v>
      </c>
      <c r="C148" s="59" t="s">
        <v>515</v>
      </c>
      <c r="D148" s="60">
        <v>2.0</v>
      </c>
      <c r="E148" s="61" t="s">
        <v>325</v>
      </c>
      <c r="F148" s="49" t="s">
        <v>516</v>
      </c>
      <c r="G148" s="58">
        <v>0.0018287037037037037</v>
      </c>
    </row>
    <row r="149">
      <c r="A149" s="49" t="s">
        <v>446</v>
      </c>
      <c r="B149" s="49" t="s">
        <v>505</v>
      </c>
      <c r="C149" s="59" t="s">
        <v>515</v>
      </c>
      <c r="D149" s="60">
        <v>2.0</v>
      </c>
      <c r="E149" s="61" t="s">
        <v>325</v>
      </c>
      <c r="F149" s="49" t="s">
        <v>517</v>
      </c>
      <c r="G149" s="58">
        <v>0.003576388888888889</v>
      </c>
    </row>
    <row r="150">
      <c r="A150" s="49" t="s">
        <v>446</v>
      </c>
      <c r="B150" s="49" t="s">
        <v>505</v>
      </c>
      <c r="C150" s="59" t="s">
        <v>515</v>
      </c>
      <c r="D150" s="60">
        <v>2.0</v>
      </c>
      <c r="E150" s="49" t="s">
        <v>325</v>
      </c>
      <c r="F150" s="49" t="s">
        <v>331</v>
      </c>
      <c r="G150" s="52">
        <v>0.012303240740740741</v>
      </c>
    </row>
    <row r="151">
      <c r="A151" s="49" t="s">
        <v>446</v>
      </c>
      <c r="B151" s="49" t="s">
        <v>505</v>
      </c>
      <c r="C151" s="59" t="s">
        <v>515</v>
      </c>
      <c r="D151" s="60">
        <v>2.0</v>
      </c>
      <c r="E151" s="49" t="s">
        <v>325</v>
      </c>
      <c r="F151" s="61" t="s">
        <v>518</v>
      </c>
      <c r="G151" s="65">
        <v>0.05555555555555555</v>
      </c>
    </row>
    <row r="152">
      <c r="A152" s="49" t="s">
        <v>446</v>
      </c>
      <c r="B152" s="49" t="s">
        <v>505</v>
      </c>
      <c r="C152" s="59" t="s">
        <v>515</v>
      </c>
      <c r="D152" s="60">
        <v>3.0</v>
      </c>
      <c r="E152" s="49" t="s">
        <v>519</v>
      </c>
      <c r="F152" s="49" t="s">
        <v>483</v>
      </c>
      <c r="G152" s="52">
        <v>0.006724537037037037</v>
      </c>
    </row>
    <row r="153">
      <c r="A153" s="49" t="s">
        <v>446</v>
      </c>
      <c r="B153" s="49" t="s">
        <v>505</v>
      </c>
      <c r="C153" s="59" t="s">
        <v>515</v>
      </c>
      <c r="D153" s="60">
        <v>3.0</v>
      </c>
      <c r="E153" s="49" t="s">
        <v>519</v>
      </c>
      <c r="F153" s="50" t="s">
        <v>484</v>
      </c>
      <c r="G153" s="58">
        <v>0.011979166666666667</v>
      </c>
    </row>
    <row r="154">
      <c r="A154" s="49" t="s">
        <v>446</v>
      </c>
      <c r="B154" s="49" t="s">
        <v>505</v>
      </c>
      <c r="C154" s="53" t="s">
        <v>515</v>
      </c>
      <c r="D154" s="54">
        <v>3.0</v>
      </c>
      <c r="E154" s="53" t="s">
        <v>519</v>
      </c>
      <c r="F154" s="55" t="s">
        <v>485</v>
      </c>
      <c r="G154" s="56">
        <v>0.006122685185185185</v>
      </c>
    </row>
    <row r="155">
      <c r="A155" s="49" t="s">
        <v>446</v>
      </c>
      <c r="B155" s="49" t="s">
        <v>505</v>
      </c>
      <c r="C155" s="49" t="s">
        <v>515</v>
      </c>
      <c r="D155" s="57">
        <v>3.0</v>
      </c>
      <c r="E155" s="59" t="s">
        <v>519</v>
      </c>
      <c r="F155" s="59" t="s">
        <v>486</v>
      </c>
      <c r="G155" s="52">
        <v>0.011041666666666667</v>
      </c>
    </row>
    <row r="156">
      <c r="A156" s="49" t="s">
        <v>446</v>
      </c>
      <c r="B156" s="49" t="s">
        <v>505</v>
      </c>
      <c r="C156" s="59" t="s">
        <v>515</v>
      </c>
      <c r="D156" s="60">
        <v>3.0</v>
      </c>
      <c r="E156" s="50" t="s">
        <v>519</v>
      </c>
      <c r="F156" s="49" t="s">
        <v>520</v>
      </c>
      <c r="G156" s="52">
        <v>0.00869212962962963</v>
      </c>
    </row>
    <row r="157">
      <c r="A157" s="49" t="s">
        <v>446</v>
      </c>
      <c r="B157" s="49" t="s">
        <v>505</v>
      </c>
      <c r="C157" s="59" t="s">
        <v>515</v>
      </c>
      <c r="D157" s="60">
        <v>3.0</v>
      </c>
      <c r="E157" s="61" t="s">
        <v>519</v>
      </c>
      <c r="F157" s="49" t="s">
        <v>521</v>
      </c>
      <c r="G157" s="58">
        <v>0.0076851851851851855</v>
      </c>
    </row>
    <row r="158">
      <c r="A158" s="49" t="s">
        <v>446</v>
      </c>
      <c r="B158" s="49" t="s">
        <v>505</v>
      </c>
      <c r="C158" s="49" t="s">
        <v>515</v>
      </c>
      <c r="D158" s="62">
        <v>3.0</v>
      </c>
      <c r="E158" s="59" t="s">
        <v>519</v>
      </c>
      <c r="F158" s="59" t="s">
        <v>522</v>
      </c>
      <c r="G158" s="52">
        <v>0.005497685185185185</v>
      </c>
    </row>
    <row r="159">
      <c r="A159" s="49" t="s">
        <v>446</v>
      </c>
      <c r="B159" s="49" t="s">
        <v>505</v>
      </c>
      <c r="C159" s="59" t="s">
        <v>515</v>
      </c>
      <c r="D159" s="60">
        <v>3.0</v>
      </c>
      <c r="E159" s="49" t="s">
        <v>519</v>
      </c>
      <c r="F159" s="49" t="s">
        <v>853</v>
      </c>
      <c r="G159" s="58">
        <v>0.007476851851851852</v>
      </c>
    </row>
    <row r="160">
      <c r="A160" s="49" t="s">
        <v>446</v>
      </c>
      <c r="B160" s="49" t="s">
        <v>505</v>
      </c>
      <c r="C160" s="59" t="s">
        <v>515</v>
      </c>
      <c r="D160" s="60">
        <v>3.0</v>
      </c>
      <c r="E160" s="49" t="s">
        <v>519</v>
      </c>
      <c r="F160" s="61" t="s">
        <v>523</v>
      </c>
      <c r="G160" s="65">
        <v>0.05555555555555555</v>
      </c>
    </row>
    <row r="161">
      <c r="A161" s="49" t="s">
        <v>446</v>
      </c>
      <c r="B161" s="49" t="s">
        <v>505</v>
      </c>
      <c r="C161" s="59" t="s">
        <v>515</v>
      </c>
      <c r="D161" s="60">
        <v>4.0</v>
      </c>
      <c r="E161" s="61" t="s">
        <v>524</v>
      </c>
      <c r="F161" s="49" t="s">
        <v>525</v>
      </c>
      <c r="G161" s="58">
        <v>0.0029976851851851853</v>
      </c>
    </row>
    <row r="162">
      <c r="A162" s="49" t="s">
        <v>446</v>
      </c>
      <c r="B162" s="49" t="s">
        <v>505</v>
      </c>
      <c r="C162" s="59" t="s">
        <v>515</v>
      </c>
      <c r="D162" s="60">
        <v>4.0</v>
      </c>
      <c r="E162" s="61" t="s">
        <v>524</v>
      </c>
      <c r="F162" s="49" t="s">
        <v>526</v>
      </c>
      <c r="G162" s="58">
        <v>0.0024074074074074076</v>
      </c>
    </row>
    <row r="163">
      <c r="A163" s="49" t="s">
        <v>446</v>
      </c>
      <c r="B163" s="49" t="s">
        <v>505</v>
      </c>
      <c r="C163" s="59" t="s">
        <v>515</v>
      </c>
      <c r="D163" s="62">
        <v>4.0</v>
      </c>
      <c r="E163" s="61" t="s">
        <v>524</v>
      </c>
      <c r="F163" s="49" t="s">
        <v>527</v>
      </c>
      <c r="G163" s="58">
        <v>0.002673611111111111</v>
      </c>
    </row>
    <row r="164">
      <c r="A164" s="49" t="s">
        <v>446</v>
      </c>
      <c r="B164" s="49" t="s">
        <v>505</v>
      </c>
      <c r="C164" s="59" t="s">
        <v>515</v>
      </c>
      <c r="D164" s="62">
        <v>4.0</v>
      </c>
      <c r="E164" s="61" t="s">
        <v>524</v>
      </c>
      <c r="F164" s="49" t="s">
        <v>528</v>
      </c>
      <c r="G164" s="58">
        <v>0.002395833333333333</v>
      </c>
    </row>
    <row r="165">
      <c r="A165" s="49" t="s">
        <v>446</v>
      </c>
      <c r="B165" s="49" t="s">
        <v>505</v>
      </c>
      <c r="C165" s="59" t="s">
        <v>515</v>
      </c>
      <c r="D165" s="62">
        <v>4.0</v>
      </c>
      <c r="E165" s="61" t="s">
        <v>524</v>
      </c>
      <c r="F165" s="61" t="s">
        <v>529</v>
      </c>
      <c r="G165" s="65">
        <v>0.05555555555555555</v>
      </c>
    </row>
    <row r="166">
      <c r="A166" s="49" t="s">
        <v>446</v>
      </c>
      <c r="B166" s="49" t="s">
        <v>505</v>
      </c>
      <c r="C166" s="59" t="s">
        <v>515</v>
      </c>
      <c r="D166" s="60">
        <v>5.0</v>
      </c>
      <c r="E166" s="49" t="s">
        <v>530</v>
      </c>
      <c r="F166" s="50" t="s">
        <v>502</v>
      </c>
      <c r="G166" s="58">
        <v>0.014212962962962964</v>
      </c>
    </row>
    <row r="167">
      <c r="A167" s="49" t="s">
        <v>446</v>
      </c>
      <c r="B167" s="49" t="s">
        <v>505</v>
      </c>
      <c r="C167" s="59" t="s">
        <v>515</v>
      </c>
      <c r="D167" s="60">
        <v>5.0</v>
      </c>
      <c r="E167" s="61" t="s">
        <v>530</v>
      </c>
      <c r="F167" s="49" t="s">
        <v>503</v>
      </c>
      <c r="G167" s="58">
        <v>0.01885416666666667</v>
      </c>
    </row>
    <row r="168">
      <c r="A168" s="49" t="s">
        <v>446</v>
      </c>
      <c r="B168" s="49" t="s">
        <v>505</v>
      </c>
      <c r="C168" s="59" t="s">
        <v>515</v>
      </c>
      <c r="D168" s="60">
        <v>5.0</v>
      </c>
      <c r="E168" s="61" t="s">
        <v>530</v>
      </c>
      <c r="F168" s="49" t="s">
        <v>531</v>
      </c>
      <c r="G168" s="58">
        <v>0.008680555555555556</v>
      </c>
    </row>
    <row r="169">
      <c r="A169" s="49" t="s">
        <v>446</v>
      </c>
      <c r="B169" s="49" t="s">
        <v>505</v>
      </c>
      <c r="C169" s="59" t="s">
        <v>515</v>
      </c>
      <c r="D169" s="60">
        <v>5.0</v>
      </c>
      <c r="E169" s="61" t="s">
        <v>530</v>
      </c>
      <c r="F169" s="49" t="s">
        <v>858</v>
      </c>
      <c r="G169" s="58">
        <v>0.007094907407407407</v>
      </c>
    </row>
    <row r="170">
      <c r="A170" s="49" t="s">
        <v>446</v>
      </c>
      <c r="B170" s="49" t="s">
        <v>505</v>
      </c>
      <c r="C170" s="59" t="s">
        <v>515</v>
      </c>
      <c r="D170" s="60">
        <v>5.0</v>
      </c>
      <c r="E170" s="49" t="s">
        <v>530</v>
      </c>
      <c r="F170" s="50" t="s">
        <v>1068</v>
      </c>
      <c r="G170" s="58">
        <v>0.006076388888888889</v>
      </c>
    </row>
    <row r="171">
      <c r="A171" s="49" t="s">
        <v>446</v>
      </c>
      <c r="B171" s="49" t="s">
        <v>505</v>
      </c>
      <c r="C171" s="59" t="s">
        <v>515</v>
      </c>
      <c r="D171" s="60">
        <v>5.0</v>
      </c>
      <c r="E171" s="49" t="s">
        <v>530</v>
      </c>
      <c r="F171" s="50" t="s">
        <v>532</v>
      </c>
      <c r="G171" s="58">
        <v>0.005300925925925926</v>
      </c>
    </row>
    <row r="172">
      <c r="A172" s="49" t="s">
        <v>446</v>
      </c>
      <c r="B172" s="49" t="s">
        <v>505</v>
      </c>
      <c r="C172" s="59" t="s">
        <v>515</v>
      </c>
      <c r="D172" s="60">
        <v>5.0</v>
      </c>
      <c r="E172" s="61" t="s">
        <v>530</v>
      </c>
      <c r="F172" s="49" t="s">
        <v>533</v>
      </c>
      <c r="G172" s="58">
        <v>0.006574074074074074</v>
      </c>
    </row>
    <row r="173">
      <c r="A173" s="49" t="s">
        <v>446</v>
      </c>
      <c r="B173" s="49" t="s">
        <v>505</v>
      </c>
      <c r="C173" s="49" t="s">
        <v>515</v>
      </c>
      <c r="D173" s="62">
        <v>5.0</v>
      </c>
      <c r="E173" s="59" t="s">
        <v>530</v>
      </c>
      <c r="F173" s="59" t="s">
        <v>534</v>
      </c>
      <c r="G173" s="52">
        <v>0.004837962962962963</v>
      </c>
    </row>
    <row r="174">
      <c r="A174" s="49" t="s">
        <v>446</v>
      </c>
      <c r="B174" s="49" t="s">
        <v>505</v>
      </c>
      <c r="C174" s="59" t="s">
        <v>515</v>
      </c>
      <c r="D174" s="60">
        <v>5.0</v>
      </c>
      <c r="E174" s="61" t="s">
        <v>530</v>
      </c>
      <c r="F174" s="49" t="s">
        <v>535</v>
      </c>
      <c r="G174" s="58">
        <v>0.006851851851851852</v>
      </c>
    </row>
    <row r="175">
      <c r="A175" s="49" t="s">
        <v>446</v>
      </c>
      <c r="B175" s="49" t="s">
        <v>505</v>
      </c>
      <c r="C175" s="59" t="s">
        <v>515</v>
      </c>
      <c r="D175" s="60">
        <v>5.0</v>
      </c>
      <c r="E175" s="61" t="s">
        <v>530</v>
      </c>
      <c r="F175" s="61" t="s">
        <v>504</v>
      </c>
      <c r="G175" s="65">
        <v>0.05555555555555555</v>
      </c>
    </row>
    <row r="176">
      <c r="A176" s="49" t="s">
        <v>446</v>
      </c>
      <c r="B176" s="49" t="s">
        <v>505</v>
      </c>
      <c r="C176" s="59" t="s">
        <v>515</v>
      </c>
      <c r="D176" s="60">
        <v>5.0</v>
      </c>
      <c r="E176" s="61" t="s">
        <v>530</v>
      </c>
      <c r="F176" s="61" t="s">
        <v>1069</v>
      </c>
      <c r="G176" s="65">
        <v>0.05555555555555555</v>
      </c>
    </row>
    <row r="177">
      <c r="A177" s="49" t="s">
        <v>446</v>
      </c>
      <c r="B177" s="49" t="s">
        <v>505</v>
      </c>
      <c r="C177" s="59" t="s">
        <v>536</v>
      </c>
      <c r="D177" s="60">
        <v>1.0</v>
      </c>
      <c r="E177" s="61" t="s">
        <v>335</v>
      </c>
      <c r="F177" s="49" t="s">
        <v>537</v>
      </c>
      <c r="G177" s="58">
        <v>0.017511574074074075</v>
      </c>
    </row>
    <row r="178">
      <c r="A178" s="49" t="s">
        <v>446</v>
      </c>
      <c r="B178" s="49" t="s">
        <v>505</v>
      </c>
      <c r="C178" s="61" t="s">
        <v>536</v>
      </c>
      <c r="D178" s="62">
        <v>1.0</v>
      </c>
      <c r="E178" s="59" t="s">
        <v>335</v>
      </c>
      <c r="F178" s="59" t="s">
        <v>336</v>
      </c>
      <c r="G178" s="52">
        <v>0.002662037037037037</v>
      </c>
    </row>
    <row r="179">
      <c r="A179" s="49" t="s">
        <v>446</v>
      </c>
      <c r="B179" s="49" t="s">
        <v>505</v>
      </c>
      <c r="C179" s="59" t="s">
        <v>536</v>
      </c>
      <c r="D179" s="62">
        <v>1.0</v>
      </c>
      <c r="E179" s="61" t="s">
        <v>335</v>
      </c>
      <c r="F179" s="49" t="s">
        <v>337</v>
      </c>
      <c r="G179" s="52">
        <v>7.986111111111112E-4</v>
      </c>
    </row>
    <row r="180">
      <c r="A180" s="49" t="s">
        <v>446</v>
      </c>
      <c r="B180" s="49" t="s">
        <v>505</v>
      </c>
      <c r="C180" s="53" t="s">
        <v>536</v>
      </c>
      <c r="D180" s="54">
        <v>1.0</v>
      </c>
      <c r="E180" s="53" t="s">
        <v>335</v>
      </c>
      <c r="F180" s="55" t="s">
        <v>340</v>
      </c>
      <c r="G180" s="56">
        <v>7.986111111111112E-4</v>
      </c>
    </row>
    <row r="181">
      <c r="A181" s="49" t="s">
        <v>446</v>
      </c>
      <c r="B181" s="49" t="s">
        <v>505</v>
      </c>
      <c r="C181" s="53" t="s">
        <v>536</v>
      </c>
      <c r="D181" s="54">
        <v>1.0</v>
      </c>
      <c r="E181" s="53" t="s">
        <v>335</v>
      </c>
      <c r="F181" s="59" t="s">
        <v>538</v>
      </c>
      <c r="G181" s="58">
        <v>0.041666666666666664</v>
      </c>
    </row>
    <row r="182">
      <c r="A182" s="49" t="s">
        <v>446</v>
      </c>
      <c r="B182" s="49" t="s">
        <v>505</v>
      </c>
      <c r="C182" s="59" t="s">
        <v>536</v>
      </c>
      <c r="D182" s="57">
        <v>2.0</v>
      </c>
      <c r="E182" s="49" t="s">
        <v>341</v>
      </c>
      <c r="F182" s="49" t="s">
        <v>341</v>
      </c>
      <c r="G182" s="52">
        <v>0.005127314814814815</v>
      </c>
    </row>
    <row r="183">
      <c r="A183" s="49" t="s">
        <v>446</v>
      </c>
      <c r="B183" s="49" t="s">
        <v>505</v>
      </c>
      <c r="C183" s="59" t="s">
        <v>536</v>
      </c>
      <c r="D183" s="57">
        <v>2.0</v>
      </c>
      <c r="E183" s="61" t="s">
        <v>341</v>
      </c>
      <c r="F183" s="49" t="s">
        <v>342</v>
      </c>
      <c r="G183" s="52">
        <v>9.375E-4</v>
      </c>
    </row>
    <row r="184">
      <c r="A184" s="49" t="s">
        <v>446</v>
      </c>
      <c r="B184" s="49" t="s">
        <v>505</v>
      </c>
      <c r="C184" s="59" t="s">
        <v>536</v>
      </c>
      <c r="D184" s="57">
        <v>2.0</v>
      </c>
      <c r="E184" s="61" t="s">
        <v>341</v>
      </c>
      <c r="F184" s="49" t="s">
        <v>343</v>
      </c>
      <c r="G184" s="52">
        <v>0.001863425925925926</v>
      </c>
    </row>
    <row r="185">
      <c r="A185" s="49" t="s">
        <v>446</v>
      </c>
      <c r="B185" s="49" t="s">
        <v>505</v>
      </c>
      <c r="C185" s="59" t="s">
        <v>536</v>
      </c>
      <c r="D185" s="57">
        <v>2.0</v>
      </c>
      <c r="E185" s="49" t="s">
        <v>341</v>
      </c>
      <c r="F185" s="50" t="s">
        <v>344</v>
      </c>
      <c r="G185" s="58">
        <v>6.828703703703704E-4</v>
      </c>
    </row>
    <row r="186">
      <c r="A186" s="49" t="s">
        <v>446</v>
      </c>
      <c r="B186" s="49" t="s">
        <v>505</v>
      </c>
      <c r="C186" s="59" t="s">
        <v>536</v>
      </c>
      <c r="D186" s="57">
        <v>2.0</v>
      </c>
      <c r="E186" s="49" t="s">
        <v>341</v>
      </c>
      <c r="F186" s="49" t="s">
        <v>539</v>
      </c>
      <c r="G186" s="52">
        <v>7.407407407407407E-4</v>
      </c>
    </row>
    <row r="187">
      <c r="A187" s="49" t="s">
        <v>446</v>
      </c>
      <c r="B187" s="49" t="s">
        <v>505</v>
      </c>
      <c r="C187" s="49" t="s">
        <v>536</v>
      </c>
      <c r="D187" s="57">
        <v>2.0</v>
      </c>
      <c r="E187" s="59" t="s">
        <v>341</v>
      </c>
      <c r="F187" s="59" t="s">
        <v>346</v>
      </c>
      <c r="G187" s="52">
        <v>6.134259259259259E-4</v>
      </c>
    </row>
    <row r="188">
      <c r="A188" s="49" t="s">
        <v>446</v>
      </c>
      <c r="B188" s="49" t="s">
        <v>505</v>
      </c>
      <c r="C188" s="59" t="s">
        <v>536</v>
      </c>
      <c r="D188" s="60">
        <v>2.0</v>
      </c>
      <c r="E188" s="49" t="s">
        <v>341</v>
      </c>
      <c r="F188" s="49" t="s">
        <v>347</v>
      </c>
      <c r="G188" s="58">
        <v>9.953703703703704E-4</v>
      </c>
    </row>
    <row r="189">
      <c r="A189" s="49" t="s">
        <v>446</v>
      </c>
      <c r="B189" s="49" t="s">
        <v>505</v>
      </c>
      <c r="C189" s="59" t="s">
        <v>536</v>
      </c>
      <c r="D189" s="60">
        <v>3.0</v>
      </c>
      <c r="E189" s="49" t="s">
        <v>348</v>
      </c>
      <c r="F189" s="49" t="s">
        <v>348</v>
      </c>
      <c r="G189" s="58">
        <v>0.0069560185185185185</v>
      </c>
    </row>
    <row r="190">
      <c r="A190" s="49" t="s">
        <v>446</v>
      </c>
      <c r="B190" s="49" t="s">
        <v>505</v>
      </c>
      <c r="C190" s="59" t="s">
        <v>536</v>
      </c>
      <c r="D190" s="60">
        <v>3.0</v>
      </c>
      <c r="E190" s="49" t="s">
        <v>348</v>
      </c>
      <c r="F190" s="49" t="s">
        <v>540</v>
      </c>
      <c r="G190" s="58">
        <v>5.555555555555556E-4</v>
      </c>
    </row>
    <row r="191">
      <c r="A191" s="49" t="s">
        <v>446</v>
      </c>
      <c r="B191" s="49" t="s">
        <v>505</v>
      </c>
      <c r="C191" s="59" t="s">
        <v>536</v>
      </c>
      <c r="D191" s="60">
        <v>3.0</v>
      </c>
      <c r="E191" s="49" t="s">
        <v>348</v>
      </c>
      <c r="F191" s="49" t="s">
        <v>349</v>
      </c>
      <c r="G191" s="58">
        <v>0.0015393518518518519</v>
      </c>
    </row>
    <row r="192">
      <c r="A192" s="49" t="s">
        <v>446</v>
      </c>
      <c r="B192" s="49" t="s">
        <v>505</v>
      </c>
      <c r="C192" s="59" t="s">
        <v>536</v>
      </c>
      <c r="D192" s="60">
        <v>3.0</v>
      </c>
      <c r="E192" s="49" t="s">
        <v>348</v>
      </c>
      <c r="F192" s="49" t="s">
        <v>351</v>
      </c>
      <c r="G192" s="58">
        <v>5.671296296296297E-4</v>
      </c>
    </row>
    <row r="193">
      <c r="A193" s="49" t="s">
        <v>446</v>
      </c>
      <c r="B193" s="49" t="s">
        <v>505</v>
      </c>
      <c r="C193" s="59" t="s">
        <v>536</v>
      </c>
      <c r="D193" s="60">
        <v>3.0</v>
      </c>
      <c r="E193" s="49" t="s">
        <v>348</v>
      </c>
      <c r="F193" s="49" t="s">
        <v>352</v>
      </c>
      <c r="G193" s="65">
        <v>0.05555555555555555</v>
      </c>
    </row>
    <row r="194">
      <c r="A194" s="49" t="s">
        <v>446</v>
      </c>
      <c r="B194" s="49" t="s">
        <v>505</v>
      </c>
      <c r="C194" s="59" t="s">
        <v>536</v>
      </c>
      <c r="D194" s="62">
        <v>4.0</v>
      </c>
      <c r="E194" s="61" t="s">
        <v>353</v>
      </c>
      <c r="F194" s="49" t="s">
        <v>354</v>
      </c>
      <c r="G194" s="58">
        <v>0.004074074074074074</v>
      </c>
    </row>
    <row r="195">
      <c r="A195" s="49" t="s">
        <v>446</v>
      </c>
      <c r="B195" s="49" t="s">
        <v>505</v>
      </c>
      <c r="C195" s="59" t="s">
        <v>536</v>
      </c>
      <c r="D195" s="62">
        <v>4.0</v>
      </c>
      <c r="E195" s="49" t="s">
        <v>353</v>
      </c>
      <c r="F195" s="50" t="s">
        <v>355</v>
      </c>
      <c r="G195" s="58">
        <v>0.014212962962962964</v>
      </c>
    </row>
    <row r="196">
      <c r="A196" s="49" t="s">
        <v>446</v>
      </c>
      <c r="B196" s="49" t="s">
        <v>505</v>
      </c>
      <c r="C196" s="49" t="s">
        <v>536</v>
      </c>
      <c r="D196" s="62">
        <v>4.0</v>
      </c>
      <c r="E196" s="59" t="s">
        <v>353</v>
      </c>
      <c r="F196" s="59" t="s">
        <v>356</v>
      </c>
      <c r="G196" s="52">
        <v>0.0015277777777777779</v>
      </c>
    </row>
    <row r="197">
      <c r="A197" s="49" t="s">
        <v>446</v>
      </c>
      <c r="B197" s="49" t="s">
        <v>505</v>
      </c>
      <c r="C197" s="59" t="s">
        <v>536</v>
      </c>
      <c r="D197" s="60">
        <v>4.0</v>
      </c>
      <c r="E197" s="61" t="s">
        <v>353</v>
      </c>
      <c r="F197" s="49" t="s">
        <v>357</v>
      </c>
      <c r="G197" s="58">
        <v>0.0010648148148148149</v>
      </c>
    </row>
    <row r="198">
      <c r="A198" s="49" t="s">
        <v>446</v>
      </c>
      <c r="B198" s="49" t="s">
        <v>505</v>
      </c>
      <c r="C198" s="59" t="s">
        <v>536</v>
      </c>
      <c r="D198" s="60">
        <v>4.0</v>
      </c>
      <c r="E198" s="61" t="s">
        <v>353</v>
      </c>
      <c r="F198" s="61" t="s">
        <v>360</v>
      </c>
      <c r="G198" s="65">
        <v>0.05555555555555555</v>
      </c>
    </row>
    <row r="199">
      <c r="A199" s="49" t="s">
        <v>446</v>
      </c>
      <c r="B199" s="49" t="s">
        <v>505</v>
      </c>
      <c r="C199" s="59" t="s">
        <v>361</v>
      </c>
      <c r="D199" s="60">
        <v>1.0</v>
      </c>
      <c r="E199" s="61" t="s">
        <v>362</v>
      </c>
      <c r="F199" s="49" t="s">
        <v>541</v>
      </c>
      <c r="G199" s="58">
        <v>0.005462962962962963</v>
      </c>
    </row>
    <row r="200">
      <c r="A200" s="49" t="s">
        <v>446</v>
      </c>
      <c r="B200" s="49" t="s">
        <v>505</v>
      </c>
      <c r="C200" s="59" t="s">
        <v>361</v>
      </c>
      <c r="D200" s="60">
        <v>1.0</v>
      </c>
      <c r="E200" s="61" t="s">
        <v>362</v>
      </c>
      <c r="F200" s="49" t="s">
        <v>363</v>
      </c>
      <c r="G200" s="58">
        <v>0.0026967592592592594</v>
      </c>
    </row>
    <row r="201">
      <c r="A201" s="49" t="s">
        <v>446</v>
      </c>
      <c r="B201" s="49" t="s">
        <v>505</v>
      </c>
      <c r="C201" s="59" t="s">
        <v>361</v>
      </c>
      <c r="D201" s="62">
        <v>1.0</v>
      </c>
      <c r="E201" s="61" t="s">
        <v>362</v>
      </c>
      <c r="F201" s="49" t="s">
        <v>364</v>
      </c>
      <c r="G201" s="58">
        <v>0.015439814814814814</v>
      </c>
    </row>
    <row r="202">
      <c r="A202" s="49" t="s">
        <v>446</v>
      </c>
      <c r="B202" s="49" t="s">
        <v>505</v>
      </c>
      <c r="C202" s="59" t="s">
        <v>361</v>
      </c>
      <c r="D202" s="62">
        <v>1.0</v>
      </c>
      <c r="E202" s="61" t="s">
        <v>362</v>
      </c>
      <c r="F202" s="49" t="s">
        <v>1000</v>
      </c>
      <c r="G202" s="52">
        <v>0.028819444444444446</v>
      </c>
    </row>
    <row r="203">
      <c r="A203" s="49" t="s">
        <v>446</v>
      </c>
      <c r="B203" s="49" t="s">
        <v>505</v>
      </c>
      <c r="C203" s="59" t="s">
        <v>361</v>
      </c>
      <c r="D203" s="62">
        <v>1.0</v>
      </c>
      <c r="E203" s="61" t="s">
        <v>362</v>
      </c>
      <c r="F203" s="49" t="s">
        <v>366</v>
      </c>
      <c r="G203" s="52">
        <v>0.010324074074074074</v>
      </c>
    </row>
    <row r="204">
      <c r="A204" s="49" t="s">
        <v>446</v>
      </c>
      <c r="B204" s="49" t="s">
        <v>505</v>
      </c>
      <c r="C204" s="59" t="s">
        <v>361</v>
      </c>
      <c r="D204" s="62">
        <v>1.0</v>
      </c>
      <c r="E204" s="61" t="s">
        <v>362</v>
      </c>
      <c r="F204" s="49" t="s">
        <v>367</v>
      </c>
      <c r="G204" s="52">
        <v>0.013761574074074074</v>
      </c>
    </row>
    <row r="205">
      <c r="A205" s="49" t="s">
        <v>446</v>
      </c>
      <c r="B205" s="49" t="s">
        <v>505</v>
      </c>
      <c r="C205" s="59" t="s">
        <v>361</v>
      </c>
      <c r="D205" s="62">
        <v>1.0</v>
      </c>
      <c r="E205" s="49" t="s">
        <v>362</v>
      </c>
      <c r="F205" s="50" t="s">
        <v>542</v>
      </c>
      <c r="G205" s="52">
        <v>0.00883101851851852</v>
      </c>
    </row>
    <row r="206">
      <c r="A206" s="49" t="s">
        <v>446</v>
      </c>
      <c r="B206" s="49" t="s">
        <v>505</v>
      </c>
      <c r="C206" s="61" t="s">
        <v>361</v>
      </c>
      <c r="D206" s="62">
        <v>2.0</v>
      </c>
      <c r="E206" s="59" t="s">
        <v>368</v>
      </c>
      <c r="F206" s="59" t="s">
        <v>369</v>
      </c>
      <c r="G206" s="52">
        <v>0.007893518518518518</v>
      </c>
    </row>
    <row r="207">
      <c r="A207" s="49" t="s">
        <v>446</v>
      </c>
      <c r="B207" s="49" t="s">
        <v>505</v>
      </c>
      <c r="C207" s="59" t="s">
        <v>361</v>
      </c>
      <c r="D207" s="60">
        <v>2.0</v>
      </c>
      <c r="E207" s="61" t="s">
        <v>368</v>
      </c>
      <c r="F207" s="49" t="s">
        <v>370</v>
      </c>
      <c r="G207" s="52">
        <v>0.007789351851851852</v>
      </c>
    </row>
    <row r="208">
      <c r="A208" s="49" t="s">
        <v>446</v>
      </c>
      <c r="B208" s="49" t="s">
        <v>505</v>
      </c>
      <c r="C208" s="59" t="s">
        <v>361</v>
      </c>
      <c r="D208" s="60">
        <v>2.0</v>
      </c>
      <c r="E208" s="61" t="s">
        <v>368</v>
      </c>
      <c r="F208" s="49" t="s">
        <v>371</v>
      </c>
      <c r="G208" s="52">
        <v>0.003275462962962963</v>
      </c>
    </row>
    <row r="209">
      <c r="A209" s="49" t="s">
        <v>446</v>
      </c>
      <c r="B209" s="49" t="s">
        <v>505</v>
      </c>
      <c r="C209" s="59" t="s">
        <v>361</v>
      </c>
      <c r="D209" s="60">
        <v>2.0</v>
      </c>
      <c r="E209" s="61" t="s">
        <v>368</v>
      </c>
      <c r="F209" s="49" t="s">
        <v>372</v>
      </c>
      <c r="G209" s="52">
        <v>0.014953703703703703</v>
      </c>
    </row>
    <row r="210">
      <c r="A210" s="49" t="s">
        <v>446</v>
      </c>
      <c r="B210" s="49" t="s">
        <v>505</v>
      </c>
      <c r="C210" s="59" t="s">
        <v>361</v>
      </c>
      <c r="D210" s="60">
        <v>2.0</v>
      </c>
      <c r="E210" s="61" t="s">
        <v>368</v>
      </c>
      <c r="F210" s="49" t="s">
        <v>374</v>
      </c>
      <c r="G210" s="52">
        <v>0.01744212962962963</v>
      </c>
    </row>
    <row r="211">
      <c r="A211" s="49" t="s">
        <v>446</v>
      </c>
      <c r="B211" s="49" t="s">
        <v>505</v>
      </c>
      <c r="C211" s="49" t="s">
        <v>361</v>
      </c>
      <c r="D211" s="62">
        <v>3.0</v>
      </c>
      <c r="E211" s="49" t="s">
        <v>376</v>
      </c>
      <c r="F211" s="50" t="s">
        <v>377</v>
      </c>
      <c r="G211" s="52">
        <v>0.011620370370370371</v>
      </c>
    </row>
    <row r="212">
      <c r="A212" s="49" t="s">
        <v>446</v>
      </c>
      <c r="B212" s="49" t="s">
        <v>505</v>
      </c>
      <c r="C212" s="49" t="s">
        <v>361</v>
      </c>
      <c r="D212" s="62">
        <v>3.0</v>
      </c>
      <c r="E212" s="59" t="s">
        <v>376</v>
      </c>
      <c r="F212" s="59" t="s">
        <v>378</v>
      </c>
      <c r="G212" s="52">
        <v>0.015277777777777777</v>
      </c>
    </row>
    <row r="213">
      <c r="A213" s="49" t="s">
        <v>446</v>
      </c>
      <c r="B213" s="49" t="s">
        <v>505</v>
      </c>
      <c r="C213" s="59" t="s">
        <v>361</v>
      </c>
      <c r="D213" s="60">
        <v>3.0</v>
      </c>
      <c r="E213" s="49" t="s">
        <v>376</v>
      </c>
      <c r="F213" s="49" t="s">
        <v>379</v>
      </c>
      <c r="G213" s="52">
        <v>0.01105324074074074</v>
      </c>
    </row>
    <row r="214">
      <c r="A214" s="49" t="s">
        <v>446</v>
      </c>
      <c r="B214" s="49" t="s">
        <v>505</v>
      </c>
      <c r="C214" s="59" t="s">
        <v>361</v>
      </c>
      <c r="D214" s="60">
        <v>3.0</v>
      </c>
      <c r="E214" s="49" t="s">
        <v>376</v>
      </c>
      <c r="F214" s="49" t="s">
        <v>380</v>
      </c>
      <c r="G214" s="65">
        <v>0.05555555555555555</v>
      </c>
    </row>
    <row r="215">
      <c r="A215" s="49" t="s">
        <v>446</v>
      </c>
      <c r="B215" s="49" t="s">
        <v>505</v>
      </c>
      <c r="C215" s="59" t="s">
        <v>361</v>
      </c>
      <c r="D215" s="60">
        <v>4.0</v>
      </c>
      <c r="E215" s="61" t="s">
        <v>381</v>
      </c>
      <c r="F215" s="49" t="s">
        <v>382</v>
      </c>
      <c r="G215" s="58">
        <v>0.010868055555555556</v>
      </c>
    </row>
    <row r="216">
      <c r="A216" s="49" t="s">
        <v>446</v>
      </c>
      <c r="B216" s="49" t="s">
        <v>505</v>
      </c>
      <c r="C216" s="59" t="s">
        <v>361</v>
      </c>
      <c r="D216" s="60">
        <v>4.0</v>
      </c>
      <c r="E216" s="61" t="s">
        <v>381</v>
      </c>
      <c r="F216" s="49" t="s">
        <v>383</v>
      </c>
      <c r="G216" s="58">
        <v>0.01457175925925926</v>
      </c>
    </row>
    <row r="217">
      <c r="A217" s="49" t="s">
        <v>446</v>
      </c>
      <c r="B217" s="49" t="s">
        <v>505</v>
      </c>
      <c r="C217" s="59" t="s">
        <v>361</v>
      </c>
      <c r="D217" s="60">
        <v>4.0</v>
      </c>
      <c r="E217" s="61" t="s">
        <v>381</v>
      </c>
      <c r="F217" s="49" t="s">
        <v>384</v>
      </c>
      <c r="G217" s="58">
        <v>0.00755787037037037</v>
      </c>
    </row>
    <row r="218">
      <c r="A218" s="49" t="s">
        <v>446</v>
      </c>
      <c r="B218" s="49" t="s">
        <v>505</v>
      </c>
      <c r="C218" s="59" t="s">
        <v>361</v>
      </c>
      <c r="D218" s="60">
        <v>4.0</v>
      </c>
      <c r="E218" s="61" t="s">
        <v>381</v>
      </c>
      <c r="F218" s="49" t="s">
        <v>385</v>
      </c>
      <c r="G218" s="58">
        <v>0.005</v>
      </c>
    </row>
    <row r="219">
      <c r="A219" s="49" t="s">
        <v>446</v>
      </c>
      <c r="B219" s="49" t="s">
        <v>505</v>
      </c>
      <c r="C219" s="59" t="s">
        <v>361</v>
      </c>
      <c r="D219" s="60">
        <v>4.0</v>
      </c>
      <c r="E219" s="61" t="s">
        <v>381</v>
      </c>
      <c r="F219" s="49" t="s">
        <v>386</v>
      </c>
      <c r="G219" s="58">
        <v>0.011493055555555555</v>
      </c>
    </row>
    <row r="220">
      <c r="A220" s="49" t="s">
        <v>446</v>
      </c>
      <c r="B220" s="49" t="s">
        <v>505</v>
      </c>
      <c r="C220" s="59" t="s">
        <v>361</v>
      </c>
      <c r="D220" s="60">
        <v>4.0</v>
      </c>
      <c r="E220" s="61" t="s">
        <v>381</v>
      </c>
      <c r="F220" s="49" t="s">
        <v>387</v>
      </c>
      <c r="G220" s="58">
        <v>0.0038773148148148148</v>
      </c>
    </row>
    <row r="221">
      <c r="A221" s="49" t="s">
        <v>446</v>
      </c>
      <c r="B221" s="49" t="s">
        <v>505</v>
      </c>
      <c r="C221" s="59" t="s">
        <v>361</v>
      </c>
      <c r="D221" s="60">
        <v>4.0</v>
      </c>
      <c r="E221" s="61" t="s">
        <v>381</v>
      </c>
      <c r="F221" s="49" t="s">
        <v>389</v>
      </c>
      <c r="G221" s="58">
        <v>0.002951388888888889</v>
      </c>
    </row>
    <row r="222">
      <c r="A222" s="49" t="s">
        <v>446</v>
      </c>
      <c r="B222" s="49" t="s">
        <v>505</v>
      </c>
      <c r="C222" s="59" t="s">
        <v>361</v>
      </c>
      <c r="D222" s="60">
        <v>4.0</v>
      </c>
      <c r="E222" s="49" t="s">
        <v>381</v>
      </c>
      <c r="F222" s="50" t="s">
        <v>390</v>
      </c>
      <c r="G222" s="58">
        <v>0.012997685185185185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2.56"/>
    <col customWidth="1" min="2" max="2" width="23.0"/>
    <col customWidth="1" min="3" max="3" width="28.11"/>
    <col customWidth="1" min="4" max="4" width="7.44"/>
    <col customWidth="1" min="5" max="5" width="31.89"/>
    <col customWidth="1" min="6" max="6" width="48.89"/>
    <col customWidth="1" min="7" max="7" width="7.44"/>
  </cols>
  <sheetData>
    <row r="1">
      <c r="A1" s="75" t="s">
        <v>970</v>
      </c>
      <c r="B1" s="75" t="s">
        <v>989</v>
      </c>
      <c r="C1" s="76" t="s">
        <v>971</v>
      </c>
      <c r="D1" s="76" t="s">
        <v>972</v>
      </c>
      <c r="E1" s="76" t="s">
        <v>1062</v>
      </c>
      <c r="F1" s="76" t="s">
        <v>974</v>
      </c>
      <c r="G1" s="76" t="s">
        <v>975</v>
      </c>
    </row>
    <row r="2">
      <c r="A2" s="77" t="s">
        <v>543</v>
      </c>
      <c r="B2" s="77" t="s">
        <v>544</v>
      </c>
      <c r="C2" s="78" t="s">
        <v>545</v>
      </c>
      <c r="D2" s="79">
        <v>1.0</v>
      </c>
      <c r="E2" s="78" t="s">
        <v>546</v>
      </c>
      <c r="F2" s="78" t="s">
        <v>547</v>
      </c>
      <c r="G2" s="80">
        <v>0.010428240740740741</v>
      </c>
    </row>
    <row r="3">
      <c r="A3" s="77" t="s">
        <v>543</v>
      </c>
      <c r="B3" s="77" t="s">
        <v>544</v>
      </c>
      <c r="C3" s="78" t="s">
        <v>545</v>
      </c>
      <c r="D3" s="79">
        <v>1.0</v>
      </c>
      <c r="E3" s="78" t="s">
        <v>546</v>
      </c>
      <c r="F3" s="78" t="s">
        <v>506</v>
      </c>
      <c r="G3" s="80">
        <v>0.014224537037037037</v>
      </c>
    </row>
    <row r="4">
      <c r="A4" s="77" t="s">
        <v>543</v>
      </c>
      <c r="B4" s="77" t="s">
        <v>544</v>
      </c>
      <c r="C4" s="78" t="s">
        <v>545</v>
      </c>
      <c r="D4" s="79">
        <v>1.0</v>
      </c>
      <c r="E4" s="78" t="s">
        <v>546</v>
      </c>
      <c r="F4" s="78" t="s">
        <v>1070</v>
      </c>
      <c r="G4" s="80">
        <v>0.010555555555555556</v>
      </c>
    </row>
    <row r="5">
      <c r="A5" s="77" t="s">
        <v>543</v>
      </c>
      <c r="B5" s="77" t="s">
        <v>544</v>
      </c>
      <c r="C5" s="78" t="s">
        <v>545</v>
      </c>
      <c r="D5" s="79">
        <v>2.0</v>
      </c>
      <c r="E5" s="78" t="s">
        <v>548</v>
      </c>
      <c r="F5" s="78" t="s">
        <v>549</v>
      </c>
      <c r="G5" s="80">
        <v>0.008599537037037037</v>
      </c>
    </row>
    <row r="6">
      <c r="A6" s="77" t="s">
        <v>543</v>
      </c>
      <c r="B6" s="77" t="s">
        <v>544</v>
      </c>
      <c r="C6" s="78" t="s">
        <v>545</v>
      </c>
      <c r="D6" s="79">
        <v>2.0</v>
      </c>
      <c r="E6" s="78" t="s">
        <v>548</v>
      </c>
      <c r="F6" s="78" t="s">
        <v>1071</v>
      </c>
      <c r="G6" s="80">
        <v>0.006759259259259259</v>
      </c>
    </row>
    <row r="7">
      <c r="A7" s="77" t="s">
        <v>543</v>
      </c>
      <c r="B7" s="77" t="s">
        <v>544</v>
      </c>
      <c r="C7" s="78" t="s">
        <v>545</v>
      </c>
      <c r="D7" s="79">
        <v>2.0</v>
      </c>
      <c r="E7" s="78" t="s">
        <v>548</v>
      </c>
      <c r="F7" s="78" t="s">
        <v>550</v>
      </c>
      <c r="G7" s="80">
        <v>0.020833333333333332</v>
      </c>
    </row>
    <row r="8">
      <c r="A8" s="77" t="s">
        <v>543</v>
      </c>
      <c r="B8" s="77" t="s">
        <v>544</v>
      </c>
      <c r="C8" s="78" t="s">
        <v>551</v>
      </c>
      <c r="D8" s="79">
        <v>1.0</v>
      </c>
      <c r="E8" s="78" t="s">
        <v>552</v>
      </c>
      <c r="F8" s="78" t="s">
        <v>553</v>
      </c>
      <c r="G8" s="80">
        <v>0.007465277777777778</v>
      </c>
    </row>
    <row r="9">
      <c r="A9" s="77" t="s">
        <v>543</v>
      </c>
      <c r="B9" s="77" t="s">
        <v>544</v>
      </c>
      <c r="C9" s="78" t="s">
        <v>551</v>
      </c>
      <c r="D9" s="79">
        <v>1.0</v>
      </c>
      <c r="E9" s="78" t="s">
        <v>552</v>
      </c>
      <c r="F9" s="78" t="s">
        <v>554</v>
      </c>
      <c r="G9" s="80">
        <v>0.005324074074074074</v>
      </c>
    </row>
    <row r="10">
      <c r="A10" s="77" t="s">
        <v>543</v>
      </c>
      <c r="B10" s="77" t="s">
        <v>544</v>
      </c>
      <c r="C10" s="78" t="s">
        <v>551</v>
      </c>
      <c r="D10" s="79">
        <v>2.0</v>
      </c>
      <c r="E10" s="78" t="s">
        <v>555</v>
      </c>
      <c r="F10" s="78" t="s">
        <v>556</v>
      </c>
      <c r="G10" s="80">
        <v>0.005509259259259259</v>
      </c>
    </row>
    <row r="11">
      <c r="A11" s="77" t="s">
        <v>543</v>
      </c>
      <c r="B11" s="77" t="s">
        <v>544</v>
      </c>
      <c r="C11" s="78" t="s">
        <v>551</v>
      </c>
      <c r="D11" s="79">
        <v>2.0</v>
      </c>
      <c r="E11" s="78" t="s">
        <v>555</v>
      </c>
      <c r="F11" s="78" t="s">
        <v>557</v>
      </c>
      <c r="G11" s="80">
        <v>0.008506944444444444</v>
      </c>
    </row>
    <row r="12">
      <c r="A12" s="77" t="s">
        <v>543</v>
      </c>
      <c r="B12" s="77" t="s">
        <v>544</v>
      </c>
      <c r="C12" s="78" t="s">
        <v>551</v>
      </c>
      <c r="D12" s="79">
        <v>2.0</v>
      </c>
      <c r="E12" s="78" t="s">
        <v>555</v>
      </c>
      <c r="F12" s="78" t="s">
        <v>1072</v>
      </c>
      <c r="G12" s="80">
        <v>0.005567129629629629</v>
      </c>
    </row>
    <row r="13">
      <c r="A13" s="77" t="s">
        <v>543</v>
      </c>
      <c r="B13" s="77" t="s">
        <v>544</v>
      </c>
      <c r="C13" s="78" t="s">
        <v>551</v>
      </c>
      <c r="D13" s="79">
        <v>2.0</v>
      </c>
      <c r="E13" s="78" t="s">
        <v>555</v>
      </c>
      <c r="F13" s="78" t="s">
        <v>558</v>
      </c>
      <c r="G13" s="80">
        <v>0.005393518518518519</v>
      </c>
    </row>
    <row r="14">
      <c r="A14" s="77" t="s">
        <v>543</v>
      </c>
      <c r="B14" s="77" t="s">
        <v>544</v>
      </c>
      <c r="C14" s="78" t="s">
        <v>551</v>
      </c>
      <c r="D14" s="79">
        <v>2.0</v>
      </c>
      <c r="E14" s="78" t="s">
        <v>555</v>
      </c>
      <c r="F14" s="78" t="s">
        <v>559</v>
      </c>
      <c r="G14" s="80">
        <v>0.010162037037037037</v>
      </c>
    </row>
    <row r="15">
      <c r="A15" s="77" t="s">
        <v>543</v>
      </c>
      <c r="B15" s="77" t="s">
        <v>544</v>
      </c>
      <c r="C15" s="78" t="s">
        <v>551</v>
      </c>
      <c r="D15" s="79">
        <v>2.0</v>
      </c>
      <c r="E15" s="78" t="s">
        <v>555</v>
      </c>
      <c r="F15" s="78" t="s">
        <v>560</v>
      </c>
      <c r="G15" s="80">
        <v>0.00681712962962963</v>
      </c>
    </row>
    <row r="16">
      <c r="A16" s="77" t="s">
        <v>543</v>
      </c>
      <c r="B16" s="77" t="s">
        <v>544</v>
      </c>
      <c r="C16" s="78" t="s">
        <v>551</v>
      </c>
      <c r="D16" s="79">
        <v>2.0</v>
      </c>
      <c r="E16" s="78" t="s">
        <v>555</v>
      </c>
      <c r="F16" s="78" t="s">
        <v>561</v>
      </c>
      <c r="G16" s="80">
        <v>0.001979166666666667</v>
      </c>
    </row>
    <row r="17">
      <c r="A17" s="77" t="s">
        <v>543</v>
      </c>
      <c r="B17" s="77" t="s">
        <v>544</v>
      </c>
      <c r="C17" s="78" t="s">
        <v>551</v>
      </c>
      <c r="D17" s="79">
        <v>2.0</v>
      </c>
      <c r="E17" s="78" t="s">
        <v>555</v>
      </c>
      <c r="F17" s="78" t="s">
        <v>562</v>
      </c>
      <c r="G17" s="80">
        <v>0.020833333333333332</v>
      </c>
    </row>
    <row r="18">
      <c r="A18" s="77" t="s">
        <v>543</v>
      </c>
      <c r="B18" s="77" t="s">
        <v>544</v>
      </c>
      <c r="C18" s="78" t="s">
        <v>551</v>
      </c>
      <c r="D18" s="79">
        <v>3.0</v>
      </c>
      <c r="E18" s="78" t="s">
        <v>563</v>
      </c>
      <c r="F18" s="78" t="s">
        <v>564</v>
      </c>
      <c r="G18" s="80">
        <v>0.006666666666666667</v>
      </c>
    </row>
    <row r="19">
      <c r="A19" s="77" t="s">
        <v>543</v>
      </c>
      <c r="B19" s="77" t="s">
        <v>544</v>
      </c>
      <c r="C19" s="78" t="s">
        <v>551</v>
      </c>
      <c r="D19" s="79">
        <v>3.0</v>
      </c>
      <c r="E19" s="78" t="s">
        <v>563</v>
      </c>
      <c r="F19" s="78" t="s">
        <v>565</v>
      </c>
      <c r="G19" s="80">
        <v>0.00738425925925926</v>
      </c>
    </row>
    <row r="20">
      <c r="A20" s="77" t="s">
        <v>543</v>
      </c>
      <c r="B20" s="77" t="s">
        <v>544</v>
      </c>
      <c r="C20" s="78" t="s">
        <v>551</v>
      </c>
      <c r="D20" s="79">
        <v>3.0</v>
      </c>
      <c r="E20" s="78" t="s">
        <v>563</v>
      </c>
      <c r="F20" s="78" t="s">
        <v>566</v>
      </c>
      <c r="G20" s="80">
        <v>0.004085648148148148</v>
      </c>
    </row>
    <row r="21">
      <c r="A21" s="77" t="s">
        <v>543</v>
      </c>
      <c r="B21" s="77" t="s">
        <v>544</v>
      </c>
      <c r="C21" s="78" t="s">
        <v>551</v>
      </c>
      <c r="D21" s="79">
        <v>3.0</v>
      </c>
      <c r="E21" s="78" t="s">
        <v>563</v>
      </c>
      <c r="F21" s="78" t="s">
        <v>567</v>
      </c>
      <c r="G21" s="80">
        <v>0.020833333333333332</v>
      </c>
    </row>
    <row r="22">
      <c r="A22" s="77" t="s">
        <v>543</v>
      </c>
      <c r="B22" s="77" t="s">
        <v>544</v>
      </c>
      <c r="C22" s="78" t="s">
        <v>551</v>
      </c>
      <c r="D22" s="79">
        <v>3.0</v>
      </c>
      <c r="E22" s="78" t="s">
        <v>563</v>
      </c>
      <c r="F22" s="78" t="s">
        <v>568</v>
      </c>
      <c r="G22" s="80">
        <v>0.020833333333333332</v>
      </c>
    </row>
    <row r="23">
      <c r="A23" s="77" t="s">
        <v>543</v>
      </c>
      <c r="B23" s="77" t="s">
        <v>544</v>
      </c>
      <c r="C23" s="78" t="s">
        <v>551</v>
      </c>
      <c r="D23" s="79">
        <v>4.0</v>
      </c>
      <c r="E23" s="78" t="s">
        <v>569</v>
      </c>
      <c r="F23" s="78" t="s">
        <v>570</v>
      </c>
      <c r="G23" s="80">
        <v>0.0125</v>
      </c>
    </row>
    <row r="24">
      <c r="A24" s="77" t="s">
        <v>543</v>
      </c>
      <c r="B24" s="77" t="s">
        <v>544</v>
      </c>
      <c r="C24" s="78" t="s">
        <v>551</v>
      </c>
      <c r="D24" s="79">
        <v>4.0</v>
      </c>
      <c r="E24" s="78" t="s">
        <v>569</v>
      </c>
      <c r="F24" s="78" t="s">
        <v>571</v>
      </c>
      <c r="G24" s="80">
        <v>0.010578703703703703</v>
      </c>
    </row>
    <row r="25">
      <c r="A25" s="77" t="s">
        <v>543</v>
      </c>
      <c r="B25" s="77" t="s">
        <v>544</v>
      </c>
      <c r="C25" s="78" t="s">
        <v>551</v>
      </c>
      <c r="D25" s="79">
        <v>4.0</v>
      </c>
      <c r="E25" s="78" t="s">
        <v>569</v>
      </c>
      <c r="F25" s="78" t="s">
        <v>572</v>
      </c>
      <c r="G25" s="80">
        <v>0.009432870370370371</v>
      </c>
    </row>
    <row r="26">
      <c r="A26" s="77" t="s">
        <v>543</v>
      </c>
      <c r="B26" s="77" t="s">
        <v>544</v>
      </c>
      <c r="C26" s="78" t="s">
        <v>551</v>
      </c>
      <c r="D26" s="79">
        <v>4.0</v>
      </c>
      <c r="E26" s="78" t="s">
        <v>569</v>
      </c>
      <c r="F26" s="78" t="s">
        <v>573</v>
      </c>
      <c r="G26" s="80">
        <v>0.010972222222222222</v>
      </c>
    </row>
    <row r="27">
      <c r="A27" s="77" t="s">
        <v>543</v>
      </c>
      <c r="B27" s="77" t="s">
        <v>544</v>
      </c>
      <c r="C27" s="78" t="s">
        <v>551</v>
      </c>
      <c r="D27" s="79">
        <v>4.0</v>
      </c>
      <c r="E27" s="78" t="s">
        <v>569</v>
      </c>
      <c r="F27" s="78" t="s">
        <v>574</v>
      </c>
      <c r="G27" s="80">
        <v>0.003310185185185185</v>
      </c>
    </row>
    <row r="28">
      <c r="A28" s="77" t="s">
        <v>543</v>
      </c>
      <c r="B28" s="77" t="s">
        <v>544</v>
      </c>
      <c r="C28" s="78" t="s">
        <v>551</v>
      </c>
      <c r="D28" s="79">
        <v>4.0</v>
      </c>
      <c r="E28" s="78" t="s">
        <v>569</v>
      </c>
      <c r="F28" s="78" t="s">
        <v>1073</v>
      </c>
      <c r="G28" s="80">
        <v>0.009143518518518518</v>
      </c>
    </row>
    <row r="29">
      <c r="A29" s="77" t="s">
        <v>543</v>
      </c>
      <c r="B29" s="77" t="s">
        <v>544</v>
      </c>
      <c r="C29" s="78" t="s">
        <v>551</v>
      </c>
      <c r="D29" s="79">
        <v>4.0</v>
      </c>
      <c r="E29" s="78" t="s">
        <v>569</v>
      </c>
      <c r="F29" s="78" t="s">
        <v>1074</v>
      </c>
      <c r="G29" s="80">
        <v>0.00880787037037037</v>
      </c>
    </row>
    <row r="30">
      <c r="A30" s="77" t="s">
        <v>543</v>
      </c>
      <c r="B30" s="77" t="s">
        <v>544</v>
      </c>
      <c r="C30" s="78" t="s">
        <v>551</v>
      </c>
      <c r="D30" s="79">
        <v>4.0</v>
      </c>
      <c r="E30" s="78" t="s">
        <v>569</v>
      </c>
      <c r="F30" s="78" t="s">
        <v>575</v>
      </c>
      <c r="G30" s="80">
        <v>0.007604166666666667</v>
      </c>
    </row>
    <row r="31">
      <c r="A31" s="77" t="s">
        <v>543</v>
      </c>
      <c r="B31" s="77" t="s">
        <v>544</v>
      </c>
      <c r="C31" s="78" t="s">
        <v>551</v>
      </c>
      <c r="D31" s="79">
        <v>4.0</v>
      </c>
      <c r="E31" s="78" t="s">
        <v>569</v>
      </c>
      <c r="F31" s="78" t="s">
        <v>576</v>
      </c>
      <c r="G31" s="80">
        <v>0.041666666666666664</v>
      </c>
    </row>
    <row r="32">
      <c r="A32" s="77" t="s">
        <v>543</v>
      </c>
      <c r="B32" s="77" t="s">
        <v>544</v>
      </c>
      <c r="C32" s="78" t="s">
        <v>551</v>
      </c>
      <c r="D32" s="79">
        <v>4.0</v>
      </c>
      <c r="E32" s="78" t="s">
        <v>569</v>
      </c>
      <c r="F32" s="78" t="s">
        <v>577</v>
      </c>
      <c r="G32" s="80">
        <v>0.03125</v>
      </c>
    </row>
    <row r="33">
      <c r="A33" s="77" t="s">
        <v>543</v>
      </c>
      <c r="B33" s="77" t="s">
        <v>544</v>
      </c>
      <c r="C33" s="78" t="s">
        <v>578</v>
      </c>
      <c r="D33" s="79">
        <v>1.0</v>
      </c>
      <c r="E33" s="78" t="s">
        <v>579</v>
      </c>
      <c r="F33" s="78" t="s">
        <v>1075</v>
      </c>
      <c r="G33" s="80">
        <v>0.01224537037037037</v>
      </c>
    </row>
    <row r="34">
      <c r="A34" s="77" t="s">
        <v>543</v>
      </c>
      <c r="B34" s="77" t="s">
        <v>544</v>
      </c>
      <c r="C34" s="78" t="s">
        <v>578</v>
      </c>
      <c r="D34" s="79">
        <v>1.0</v>
      </c>
      <c r="E34" s="78" t="s">
        <v>579</v>
      </c>
      <c r="F34" s="78" t="s">
        <v>580</v>
      </c>
      <c r="G34" s="80">
        <v>0.009016203703703703</v>
      </c>
    </row>
    <row r="35">
      <c r="A35" s="77" t="s">
        <v>543</v>
      </c>
      <c r="B35" s="77" t="s">
        <v>544</v>
      </c>
      <c r="C35" s="78" t="s">
        <v>578</v>
      </c>
      <c r="D35" s="79">
        <v>1.0</v>
      </c>
      <c r="E35" s="78" t="s">
        <v>579</v>
      </c>
      <c r="F35" s="78" t="s">
        <v>581</v>
      </c>
      <c r="G35" s="80">
        <v>0.005729166666666666</v>
      </c>
    </row>
    <row r="36">
      <c r="A36" s="77" t="s">
        <v>543</v>
      </c>
      <c r="B36" s="77" t="s">
        <v>544</v>
      </c>
      <c r="C36" s="78" t="s">
        <v>578</v>
      </c>
      <c r="D36" s="79">
        <v>1.0</v>
      </c>
      <c r="E36" s="78" t="s">
        <v>579</v>
      </c>
      <c r="F36" s="78" t="s">
        <v>582</v>
      </c>
      <c r="G36" s="80">
        <v>0.004189814814814815</v>
      </c>
    </row>
    <row r="37">
      <c r="A37" s="77" t="s">
        <v>543</v>
      </c>
      <c r="B37" s="77" t="s">
        <v>544</v>
      </c>
      <c r="C37" s="78" t="s">
        <v>578</v>
      </c>
      <c r="D37" s="79">
        <v>2.0</v>
      </c>
      <c r="E37" s="78" t="s">
        <v>583</v>
      </c>
      <c r="F37" s="78" t="s">
        <v>584</v>
      </c>
      <c r="G37" s="80">
        <v>0.004583333333333333</v>
      </c>
    </row>
    <row r="38">
      <c r="A38" s="77" t="s">
        <v>543</v>
      </c>
      <c r="B38" s="77" t="s">
        <v>544</v>
      </c>
      <c r="C38" s="78" t="s">
        <v>578</v>
      </c>
      <c r="D38" s="79">
        <v>2.0</v>
      </c>
      <c r="E38" s="78" t="s">
        <v>583</v>
      </c>
      <c r="F38" s="78" t="s">
        <v>585</v>
      </c>
      <c r="G38" s="80">
        <v>0.00681712962962963</v>
      </c>
    </row>
    <row r="39">
      <c r="A39" s="77" t="s">
        <v>543</v>
      </c>
      <c r="B39" s="77" t="s">
        <v>544</v>
      </c>
      <c r="C39" s="78" t="s">
        <v>578</v>
      </c>
      <c r="D39" s="79">
        <v>2.0</v>
      </c>
      <c r="E39" s="78" t="s">
        <v>583</v>
      </c>
      <c r="F39" s="78" t="s">
        <v>587</v>
      </c>
      <c r="G39" s="80">
        <v>0.0038657407407407408</v>
      </c>
    </row>
    <row r="40">
      <c r="A40" s="77" t="s">
        <v>543</v>
      </c>
      <c r="B40" s="77" t="s">
        <v>544</v>
      </c>
      <c r="C40" s="78" t="s">
        <v>578</v>
      </c>
      <c r="D40" s="79">
        <v>2.0</v>
      </c>
      <c r="E40" s="78" t="s">
        <v>583</v>
      </c>
      <c r="F40" s="78" t="s">
        <v>1076</v>
      </c>
      <c r="G40" s="80">
        <v>0.011076388888888889</v>
      </c>
    </row>
    <row r="41">
      <c r="A41" s="77" t="s">
        <v>543</v>
      </c>
      <c r="B41" s="77" t="s">
        <v>544</v>
      </c>
      <c r="C41" s="78" t="s">
        <v>578</v>
      </c>
      <c r="D41" s="79">
        <v>2.0</v>
      </c>
      <c r="E41" s="78" t="s">
        <v>583</v>
      </c>
      <c r="F41" s="78" t="s">
        <v>588</v>
      </c>
      <c r="G41" s="80">
        <v>0.003923611111111111</v>
      </c>
    </row>
    <row r="42">
      <c r="A42" s="77" t="s">
        <v>543</v>
      </c>
      <c r="B42" s="77" t="s">
        <v>544</v>
      </c>
      <c r="C42" s="78" t="s">
        <v>578</v>
      </c>
      <c r="D42" s="79">
        <v>3.0</v>
      </c>
      <c r="E42" s="78" t="s">
        <v>589</v>
      </c>
      <c r="F42" s="78" t="s">
        <v>591</v>
      </c>
      <c r="G42" s="80">
        <v>0.0031944444444444446</v>
      </c>
    </row>
    <row r="43">
      <c r="A43" s="77" t="s">
        <v>543</v>
      </c>
      <c r="B43" s="77" t="s">
        <v>544</v>
      </c>
      <c r="C43" s="78" t="s">
        <v>578</v>
      </c>
      <c r="D43" s="79">
        <v>3.0</v>
      </c>
      <c r="E43" s="78" t="s">
        <v>589</v>
      </c>
      <c r="F43" s="78" t="s">
        <v>592</v>
      </c>
      <c r="G43" s="80">
        <v>0.005648148148148148</v>
      </c>
    </row>
    <row r="44">
      <c r="A44" s="77" t="s">
        <v>543</v>
      </c>
      <c r="B44" s="77" t="s">
        <v>544</v>
      </c>
      <c r="C44" s="78" t="s">
        <v>578</v>
      </c>
      <c r="D44" s="79">
        <v>3.0</v>
      </c>
      <c r="E44" s="78" t="s">
        <v>589</v>
      </c>
      <c r="F44" s="78" t="s">
        <v>593</v>
      </c>
      <c r="G44" s="80">
        <v>0.005138888888888889</v>
      </c>
    </row>
    <row r="45">
      <c r="A45" s="77" t="s">
        <v>543</v>
      </c>
      <c r="B45" s="77" t="s">
        <v>544</v>
      </c>
      <c r="C45" s="78" t="s">
        <v>578</v>
      </c>
      <c r="D45" s="79">
        <v>3.0</v>
      </c>
      <c r="E45" s="78" t="s">
        <v>589</v>
      </c>
      <c r="F45" s="78" t="s">
        <v>1077</v>
      </c>
      <c r="G45" s="80">
        <v>0.004340277777777778</v>
      </c>
    </row>
    <row r="46">
      <c r="A46" s="77" t="s">
        <v>543</v>
      </c>
      <c r="B46" s="77" t="s">
        <v>544</v>
      </c>
      <c r="C46" s="78" t="s">
        <v>578</v>
      </c>
      <c r="D46" s="79">
        <v>3.0</v>
      </c>
      <c r="E46" s="78" t="s">
        <v>589</v>
      </c>
      <c r="F46" s="78" t="s">
        <v>594</v>
      </c>
      <c r="G46" s="80">
        <v>0.004884259259259259</v>
      </c>
    </row>
    <row r="47">
      <c r="A47" s="77" t="s">
        <v>543</v>
      </c>
      <c r="B47" s="77" t="s">
        <v>544</v>
      </c>
      <c r="C47" s="78" t="s">
        <v>578</v>
      </c>
      <c r="D47" s="79">
        <v>3.0</v>
      </c>
      <c r="E47" s="78" t="s">
        <v>589</v>
      </c>
      <c r="F47" s="78" t="s">
        <v>595</v>
      </c>
      <c r="G47" s="80">
        <v>0.0625</v>
      </c>
    </row>
    <row r="48">
      <c r="A48" s="77" t="s">
        <v>543</v>
      </c>
      <c r="B48" s="77" t="s">
        <v>544</v>
      </c>
      <c r="C48" s="78" t="s">
        <v>596</v>
      </c>
      <c r="D48" s="79">
        <v>1.0</v>
      </c>
      <c r="E48" s="78" t="s">
        <v>597</v>
      </c>
      <c r="F48" s="78" t="s">
        <v>599</v>
      </c>
      <c r="G48" s="80">
        <v>0.0043287037037037035</v>
      </c>
    </row>
    <row r="49">
      <c r="A49" s="77" t="s">
        <v>543</v>
      </c>
      <c r="B49" s="77" t="s">
        <v>544</v>
      </c>
      <c r="C49" s="78" t="s">
        <v>596</v>
      </c>
      <c r="D49" s="79">
        <v>1.0</v>
      </c>
      <c r="E49" s="78" t="s">
        <v>597</v>
      </c>
      <c r="F49" s="78" t="s">
        <v>600</v>
      </c>
      <c r="G49" s="80">
        <v>0.0020833333333333333</v>
      </c>
    </row>
    <row r="50">
      <c r="A50" s="77" t="s">
        <v>543</v>
      </c>
      <c r="B50" s="77" t="s">
        <v>544</v>
      </c>
      <c r="C50" s="78" t="s">
        <v>596</v>
      </c>
      <c r="D50" s="79">
        <v>1.0</v>
      </c>
      <c r="E50" s="78" t="s">
        <v>597</v>
      </c>
      <c r="F50" s="78" t="s">
        <v>1078</v>
      </c>
      <c r="G50" s="80">
        <v>0.009328703703703704</v>
      </c>
    </row>
    <row r="51">
      <c r="A51" s="77" t="s">
        <v>543</v>
      </c>
      <c r="B51" s="77" t="s">
        <v>544</v>
      </c>
      <c r="C51" s="78" t="s">
        <v>596</v>
      </c>
      <c r="D51" s="79">
        <v>2.0</v>
      </c>
      <c r="E51" s="78" t="s">
        <v>601</v>
      </c>
      <c r="F51" s="78" t="s">
        <v>603</v>
      </c>
      <c r="G51" s="80">
        <v>0.009548611111111112</v>
      </c>
    </row>
    <row r="52">
      <c r="A52" s="77" t="s">
        <v>543</v>
      </c>
      <c r="B52" s="77" t="s">
        <v>544</v>
      </c>
      <c r="C52" s="78" t="s">
        <v>596</v>
      </c>
      <c r="D52" s="79">
        <v>2.0</v>
      </c>
      <c r="E52" s="78" t="s">
        <v>601</v>
      </c>
      <c r="F52" s="78" t="s">
        <v>604</v>
      </c>
      <c r="G52" s="80">
        <v>0.0028125</v>
      </c>
    </row>
    <row r="53">
      <c r="A53" s="77" t="s">
        <v>543</v>
      </c>
      <c r="B53" s="77" t="s">
        <v>544</v>
      </c>
      <c r="C53" s="78" t="s">
        <v>596</v>
      </c>
      <c r="D53" s="79">
        <v>2.0</v>
      </c>
      <c r="E53" s="78" t="s">
        <v>601</v>
      </c>
      <c r="F53" s="78" t="s">
        <v>605</v>
      </c>
      <c r="G53" s="80">
        <v>0.01005787037037037</v>
      </c>
    </row>
    <row r="54">
      <c r="A54" s="77" t="s">
        <v>543</v>
      </c>
      <c r="B54" s="77" t="s">
        <v>544</v>
      </c>
      <c r="C54" s="78" t="s">
        <v>596</v>
      </c>
      <c r="D54" s="79">
        <v>2.0</v>
      </c>
      <c r="E54" s="78" t="s">
        <v>601</v>
      </c>
      <c r="F54" s="78" t="s">
        <v>606</v>
      </c>
      <c r="G54" s="80">
        <v>0.001412037037037037</v>
      </c>
    </row>
    <row r="55">
      <c r="A55" s="77" t="s">
        <v>543</v>
      </c>
      <c r="B55" s="77" t="s">
        <v>544</v>
      </c>
      <c r="C55" s="78" t="s">
        <v>596</v>
      </c>
      <c r="D55" s="79">
        <v>2.0</v>
      </c>
      <c r="E55" s="78" t="s">
        <v>601</v>
      </c>
      <c r="F55" s="78" t="s">
        <v>607</v>
      </c>
      <c r="G55" s="80">
        <v>0.0031944444444444446</v>
      </c>
    </row>
    <row r="56">
      <c r="A56" s="77" t="s">
        <v>543</v>
      </c>
      <c r="B56" s="77" t="s">
        <v>544</v>
      </c>
      <c r="C56" s="78" t="s">
        <v>596</v>
      </c>
      <c r="D56" s="79">
        <v>2.0</v>
      </c>
      <c r="E56" s="78" t="s">
        <v>601</v>
      </c>
      <c r="F56" s="78" t="s">
        <v>608</v>
      </c>
      <c r="G56" s="80">
        <v>0.0625</v>
      </c>
    </row>
    <row r="57">
      <c r="A57" s="77" t="s">
        <v>543</v>
      </c>
      <c r="B57" s="77" t="s">
        <v>544</v>
      </c>
      <c r="C57" s="78" t="s">
        <v>609</v>
      </c>
      <c r="D57" s="79">
        <v>1.0</v>
      </c>
      <c r="E57" s="78" t="s">
        <v>610</v>
      </c>
      <c r="F57" s="78" t="s">
        <v>137</v>
      </c>
      <c r="G57" s="80">
        <v>0.003414351851851852</v>
      </c>
    </row>
    <row r="58">
      <c r="A58" s="77" t="s">
        <v>543</v>
      </c>
      <c r="B58" s="77" t="s">
        <v>544</v>
      </c>
      <c r="C58" s="78" t="s">
        <v>609</v>
      </c>
      <c r="D58" s="79">
        <v>1.0</v>
      </c>
      <c r="E58" s="78" t="s">
        <v>610</v>
      </c>
      <c r="F58" s="78" t="s">
        <v>611</v>
      </c>
      <c r="G58" s="80">
        <v>0.011990740740740741</v>
      </c>
    </row>
    <row r="59">
      <c r="A59" s="77" t="s">
        <v>543</v>
      </c>
      <c r="B59" s="77" t="s">
        <v>544</v>
      </c>
      <c r="C59" s="78" t="s">
        <v>609</v>
      </c>
      <c r="D59" s="79">
        <v>1.0</v>
      </c>
      <c r="E59" s="78" t="s">
        <v>610</v>
      </c>
      <c r="F59" s="78" t="s">
        <v>1079</v>
      </c>
      <c r="G59" s="80">
        <v>0.0029976851851851853</v>
      </c>
    </row>
    <row r="60">
      <c r="A60" s="77" t="s">
        <v>543</v>
      </c>
      <c r="B60" s="77" t="s">
        <v>544</v>
      </c>
      <c r="C60" s="78" t="s">
        <v>609</v>
      </c>
      <c r="D60" s="79">
        <v>2.0</v>
      </c>
      <c r="E60" s="78" t="s">
        <v>612</v>
      </c>
      <c r="F60" s="78" t="s">
        <v>614</v>
      </c>
      <c r="G60" s="80">
        <v>0.007418981481481481</v>
      </c>
    </row>
    <row r="61">
      <c r="A61" s="77" t="s">
        <v>543</v>
      </c>
      <c r="B61" s="77" t="s">
        <v>544</v>
      </c>
      <c r="C61" s="78" t="s">
        <v>609</v>
      </c>
      <c r="D61" s="79">
        <v>2.0</v>
      </c>
      <c r="E61" s="78" t="s">
        <v>612</v>
      </c>
      <c r="F61" s="78" t="s">
        <v>615</v>
      </c>
      <c r="G61" s="80">
        <v>0.0018055555555555555</v>
      </c>
    </row>
    <row r="62">
      <c r="A62" s="77" t="s">
        <v>543</v>
      </c>
      <c r="B62" s="77" t="s">
        <v>544</v>
      </c>
      <c r="C62" s="78" t="s">
        <v>609</v>
      </c>
      <c r="D62" s="79">
        <v>2.0</v>
      </c>
      <c r="E62" s="78" t="s">
        <v>612</v>
      </c>
      <c r="F62" s="78" t="s">
        <v>616</v>
      </c>
      <c r="G62" s="80">
        <v>0.0060879629629629626</v>
      </c>
    </row>
    <row r="63">
      <c r="A63" s="77" t="s">
        <v>543</v>
      </c>
      <c r="B63" s="77" t="s">
        <v>544</v>
      </c>
      <c r="C63" s="78" t="s">
        <v>609</v>
      </c>
      <c r="D63" s="79">
        <v>3.0</v>
      </c>
      <c r="E63" s="78" t="s">
        <v>617</v>
      </c>
      <c r="F63" s="78" t="s">
        <v>1080</v>
      </c>
      <c r="G63" s="80">
        <v>0.01849537037037037</v>
      </c>
    </row>
    <row r="64">
      <c r="A64" s="77" t="s">
        <v>543</v>
      </c>
      <c r="B64" s="77" t="s">
        <v>544</v>
      </c>
      <c r="C64" s="78" t="s">
        <v>609</v>
      </c>
      <c r="D64" s="79">
        <v>3.0</v>
      </c>
      <c r="E64" s="78" t="s">
        <v>617</v>
      </c>
      <c r="F64" s="78" t="s">
        <v>618</v>
      </c>
      <c r="G64" s="80">
        <v>0.016516203703703703</v>
      </c>
    </row>
    <row r="65">
      <c r="A65" s="77" t="s">
        <v>543</v>
      </c>
      <c r="B65" s="77" t="s">
        <v>544</v>
      </c>
      <c r="C65" s="78" t="s">
        <v>609</v>
      </c>
      <c r="D65" s="79">
        <v>3.0</v>
      </c>
      <c r="E65" s="78" t="s">
        <v>617</v>
      </c>
      <c r="F65" s="78" t="s">
        <v>619</v>
      </c>
      <c r="G65" s="80">
        <v>0.012534722222222221</v>
      </c>
    </row>
    <row r="66">
      <c r="A66" s="77" t="s">
        <v>543</v>
      </c>
      <c r="B66" s="77" t="s">
        <v>544</v>
      </c>
      <c r="C66" s="78" t="s">
        <v>609</v>
      </c>
      <c r="D66" s="79">
        <v>3.0</v>
      </c>
      <c r="E66" s="78" t="s">
        <v>617</v>
      </c>
      <c r="F66" s="78" t="s">
        <v>620</v>
      </c>
      <c r="G66" s="80">
        <v>0.01638888888888889</v>
      </c>
    </row>
    <row r="67">
      <c r="A67" s="77" t="s">
        <v>543</v>
      </c>
      <c r="B67" s="77" t="s">
        <v>544</v>
      </c>
      <c r="C67" s="78" t="s">
        <v>609</v>
      </c>
      <c r="D67" s="79">
        <v>3.0</v>
      </c>
      <c r="E67" s="78" t="s">
        <v>617</v>
      </c>
      <c r="F67" s="78" t="s">
        <v>292</v>
      </c>
      <c r="G67" s="80">
        <v>0.05555555555555555</v>
      </c>
    </row>
    <row r="68">
      <c r="A68" s="77" t="s">
        <v>543</v>
      </c>
      <c r="B68" s="77" t="s">
        <v>544</v>
      </c>
      <c r="C68" s="78" t="s">
        <v>609</v>
      </c>
      <c r="D68" s="79">
        <v>4.0</v>
      </c>
      <c r="E68" s="78" t="s">
        <v>621</v>
      </c>
      <c r="F68" s="78" t="s">
        <v>623</v>
      </c>
      <c r="G68" s="80">
        <v>0.003287037037037037</v>
      </c>
    </row>
    <row r="69">
      <c r="A69" s="77" t="s">
        <v>543</v>
      </c>
      <c r="B69" s="77" t="s">
        <v>544</v>
      </c>
      <c r="C69" s="78" t="s">
        <v>609</v>
      </c>
      <c r="D69" s="79">
        <v>4.0</v>
      </c>
      <c r="E69" s="78" t="s">
        <v>621</v>
      </c>
      <c r="F69" s="78" t="s">
        <v>624</v>
      </c>
      <c r="G69" s="80">
        <v>0.0026967592592592594</v>
      </c>
    </row>
    <row r="70">
      <c r="A70" s="77" t="s">
        <v>543</v>
      </c>
      <c r="B70" s="77" t="s">
        <v>544</v>
      </c>
      <c r="C70" s="78" t="s">
        <v>609</v>
      </c>
      <c r="D70" s="79">
        <v>4.0</v>
      </c>
      <c r="E70" s="78" t="s">
        <v>621</v>
      </c>
      <c r="F70" s="78" t="s">
        <v>625</v>
      </c>
      <c r="G70" s="80">
        <v>0.009085648148148148</v>
      </c>
    </row>
    <row r="71">
      <c r="A71" s="77" t="s">
        <v>543</v>
      </c>
      <c r="B71" s="77" t="s">
        <v>544</v>
      </c>
      <c r="C71" s="78" t="s">
        <v>609</v>
      </c>
      <c r="D71" s="79">
        <v>4.0</v>
      </c>
      <c r="E71" s="78" t="s">
        <v>621</v>
      </c>
      <c r="F71" s="78" t="s">
        <v>626</v>
      </c>
      <c r="G71" s="80">
        <v>0.0036226851851851854</v>
      </c>
    </row>
    <row r="72">
      <c r="A72" s="77" t="s">
        <v>543</v>
      </c>
      <c r="B72" s="77" t="s">
        <v>544</v>
      </c>
      <c r="C72" s="78" t="s">
        <v>609</v>
      </c>
      <c r="D72" s="79">
        <v>4.0</v>
      </c>
      <c r="E72" s="78" t="s">
        <v>621</v>
      </c>
      <c r="F72" s="78" t="s">
        <v>627</v>
      </c>
      <c r="G72" s="80">
        <v>0.0012268518518518518</v>
      </c>
    </row>
    <row r="73">
      <c r="A73" s="77" t="s">
        <v>543</v>
      </c>
      <c r="B73" s="77" t="s">
        <v>544</v>
      </c>
      <c r="C73" s="78" t="s">
        <v>609</v>
      </c>
      <c r="D73" s="79">
        <v>4.0</v>
      </c>
      <c r="E73" s="78" t="s">
        <v>621</v>
      </c>
      <c r="F73" s="78" t="s">
        <v>304</v>
      </c>
      <c r="G73" s="80">
        <v>0.05555555555555555</v>
      </c>
    </row>
    <row r="74">
      <c r="A74" s="77" t="s">
        <v>543</v>
      </c>
      <c r="B74" s="77" t="s">
        <v>544</v>
      </c>
      <c r="C74" s="78" t="s">
        <v>609</v>
      </c>
      <c r="D74" s="79">
        <v>4.0</v>
      </c>
      <c r="E74" s="78" t="s">
        <v>621</v>
      </c>
      <c r="F74" s="78" t="s">
        <v>307</v>
      </c>
      <c r="G74" s="80">
        <v>0.05555555555555555</v>
      </c>
    </row>
    <row r="75">
      <c r="A75" s="77" t="s">
        <v>543</v>
      </c>
      <c r="B75" s="77" t="s">
        <v>544</v>
      </c>
      <c r="C75" s="78" t="s">
        <v>609</v>
      </c>
      <c r="D75" s="79">
        <v>5.0</v>
      </c>
      <c r="E75" s="78" t="s">
        <v>628</v>
      </c>
      <c r="F75" s="78" t="s">
        <v>1081</v>
      </c>
      <c r="G75" s="80">
        <v>0.0014930555555555556</v>
      </c>
    </row>
    <row r="76">
      <c r="A76" s="77" t="s">
        <v>543</v>
      </c>
      <c r="B76" s="77" t="s">
        <v>544</v>
      </c>
      <c r="C76" s="78" t="s">
        <v>609</v>
      </c>
      <c r="D76" s="79">
        <v>5.0</v>
      </c>
      <c r="E76" s="78" t="s">
        <v>628</v>
      </c>
      <c r="F76" s="78" t="s">
        <v>1082</v>
      </c>
      <c r="G76" s="80">
        <v>0.009097222222222222</v>
      </c>
    </row>
    <row r="77">
      <c r="A77" s="77" t="s">
        <v>543</v>
      </c>
      <c r="B77" s="77" t="s">
        <v>544</v>
      </c>
      <c r="C77" s="78" t="s">
        <v>609</v>
      </c>
      <c r="D77" s="79">
        <v>5.0</v>
      </c>
      <c r="E77" s="78" t="s">
        <v>628</v>
      </c>
      <c r="F77" s="78" t="s">
        <v>308</v>
      </c>
      <c r="G77" s="80">
        <v>0.05555555555555555</v>
      </c>
    </row>
    <row r="78">
      <c r="A78" s="77" t="s">
        <v>543</v>
      </c>
      <c r="B78" s="77" t="s">
        <v>544</v>
      </c>
      <c r="C78" s="78" t="s">
        <v>609</v>
      </c>
      <c r="D78" s="79">
        <v>6.0</v>
      </c>
      <c r="E78" s="78" t="s">
        <v>629</v>
      </c>
      <c r="F78" s="78" t="s">
        <v>631</v>
      </c>
      <c r="G78" s="80">
        <v>0.004907407407407407</v>
      </c>
    </row>
    <row r="79">
      <c r="A79" s="77" t="s">
        <v>543</v>
      </c>
      <c r="B79" s="77" t="s">
        <v>544</v>
      </c>
      <c r="C79" s="78" t="s">
        <v>609</v>
      </c>
      <c r="D79" s="79">
        <v>6.0</v>
      </c>
      <c r="E79" s="78" t="s">
        <v>629</v>
      </c>
      <c r="F79" s="78" t="s">
        <v>1083</v>
      </c>
      <c r="G79" s="80">
        <v>0.005069444444444444</v>
      </c>
    </row>
    <row r="80">
      <c r="A80" s="77" t="s">
        <v>543</v>
      </c>
      <c r="B80" s="77" t="s">
        <v>544</v>
      </c>
      <c r="C80" s="78" t="s">
        <v>609</v>
      </c>
      <c r="D80" s="79">
        <v>6.0</v>
      </c>
      <c r="E80" s="78" t="s">
        <v>629</v>
      </c>
      <c r="F80" s="78" t="s">
        <v>632</v>
      </c>
      <c r="G80" s="80">
        <v>0.0020833333333333333</v>
      </c>
    </row>
    <row r="81">
      <c r="A81" s="77" t="s">
        <v>543</v>
      </c>
      <c r="B81" s="77" t="s">
        <v>544</v>
      </c>
      <c r="C81" s="78" t="s">
        <v>609</v>
      </c>
      <c r="D81" s="79">
        <v>7.0</v>
      </c>
      <c r="E81" s="78" t="s">
        <v>633</v>
      </c>
      <c r="F81" s="78" t="s">
        <v>635</v>
      </c>
      <c r="G81" s="80">
        <v>0.005648148148148148</v>
      </c>
    </row>
    <row r="82">
      <c r="A82" s="77" t="s">
        <v>543</v>
      </c>
      <c r="B82" s="77" t="s">
        <v>544</v>
      </c>
      <c r="C82" s="78" t="s">
        <v>609</v>
      </c>
      <c r="D82" s="79">
        <v>7.0</v>
      </c>
      <c r="E82" s="78" t="s">
        <v>633</v>
      </c>
      <c r="F82" s="78" t="s">
        <v>1084</v>
      </c>
      <c r="G82" s="80">
        <v>0.007326388888888889</v>
      </c>
    </row>
    <row r="83">
      <c r="A83" s="77" t="s">
        <v>543</v>
      </c>
      <c r="B83" s="77" t="s">
        <v>544</v>
      </c>
      <c r="C83" s="78" t="s">
        <v>609</v>
      </c>
      <c r="D83" s="79">
        <v>7.0</v>
      </c>
      <c r="E83" s="78" t="s">
        <v>633</v>
      </c>
      <c r="F83" s="78" t="s">
        <v>1085</v>
      </c>
      <c r="G83" s="80">
        <v>0.00125</v>
      </c>
    </row>
    <row r="84">
      <c r="A84" s="77" t="s">
        <v>543</v>
      </c>
      <c r="B84" s="77" t="s">
        <v>544</v>
      </c>
      <c r="C84" s="78" t="s">
        <v>609</v>
      </c>
      <c r="D84" s="79">
        <v>7.0</v>
      </c>
      <c r="E84" s="78" t="s">
        <v>633</v>
      </c>
      <c r="F84" s="78" t="s">
        <v>636</v>
      </c>
      <c r="G84" s="80">
        <v>0.0020833333333333333</v>
      </c>
    </row>
    <row r="85">
      <c r="A85" s="77" t="s">
        <v>543</v>
      </c>
      <c r="B85" s="77" t="s">
        <v>544</v>
      </c>
      <c r="C85" s="78" t="s">
        <v>609</v>
      </c>
      <c r="D85" s="79">
        <v>7.0</v>
      </c>
      <c r="E85" s="78" t="s">
        <v>633</v>
      </c>
      <c r="F85" s="78" t="s">
        <v>637</v>
      </c>
    </row>
    <row r="86">
      <c r="A86" s="77" t="s">
        <v>543</v>
      </c>
      <c r="B86" s="77" t="s">
        <v>544</v>
      </c>
      <c r="C86" s="78" t="s">
        <v>609</v>
      </c>
      <c r="D86" s="79">
        <v>7.0</v>
      </c>
      <c r="E86" s="78" t="s">
        <v>633</v>
      </c>
      <c r="F86" s="78" t="s">
        <v>1086</v>
      </c>
      <c r="G86" s="80">
        <v>0.0032291666666666666</v>
      </c>
    </row>
    <row r="87">
      <c r="A87" s="77" t="s">
        <v>543</v>
      </c>
      <c r="B87" s="77" t="s">
        <v>544</v>
      </c>
      <c r="C87" s="78" t="s">
        <v>609</v>
      </c>
      <c r="D87" s="79">
        <v>7.0</v>
      </c>
      <c r="E87" s="78" t="s">
        <v>633</v>
      </c>
      <c r="F87" s="78" t="s">
        <v>638</v>
      </c>
      <c r="G87" s="80">
        <v>0.0018171296296296297</v>
      </c>
    </row>
    <row r="88">
      <c r="A88" s="77" t="s">
        <v>543</v>
      </c>
      <c r="B88" s="77" t="s">
        <v>544</v>
      </c>
      <c r="C88" s="78" t="s">
        <v>609</v>
      </c>
      <c r="D88" s="79">
        <v>7.0</v>
      </c>
      <c r="E88" s="78" t="s">
        <v>633</v>
      </c>
      <c r="F88" s="78" t="s">
        <v>639</v>
      </c>
      <c r="G88" s="80">
        <v>0.0032291666666666666</v>
      </c>
    </row>
    <row r="89">
      <c r="A89" s="77" t="s">
        <v>543</v>
      </c>
      <c r="B89" s="77" t="s">
        <v>544</v>
      </c>
      <c r="C89" s="78" t="s">
        <v>609</v>
      </c>
      <c r="D89" s="79">
        <v>7.0</v>
      </c>
      <c r="E89" s="78" t="s">
        <v>633</v>
      </c>
      <c r="F89" s="78" t="s">
        <v>640</v>
      </c>
      <c r="G89" s="80">
        <v>0.0023148148148148147</v>
      </c>
    </row>
    <row r="90">
      <c r="A90" s="77" t="s">
        <v>543</v>
      </c>
      <c r="B90" s="77" t="s">
        <v>544</v>
      </c>
      <c r="C90" s="78" t="s">
        <v>609</v>
      </c>
      <c r="D90" s="79">
        <v>7.0</v>
      </c>
      <c r="E90" s="78" t="s">
        <v>633</v>
      </c>
      <c r="F90" s="78" t="s">
        <v>641</v>
      </c>
    </row>
    <row r="91">
      <c r="A91" s="77" t="s">
        <v>543</v>
      </c>
      <c r="B91" s="77" t="s">
        <v>544</v>
      </c>
      <c r="C91" s="78" t="s">
        <v>609</v>
      </c>
      <c r="D91" s="79">
        <v>7.0</v>
      </c>
      <c r="E91" s="78" t="s">
        <v>633</v>
      </c>
      <c r="F91" s="78" t="s">
        <v>642</v>
      </c>
    </row>
    <row r="92">
      <c r="A92" s="77" t="s">
        <v>543</v>
      </c>
      <c r="B92" s="77" t="s">
        <v>544</v>
      </c>
      <c r="C92" s="78" t="s">
        <v>609</v>
      </c>
      <c r="D92" s="79">
        <v>7.0</v>
      </c>
      <c r="E92" s="78" t="s">
        <v>633</v>
      </c>
      <c r="F92" s="78" t="s">
        <v>643</v>
      </c>
    </row>
    <row r="93">
      <c r="A93" s="77" t="s">
        <v>543</v>
      </c>
      <c r="B93" s="77" t="s">
        <v>544</v>
      </c>
      <c r="C93" s="78" t="s">
        <v>609</v>
      </c>
      <c r="D93" s="79">
        <v>7.0</v>
      </c>
      <c r="E93" s="78" t="s">
        <v>633</v>
      </c>
      <c r="F93" s="78" t="s">
        <v>644</v>
      </c>
      <c r="G93" s="80">
        <v>0.0014930555555555556</v>
      </c>
    </row>
    <row r="94">
      <c r="A94" s="77" t="s">
        <v>543</v>
      </c>
      <c r="B94" s="77" t="s">
        <v>544</v>
      </c>
      <c r="C94" s="78" t="s">
        <v>609</v>
      </c>
      <c r="D94" s="79">
        <v>7.0</v>
      </c>
      <c r="E94" s="78" t="s">
        <v>633</v>
      </c>
      <c r="F94" s="78" t="s">
        <v>645</v>
      </c>
      <c r="G94" s="80">
        <v>0.002766203703703704</v>
      </c>
    </row>
    <row r="95">
      <c r="A95" s="77" t="s">
        <v>543</v>
      </c>
      <c r="B95" s="77" t="s">
        <v>544</v>
      </c>
      <c r="C95" s="78" t="s">
        <v>609</v>
      </c>
      <c r="D95" s="79">
        <v>7.0</v>
      </c>
      <c r="E95" s="78" t="s">
        <v>633</v>
      </c>
      <c r="F95" s="78" t="s">
        <v>1087</v>
      </c>
      <c r="G95" s="80">
        <v>0.0059375</v>
      </c>
    </row>
    <row r="96">
      <c r="A96" s="77" t="s">
        <v>543</v>
      </c>
      <c r="B96" s="77" t="s">
        <v>544</v>
      </c>
      <c r="C96" s="78" t="s">
        <v>609</v>
      </c>
      <c r="D96" s="79">
        <v>7.0</v>
      </c>
      <c r="E96" s="78" t="s">
        <v>633</v>
      </c>
      <c r="F96" s="78" t="s">
        <v>646</v>
      </c>
    </row>
    <row r="97">
      <c r="A97" s="77" t="s">
        <v>543</v>
      </c>
      <c r="B97" s="77" t="s">
        <v>544</v>
      </c>
      <c r="C97" s="78" t="s">
        <v>609</v>
      </c>
      <c r="D97" s="79">
        <v>7.0</v>
      </c>
      <c r="E97" s="78" t="s">
        <v>633</v>
      </c>
      <c r="F97" s="78" t="s">
        <v>647</v>
      </c>
      <c r="G97" s="80">
        <v>0.002476851851851852</v>
      </c>
    </row>
    <row r="98">
      <c r="A98" s="77" t="s">
        <v>543</v>
      </c>
      <c r="B98" s="77" t="s">
        <v>544</v>
      </c>
      <c r="C98" s="78" t="s">
        <v>609</v>
      </c>
      <c r="D98" s="79">
        <v>7.0</v>
      </c>
      <c r="E98" s="78" t="s">
        <v>633</v>
      </c>
      <c r="F98" s="78" t="s">
        <v>648</v>
      </c>
    </row>
    <row r="99">
      <c r="A99" s="77" t="s">
        <v>543</v>
      </c>
      <c r="B99" s="77" t="s">
        <v>544</v>
      </c>
      <c r="C99" s="78" t="s">
        <v>609</v>
      </c>
      <c r="D99" s="79">
        <v>7.0</v>
      </c>
      <c r="E99" s="78" t="s">
        <v>633</v>
      </c>
      <c r="F99" s="78" t="s">
        <v>649</v>
      </c>
    </row>
    <row r="100">
      <c r="A100" s="77" t="s">
        <v>543</v>
      </c>
      <c r="B100" s="77" t="s">
        <v>544</v>
      </c>
      <c r="C100" s="78" t="s">
        <v>609</v>
      </c>
      <c r="D100" s="79">
        <v>7.0</v>
      </c>
      <c r="E100" s="78" t="s">
        <v>633</v>
      </c>
      <c r="F100" s="78" t="s">
        <v>650</v>
      </c>
    </row>
    <row r="101">
      <c r="A101" s="77" t="s">
        <v>543</v>
      </c>
      <c r="B101" s="77" t="s">
        <v>544</v>
      </c>
      <c r="C101" s="78" t="s">
        <v>609</v>
      </c>
      <c r="D101" s="79">
        <v>7.0</v>
      </c>
      <c r="E101" s="78" t="s">
        <v>633</v>
      </c>
      <c r="F101" s="78" t="s">
        <v>1088</v>
      </c>
    </row>
    <row r="102">
      <c r="A102" s="77" t="s">
        <v>543</v>
      </c>
      <c r="B102" s="77" t="s">
        <v>544</v>
      </c>
      <c r="C102" s="78" t="s">
        <v>609</v>
      </c>
      <c r="D102" s="79">
        <v>7.0</v>
      </c>
      <c r="E102" s="78" t="s">
        <v>633</v>
      </c>
      <c r="F102" s="78" t="s">
        <v>323</v>
      </c>
      <c r="G102" s="80">
        <v>0.05555555555555555</v>
      </c>
    </row>
    <row r="103">
      <c r="A103" s="77" t="s">
        <v>543</v>
      </c>
      <c r="B103" s="77" t="s">
        <v>544</v>
      </c>
      <c r="C103" s="78" t="s">
        <v>609</v>
      </c>
      <c r="D103" s="79">
        <v>7.0</v>
      </c>
      <c r="E103" s="78" t="s">
        <v>633</v>
      </c>
      <c r="F103" s="78" t="s">
        <v>324</v>
      </c>
      <c r="G103" s="80">
        <v>0.013888888888888888</v>
      </c>
    </row>
    <row r="104">
      <c r="A104" s="77" t="s">
        <v>543</v>
      </c>
      <c r="B104" s="77" t="s">
        <v>544</v>
      </c>
      <c r="C104" s="78" t="s">
        <v>609</v>
      </c>
      <c r="D104" s="79">
        <v>8.0</v>
      </c>
      <c r="E104" s="78" t="s">
        <v>651</v>
      </c>
      <c r="F104" s="78" t="s">
        <v>653</v>
      </c>
      <c r="G104" s="80">
        <v>0.0021759259259259258</v>
      </c>
    </row>
    <row r="105">
      <c r="A105" s="77" t="s">
        <v>543</v>
      </c>
      <c r="B105" s="77" t="s">
        <v>544</v>
      </c>
      <c r="C105" s="78" t="s">
        <v>609</v>
      </c>
      <c r="D105" s="79">
        <v>8.0</v>
      </c>
      <c r="E105" s="78" t="s">
        <v>651</v>
      </c>
      <c r="F105" s="78" t="s">
        <v>654</v>
      </c>
      <c r="G105" s="80">
        <v>0.0017013888888888888</v>
      </c>
    </row>
    <row r="106">
      <c r="A106" s="77" t="s">
        <v>543</v>
      </c>
      <c r="B106" s="77" t="s">
        <v>544</v>
      </c>
      <c r="C106" s="78" t="s">
        <v>609</v>
      </c>
      <c r="D106" s="79">
        <v>8.0</v>
      </c>
      <c r="E106" s="78" t="s">
        <v>651</v>
      </c>
      <c r="F106" s="78" t="s">
        <v>655</v>
      </c>
      <c r="G106" s="80">
        <v>0.0029976851851851853</v>
      </c>
    </row>
    <row r="107">
      <c r="A107" s="77" t="s">
        <v>543</v>
      </c>
      <c r="B107" s="77" t="s">
        <v>544</v>
      </c>
      <c r="C107" s="78" t="s">
        <v>609</v>
      </c>
      <c r="D107" s="79">
        <v>8.0</v>
      </c>
      <c r="E107" s="78" t="s">
        <v>651</v>
      </c>
      <c r="F107" s="78" t="s">
        <v>656</v>
      </c>
      <c r="G107" s="80">
        <v>0.0037962962962962963</v>
      </c>
    </row>
    <row r="108">
      <c r="A108" s="77" t="s">
        <v>543</v>
      </c>
      <c r="B108" s="77" t="s">
        <v>544</v>
      </c>
      <c r="C108" s="78" t="s">
        <v>609</v>
      </c>
      <c r="D108" s="79">
        <v>8.0</v>
      </c>
      <c r="E108" s="78" t="s">
        <v>651</v>
      </c>
      <c r="F108" s="78" t="s">
        <v>518</v>
      </c>
      <c r="G108" s="80">
        <v>0.05555555555555555</v>
      </c>
    </row>
    <row r="109">
      <c r="A109" s="77" t="s">
        <v>543</v>
      </c>
      <c r="B109" s="77" t="s">
        <v>544</v>
      </c>
      <c r="C109" s="78" t="s">
        <v>609</v>
      </c>
      <c r="D109" s="79">
        <v>9.0</v>
      </c>
      <c r="E109" s="78" t="s">
        <v>657</v>
      </c>
      <c r="F109" s="78" t="s">
        <v>658</v>
      </c>
      <c r="G109" s="80">
        <v>0.0013425925925925925</v>
      </c>
    </row>
    <row r="110">
      <c r="A110" s="77" t="s">
        <v>543</v>
      </c>
      <c r="B110" s="77" t="s">
        <v>544</v>
      </c>
      <c r="C110" s="78" t="s">
        <v>609</v>
      </c>
      <c r="D110" s="79">
        <v>9.0</v>
      </c>
      <c r="E110" s="78" t="s">
        <v>657</v>
      </c>
      <c r="F110" s="78" t="s">
        <v>659</v>
      </c>
      <c r="G110" s="80">
        <v>0.0020601851851851853</v>
      </c>
    </row>
    <row r="111">
      <c r="A111" s="77" t="s">
        <v>543</v>
      </c>
      <c r="B111" s="77" t="s">
        <v>544</v>
      </c>
      <c r="C111" s="78" t="s">
        <v>609</v>
      </c>
      <c r="D111" s="79">
        <v>10.0</v>
      </c>
      <c r="E111" s="78" t="s">
        <v>660</v>
      </c>
      <c r="F111" s="78" t="s">
        <v>1089</v>
      </c>
      <c r="G111" s="80">
        <v>0.015104166666666667</v>
      </c>
    </row>
    <row r="112">
      <c r="A112" s="77" t="s">
        <v>543</v>
      </c>
      <c r="B112" s="77" t="s">
        <v>544</v>
      </c>
      <c r="C112" s="78" t="s">
        <v>609</v>
      </c>
      <c r="D112" s="79">
        <v>10.0</v>
      </c>
      <c r="E112" s="78" t="s">
        <v>660</v>
      </c>
      <c r="F112" s="78" t="s">
        <v>661</v>
      </c>
      <c r="G112" s="80">
        <v>0.007222222222222222</v>
      </c>
    </row>
    <row r="113">
      <c r="A113" s="77" t="s">
        <v>543</v>
      </c>
      <c r="B113" s="77" t="s">
        <v>544</v>
      </c>
      <c r="C113" s="78" t="s">
        <v>609</v>
      </c>
      <c r="D113" s="79">
        <v>10.0</v>
      </c>
      <c r="E113" s="78" t="s">
        <v>660</v>
      </c>
      <c r="F113" s="78" t="s">
        <v>662</v>
      </c>
      <c r="G113" s="80">
        <v>0.004039351851851852</v>
      </c>
    </row>
    <row r="114">
      <c r="A114" s="77" t="s">
        <v>543</v>
      </c>
      <c r="B114" s="77" t="s">
        <v>544</v>
      </c>
      <c r="C114" s="78" t="s">
        <v>609</v>
      </c>
      <c r="D114" s="79">
        <v>11.0</v>
      </c>
      <c r="E114" s="78" t="s">
        <v>663</v>
      </c>
      <c r="F114" s="78" t="s">
        <v>665</v>
      </c>
      <c r="G114" s="80">
        <v>0.005127314814814815</v>
      </c>
    </row>
    <row r="115">
      <c r="A115" s="77" t="s">
        <v>543</v>
      </c>
      <c r="B115" s="77" t="s">
        <v>544</v>
      </c>
      <c r="C115" s="78" t="s">
        <v>609</v>
      </c>
      <c r="D115" s="79">
        <v>11.0</v>
      </c>
      <c r="E115" s="78" t="s">
        <v>663</v>
      </c>
      <c r="F115" s="78" t="s">
        <v>666</v>
      </c>
      <c r="G115" s="80">
        <v>0.006967592592592593</v>
      </c>
    </row>
    <row r="116">
      <c r="A116" s="77" t="s">
        <v>543</v>
      </c>
      <c r="B116" s="77" t="s">
        <v>544</v>
      </c>
      <c r="C116" s="78" t="s">
        <v>609</v>
      </c>
      <c r="D116" s="79">
        <v>11.0</v>
      </c>
      <c r="E116" s="78" t="s">
        <v>663</v>
      </c>
      <c r="F116" s="78" t="s">
        <v>1090</v>
      </c>
      <c r="G116" s="80">
        <v>0.004050925925925926</v>
      </c>
    </row>
    <row r="117">
      <c r="A117" s="77" t="s">
        <v>543</v>
      </c>
      <c r="B117" s="77" t="s">
        <v>544</v>
      </c>
      <c r="C117" s="78" t="s">
        <v>609</v>
      </c>
      <c r="D117" s="79">
        <v>11.0</v>
      </c>
      <c r="E117" s="78" t="s">
        <v>663</v>
      </c>
      <c r="F117" s="78" t="s">
        <v>355</v>
      </c>
      <c r="G117" s="80">
        <v>0.014212962962962964</v>
      </c>
    </row>
    <row r="118">
      <c r="A118" s="77" t="s">
        <v>543</v>
      </c>
      <c r="B118" s="77" t="s">
        <v>544</v>
      </c>
      <c r="C118" s="78" t="s">
        <v>609</v>
      </c>
      <c r="D118" s="79">
        <v>11.0</v>
      </c>
      <c r="E118" s="78" t="s">
        <v>663</v>
      </c>
      <c r="F118" s="78" t="s">
        <v>667</v>
      </c>
      <c r="G118" s="80">
        <v>0.002800925925925926</v>
      </c>
    </row>
    <row r="119">
      <c r="A119" s="77" t="s">
        <v>543</v>
      </c>
      <c r="B119" s="77" t="s">
        <v>544</v>
      </c>
      <c r="C119" s="78" t="s">
        <v>609</v>
      </c>
      <c r="D119" s="79">
        <v>12.0</v>
      </c>
      <c r="E119" s="78" t="s">
        <v>668</v>
      </c>
      <c r="F119" s="78" t="s">
        <v>670</v>
      </c>
      <c r="G119" s="80">
        <v>0.004594907407407408</v>
      </c>
    </row>
    <row r="120">
      <c r="A120" s="77" t="s">
        <v>543</v>
      </c>
      <c r="B120" s="77" t="s">
        <v>544</v>
      </c>
      <c r="C120" s="78" t="s">
        <v>609</v>
      </c>
      <c r="D120" s="79">
        <v>12.0</v>
      </c>
      <c r="E120" s="78" t="s">
        <v>668</v>
      </c>
      <c r="F120" s="78" t="s">
        <v>671</v>
      </c>
      <c r="G120" s="80">
        <v>0.0032407407407407406</v>
      </c>
    </row>
    <row r="121">
      <c r="A121" s="77" t="s">
        <v>543</v>
      </c>
      <c r="B121" s="77" t="s">
        <v>544</v>
      </c>
      <c r="C121" s="78" t="s">
        <v>609</v>
      </c>
      <c r="D121" s="79">
        <v>12.0</v>
      </c>
      <c r="E121" s="78" t="s">
        <v>668</v>
      </c>
      <c r="F121" s="78" t="s">
        <v>672</v>
      </c>
      <c r="G121" s="80">
        <v>0.0015509259259259259</v>
      </c>
    </row>
    <row r="122">
      <c r="A122" s="77" t="s">
        <v>543</v>
      </c>
      <c r="B122" s="77" t="s">
        <v>544</v>
      </c>
      <c r="C122" s="78" t="s">
        <v>609</v>
      </c>
      <c r="D122" s="79">
        <v>12.0</v>
      </c>
      <c r="E122" s="78" t="s">
        <v>668</v>
      </c>
      <c r="F122" s="78" t="s">
        <v>673</v>
      </c>
      <c r="G122" s="80">
        <v>0.0030555555555555557</v>
      </c>
    </row>
    <row r="123">
      <c r="A123" s="77" t="s">
        <v>543</v>
      </c>
      <c r="B123" s="77" t="s">
        <v>544</v>
      </c>
      <c r="C123" s="78" t="s">
        <v>609</v>
      </c>
      <c r="D123" s="79">
        <v>12.0</v>
      </c>
      <c r="E123" s="78" t="s">
        <v>668</v>
      </c>
      <c r="F123" s="78" t="s">
        <v>352</v>
      </c>
      <c r="G123" s="80">
        <v>0.05555555555555555</v>
      </c>
    </row>
    <row r="124">
      <c r="A124" s="77" t="s">
        <v>543</v>
      </c>
      <c r="B124" s="77" t="s">
        <v>544</v>
      </c>
      <c r="C124" s="78" t="s">
        <v>609</v>
      </c>
      <c r="D124" s="79">
        <v>12.0</v>
      </c>
      <c r="E124" s="78" t="s">
        <v>668</v>
      </c>
      <c r="F124" s="78" t="s">
        <v>360</v>
      </c>
      <c r="G124" s="80">
        <v>0.05555555555555555</v>
      </c>
    </row>
    <row r="125">
      <c r="A125" s="77" t="s">
        <v>543</v>
      </c>
      <c r="B125" s="77" t="s">
        <v>544</v>
      </c>
      <c r="C125" s="78" t="s">
        <v>674</v>
      </c>
      <c r="D125" s="79">
        <v>1.0</v>
      </c>
      <c r="E125" s="78" t="s">
        <v>675</v>
      </c>
      <c r="F125" s="78" t="s">
        <v>677</v>
      </c>
      <c r="G125" s="80">
        <v>0.006875</v>
      </c>
    </row>
    <row r="126">
      <c r="A126" s="77" t="s">
        <v>543</v>
      </c>
      <c r="B126" s="77" t="s">
        <v>544</v>
      </c>
      <c r="C126" s="78" t="s">
        <v>674</v>
      </c>
      <c r="D126" s="79">
        <v>1.0</v>
      </c>
      <c r="E126" s="78" t="s">
        <v>675</v>
      </c>
      <c r="F126" s="78" t="s">
        <v>678</v>
      </c>
      <c r="G126" s="80">
        <v>0.002361111111111111</v>
      </c>
    </row>
    <row r="127">
      <c r="A127" s="77" t="s">
        <v>543</v>
      </c>
      <c r="B127" s="77" t="s">
        <v>544</v>
      </c>
      <c r="C127" s="78" t="s">
        <v>674</v>
      </c>
      <c r="D127" s="79">
        <v>1.0</v>
      </c>
      <c r="E127" s="78" t="s">
        <v>675</v>
      </c>
      <c r="F127" s="78" t="s">
        <v>1091</v>
      </c>
      <c r="G127" s="80">
        <v>0.004641203703703704</v>
      </c>
    </row>
    <row r="128">
      <c r="A128" s="77" t="s">
        <v>543</v>
      </c>
      <c r="B128" s="77" t="s">
        <v>544</v>
      </c>
      <c r="C128" s="78" t="s">
        <v>674</v>
      </c>
      <c r="D128" s="79">
        <v>1.0</v>
      </c>
      <c r="E128" s="78" t="s">
        <v>675</v>
      </c>
      <c r="F128" s="78" t="s">
        <v>679</v>
      </c>
      <c r="G128" s="80">
        <v>0.006805555555555555</v>
      </c>
    </row>
    <row r="129">
      <c r="A129" s="77" t="s">
        <v>543</v>
      </c>
      <c r="B129" s="77" t="s">
        <v>544</v>
      </c>
      <c r="C129" s="78" t="s">
        <v>674</v>
      </c>
      <c r="D129" s="79">
        <v>1.0</v>
      </c>
      <c r="E129" s="78" t="s">
        <v>675</v>
      </c>
      <c r="F129" s="78" t="s">
        <v>680</v>
      </c>
      <c r="G129" s="80">
        <v>0.0036226851851851854</v>
      </c>
    </row>
    <row r="130">
      <c r="A130" s="77" t="s">
        <v>543</v>
      </c>
      <c r="B130" s="77" t="s">
        <v>544</v>
      </c>
      <c r="C130" s="78" t="s">
        <v>674</v>
      </c>
      <c r="D130" s="79">
        <v>2.0</v>
      </c>
      <c r="E130" s="78" t="s">
        <v>681</v>
      </c>
      <c r="F130" s="78" t="s">
        <v>683</v>
      </c>
      <c r="G130" s="80">
        <v>0.006898148148148148</v>
      </c>
    </row>
    <row r="131">
      <c r="A131" s="77" t="s">
        <v>543</v>
      </c>
      <c r="B131" s="77" t="s">
        <v>544</v>
      </c>
      <c r="C131" s="78" t="s">
        <v>674</v>
      </c>
      <c r="D131" s="79">
        <v>2.0</v>
      </c>
      <c r="E131" s="78" t="s">
        <v>681</v>
      </c>
      <c r="F131" s="78" t="s">
        <v>684</v>
      </c>
      <c r="G131" s="80">
        <v>0.005810185185185186</v>
      </c>
    </row>
    <row r="132">
      <c r="A132" s="77" t="s">
        <v>543</v>
      </c>
      <c r="B132" s="77" t="s">
        <v>544</v>
      </c>
      <c r="C132" s="78" t="s">
        <v>674</v>
      </c>
      <c r="D132" s="79">
        <v>2.0</v>
      </c>
      <c r="E132" s="78" t="s">
        <v>681</v>
      </c>
      <c r="F132" s="78" t="s">
        <v>685</v>
      </c>
      <c r="G132" s="80">
        <v>0.016493055555555556</v>
      </c>
    </row>
    <row r="133">
      <c r="A133" s="77" t="s">
        <v>543</v>
      </c>
      <c r="B133" s="77" t="s">
        <v>544</v>
      </c>
      <c r="C133" s="78" t="s">
        <v>674</v>
      </c>
      <c r="D133" s="79">
        <v>2.0</v>
      </c>
      <c r="E133" s="78" t="s">
        <v>681</v>
      </c>
      <c r="F133" s="78" t="s">
        <v>1092</v>
      </c>
      <c r="G133" s="80">
        <v>0.006307870370370371</v>
      </c>
    </row>
    <row r="134">
      <c r="A134" s="77" t="s">
        <v>543</v>
      </c>
      <c r="B134" s="77" t="s">
        <v>544</v>
      </c>
      <c r="C134" s="78" t="s">
        <v>674</v>
      </c>
      <c r="D134" s="79">
        <v>2.0</v>
      </c>
      <c r="E134" s="78" t="s">
        <v>681</v>
      </c>
      <c r="F134" s="78" t="s">
        <v>1093</v>
      </c>
      <c r="G134" s="80">
        <v>0.002673611111111111</v>
      </c>
    </row>
    <row r="135">
      <c r="A135" s="77" t="s">
        <v>543</v>
      </c>
      <c r="B135" s="77" t="s">
        <v>544</v>
      </c>
      <c r="C135" s="78" t="s">
        <v>674</v>
      </c>
      <c r="D135" s="79">
        <v>2.0</v>
      </c>
      <c r="E135" s="78" t="s">
        <v>681</v>
      </c>
      <c r="F135" s="78" t="s">
        <v>686</v>
      </c>
      <c r="G135" s="80">
        <v>0.008958333333333334</v>
      </c>
    </row>
    <row r="136">
      <c r="A136" s="77" t="s">
        <v>543</v>
      </c>
      <c r="B136" s="77" t="s">
        <v>544</v>
      </c>
      <c r="C136" s="78" t="s">
        <v>674</v>
      </c>
      <c r="D136" s="79">
        <v>2.0</v>
      </c>
      <c r="E136" s="78" t="s">
        <v>681</v>
      </c>
      <c r="F136" s="78" t="s">
        <v>687</v>
      </c>
      <c r="G136" s="80">
        <v>0.05555555555555555</v>
      </c>
    </row>
    <row r="137">
      <c r="A137" s="77" t="s">
        <v>543</v>
      </c>
      <c r="B137" s="77" t="s">
        <v>544</v>
      </c>
      <c r="C137" s="78" t="s">
        <v>688</v>
      </c>
      <c r="D137" s="79">
        <v>1.0</v>
      </c>
      <c r="E137" s="78" t="s">
        <v>689</v>
      </c>
      <c r="F137" s="78" t="s">
        <v>691</v>
      </c>
      <c r="G137" s="80">
        <v>0.005706018518518518</v>
      </c>
    </row>
    <row r="138">
      <c r="A138" s="77" t="s">
        <v>543</v>
      </c>
      <c r="B138" s="77" t="s">
        <v>544</v>
      </c>
      <c r="C138" s="78" t="s">
        <v>688</v>
      </c>
      <c r="D138" s="79">
        <v>1.0</v>
      </c>
      <c r="E138" s="78" t="s">
        <v>689</v>
      </c>
      <c r="F138" s="78" t="s">
        <v>692</v>
      </c>
      <c r="G138" s="80">
        <v>0.005590277777777777</v>
      </c>
    </row>
    <row r="139">
      <c r="A139" s="77" t="s">
        <v>543</v>
      </c>
      <c r="B139" s="77" t="s">
        <v>544</v>
      </c>
      <c r="C139" s="78" t="s">
        <v>688</v>
      </c>
      <c r="D139" s="79">
        <v>1.0</v>
      </c>
      <c r="E139" s="78" t="s">
        <v>689</v>
      </c>
      <c r="F139" s="78" t="s">
        <v>693</v>
      </c>
      <c r="G139" s="80">
        <v>0.004293981481481481</v>
      </c>
    </row>
    <row r="140">
      <c r="A140" s="77" t="s">
        <v>543</v>
      </c>
      <c r="B140" s="77" t="s">
        <v>544</v>
      </c>
      <c r="C140" s="78" t="s">
        <v>688</v>
      </c>
      <c r="D140" s="79">
        <v>1.0</v>
      </c>
      <c r="E140" s="78" t="s">
        <v>689</v>
      </c>
      <c r="F140" s="78" t="s">
        <v>694</v>
      </c>
      <c r="G140" s="80">
        <v>0.0050578703703703706</v>
      </c>
    </row>
    <row r="141">
      <c r="A141" s="77" t="s">
        <v>543</v>
      </c>
      <c r="B141" s="77" t="s">
        <v>544</v>
      </c>
      <c r="C141" s="78" t="s">
        <v>688</v>
      </c>
      <c r="D141" s="79">
        <v>1.0</v>
      </c>
      <c r="E141" s="78" t="s">
        <v>689</v>
      </c>
      <c r="F141" s="78" t="s">
        <v>695</v>
      </c>
      <c r="G141" s="80">
        <v>0.00125</v>
      </c>
    </row>
    <row r="142">
      <c r="A142" s="77" t="s">
        <v>543</v>
      </c>
      <c r="B142" s="77" t="s">
        <v>544</v>
      </c>
      <c r="C142" s="78" t="s">
        <v>688</v>
      </c>
      <c r="D142" s="79">
        <v>2.0</v>
      </c>
      <c r="E142" s="78" t="s">
        <v>696</v>
      </c>
      <c r="F142" s="78" t="s">
        <v>1094</v>
      </c>
      <c r="G142" s="80">
        <v>0.002210648148148148</v>
      </c>
    </row>
    <row r="143">
      <c r="A143" s="77" t="s">
        <v>543</v>
      </c>
      <c r="B143" s="77" t="s">
        <v>544</v>
      </c>
      <c r="C143" s="78" t="s">
        <v>688</v>
      </c>
      <c r="D143" s="79">
        <v>2.0</v>
      </c>
      <c r="E143" s="78" t="s">
        <v>696</v>
      </c>
      <c r="F143" s="78" t="s">
        <v>697</v>
      </c>
      <c r="G143" s="80">
        <v>0.005069444444444444</v>
      </c>
    </row>
    <row r="144">
      <c r="A144" s="77" t="s">
        <v>543</v>
      </c>
      <c r="B144" s="77" t="s">
        <v>544</v>
      </c>
      <c r="C144" s="78" t="s">
        <v>688</v>
      </c>
      <c r="D144" s="79">
        <v>2.0</v>
      </c>
      <c r="E144" s="78" t="s">
        <v>696</v>
      </c>
      <c r="F144" s="78" t="s">
        <v>698</v>
      </c>
      <c r="G144" s="80">
        <v>0.0030555555555555557</v>
      </c>
    </row>
    <row r="145">
      <c r="A145" s="77" t="s">
        <v>543</v>
      </c>
      <c r="B145" s="77" t="s">
        <v>544</v>
      </c>
      <c r="C145" s="78" t="s">
        <v>688</v>
      </c>
      <c r="D145" s="79">
        <v>2.0</v>
      </c>
      <c r="E145" s="78" t="s">
        <v>696</v>
      </c>
      <c r="F145" s="78" t="s">
        <v>699</v>
      </c>
      <c r="G145" s="80">
        <v>0.00375</v>
      </c>
    </row>
    <row r="146">
      <c r="A146" s="77" t="s">
        <v>543</v>
      </c>
      <c r="B146" s="77" t="s">
        <v>544</v>
      </c>
      <c r="C146" s="78" t="s">
        <v>688</v>
      </c>
      <c r="D146" s="79">
        <v>2.0</v>
      </c>
      <c r="E146" s="78" t="s">
        <v>696</v>
      </c>
      <c r="F146" s="78" t="s">
        <v>700</v>
      </c>
      <c r="G146" s="80">
        <v>0.003958333333333334</v>
      </c>
    </row>
    <row r="147">
      <c r="A147" s="77" t="s">
        <v>543</v>
      </c>
      <c r="B147" s="77" t="s">
        <v>544</v>
      </c>
      <c r="C147" s="78" t="s">
        <v>688</v>
      </c>
      <c r="D147" s="79">
        <v>2.0</v>
      </c>
      <c r="E147" s="78" t="s">
        <v>696</v>
      </c>
      <c r="F147" s="78" t="s">
        <v>701</v>
      </c>
      <c r="G147" s="80">
        <v>0.0011111111111111111</v>
      </c>
    </row>
    <row r="148">
      <c r="A148" s="77" t="s">
        <v>543</v>
      </c>
      <c r="B148" s="77" t="s">
        <v>544</v>
      </c>
      <c r="C148" s="78" t="s">
        <v>688</v>
      </c>
      <c r="D148" s="79">
        <v>3.0</v>
      </c>
      <c r="E148" s="78" t="s">
        <v>702</v>
      </c>
      <c r="F148" s="78" t="s">
        <v>704</v>
      </c>
      <c r="G148" s="80">
        <v>0.0030787037037037037</v>
      </c>
    </row>
    <row r="149">
      <c r="A149" s="77" t="s">
        <v>543</v>
      </c>
      <c r="B149" s="77" t="s">
        <v>544</v>
      </c>
      <c r="C149" s="78" t="s">
        <v>688</v>
      </c>
      <c r="D149" s="79">
        <v>3.0</v>
      </c>
      <c r="E149" s="78" t="s">
        <v>702</v>
      </c>
      <c r="F149" s="78" t="s">
        <v>705</v>
      </c>
      <c r="G149" s="80">
        <v>0.006261574074074074</v>
      </c>
    </row>
    <row r="150">
      <c r="A150" s="77" t="s">
        <v>543</v>
      </c>
      <c r="B150" s="77" t="s">
        <v>544</v>
      </c>
      <c r="C150" s="78" t="s">
        <v>688</v>
      </c>
      <c r="D150" s="79">
        <v>3.0</v>
      </c>
      <c r="E150" s="78" t="s">
        <v>702</v>
      </c>
      <c r="F150" s="78" t="s">
        <v>706</v>
      </c>
      <c r="G150" s="80">
        <v>0.003912037037037037</v>
      </c>
    </row>
    <row r="151">
      <c r="A151" s="77" t="s">
        <v>543</v>
      </c>
      <c r="B151" s="77" t="s">
        <v>544</v>
      </c>
      <c r="C151" s="78" t="s">
        <v>688</v>
      </c>
      <c r="D151" s="79">
        <v>3.0</v>
      </c>
      <c r="E151" s="78" t="s">
        <v>702</v>
      </c>
      <c r="F151" s="78" t="s">
        <v>707</v>
      </c>
      <c r="G151" s="80">
        <v>0.00494212962962963</v>
      </c>
    </row>
    <row r="152">
      <c r="A152" s="77" t="s">
        <v>543</v>
      </c>
      <c r="B152" s="77" t="s">
        <v>544</v>
      </c>
      <c r="C152" s="78" t="s">
        <v>688</v>
      </c>
      <c r="D152" s="79">
        <v>3.0</v>
      </c>
      <c r="E152" s="78" t="s">
        <v>702</v>
      </c>
      <c r="F152" s="78" t="s">
        <v>708</v>
      </c>
      <c r="G152" s="80">
        <v>0.0021296296296296298</v>
      </c>
    </row>
    <row r="153">
      <c r="A153" s="77" t="s">
        <v>543</v>
      </c>
      <c r="B153" s="77" t="s">
        <v>544</v>
      </c>
      <c r="C153" s="78" t="s">
        <v>688</v>
      </c>
      <c r="D153" s="79">
        <v>4.0</v>
      </c>
      <c r="E153" s="78" t="s">
        <v>709</v>
      </c>
      <c r="F153" s="78" t="s">
        <v>711</v>
      </c>
      <c r="G153" s="80">
        <v>0.0021296296296296298</v>
      </c>
    </row>
    <row r="154">
      <c r="A154" s="77" t="s">
        <v>543</v>
      </c>
      <c r="B154" s="77" t="s">
        <v>544</v>
      </c>
      <c r="C154" s="78" t="s">
        <v>688</v>
      </c>
      <c r="D154" s="79">
        <v>4.0</v>
      </c>
      <c r="E154" s="78" t="s">
        <v>709</v>
      </c>
      <c r="F154" s="78" t="s">
        <v>712</v>
      </c>
      <c r="G154" s="80">
        <v>0.0040625</v>
      </c>
    </row>
    <row r="155">
      <c r="A155" s="77" t="s">
        <v>543</v>
      </c>
      <c r="B155" s="77" t="s">
        <v>544</v>
      </c>
      <c r="C155" s="78" t="s">
        <v>688</v>
      </c>
      <c r="D155" s="79">
        <v>4.0</v>
      </c>
      <c r="E155" s="78" t="s">
        <v>709</v>
      </c>
      <c r="F155" s="78" t="s">
        <v>713</v>
      </c>
      <c r="G155" s="80">
        <v>0.005671296296296297</v>
      </c>
    </row>
    <row r="156">
      <c r="A156" s="77" t="s">
        <v>543</v>
      </c>
      <c r="B156" s="77" t="s">
        <v>544</v>
      </c>
      <c r="C156" s="78" t="s">
        <v>688</v>
      </c>
      <c r="D156" s="79">
        <v>4.0</v>
      </c>
      <c r="E156" s="78" t="s">
        <v>709</v>
      </c>
      <c r="F156" s="78" t="s">
        <v>714</v>
      </c>
      <c r="G156" s="80">
        <v>0.0039004629629629628</v>
      </c>
    </row>
    <row r="157">
      <c r="A157" s="77" t="s">
        <v>543</v>
      </c>
      <c r="B157" s="77" t="s">
        <v>544</v>
      </c>
      <c r="C157" s="78" t="s">
        <v>688</v>
      </c>
      <c r="D157" s="79">
        <v>4.0</v>
      </c>
      <c r="E157" s="78" t="s">
        <v>709</v>
      </c>
      <c r="F157" s="78" t="s">
        <v>715</v>
      </c>
      <c r="G157" s="80">
        <v>0.005520833333333333</v>
      </c>
    </row>
    <row r="158">
      <c r="A158" s="77" t="s">
        <v>543</v>
      </c>
      <c r="B158" s="77" t="s">
        <v>544</v>
      </c>
      <c r="C158" s="78" t="s">
        <v>688</v>
      </c>
      <c r="D158" s="79">
        <v>4.0</v>
      </c>
      <c r="E158" s="78" t="s">
        <v>709</v>
      </c>
      <c r="F158" s="78" t="s">
        <v>1095</v>
      </c>
      <c r="G158" s="80">
        <v>0.0016203703703703703</v>
      </c>
    </row>
    <row r="159">
      <c r="A159" s="77" t="s">
        <v>543</v>
      </c>
      <c r="B159" s="77" t="s">
        <v>544</v>
      </c>
      <c r="C159" s="78" t="s">
        <v>716</v>
      </c>
      <c r="D159" s="79">
        <v>1.0</v>
      </c>
      <c r="E159" s="78" t="s">
        <v>717</v>
      </c>
      <c r="F159" s="78" t="s">
        <v>1096</v>
      </c>
      <c r="G159" s="80">
        <v>0.007465277777777778</v>
      </c>
    </row>
    <row r="160">
      <c r="A160" s="77" t="s">
        <v>543</v>
      </c>
      <c r="B160" s="77" t="s">
        <v>544</v>
      </c>
      <c r="C160" s="78" t="s">
        <v>716</v>
      </c>
      <c r="D160" s="79">
        <v>1.0</v>
      </c>
      <c r="E160" s="78" t="s">
        <v>717</v>
      </c>
      <c r="F160" s="78" t="s">
        <v>718</v>
      </c>
      <c r="G160" s="80">
        <v>0.007858796296296296</v>
      </c>
    </row>
    <row r="161">
      <c r="A161" s="77" t="s">
        <v>543</v>
      </c>
      <c r="B161" s="77" t="s">
        <v>544</v>
      </c>
      <c r="C161" s="78" t="s">
        <v>716</v>
      </c>
      <c r="D161" s="79">
        <v>1.0</v>
      </c>
      <c r="E161" s="78" t="s">
        <v>717</v>
      </c>
      <c r="F161" s="78" t="s">
        <v>719</v>
      </c>
      <c r="G161" s="80">
        <v>0.00525462962962963</v>
      </c>
    </row>
    <row r="162">
      <c r="A162" s="77" t="s">
        <v>543</v>
      </c>
      <c r="B162" s="77" t="s">
        <v>544</v>
      </c>
      <c r="C162" s="78" t="s">
        <v>716</v>
      </c>
      <c r="D162" s="79">
        <v>1.0</v>
      </c>
      <c r="E162" s="78" t="s">
        <v>717</v>
      </c>
      <c r="F162" s="78" t="s">
        <v>720</v>
      </c>
      <c r="G162" s="80">
        <v>0.00712962962962963</v>
      </c>
    </row>
    <row r="163">
      <c r="A163" s="77" t="s">
        <v>543</v>
      </c>
      <c r="B163" s="77" t="s">
        <v>544</v>
      </c>
      <c r="C163" s="78" t="s">
        <v>716</v>
      </c>
      <c r="D163" s="79">
        <v>1.0</v>
      </c>
      <c r="E163" s="78" t="s">
        <v>717</v>
      </c>
      <c r="F163" s="78" t="s">
        <v>1097</v>
      </c>
      <c r="G163" s="80">
        <v>0.010416666666666666</v>
      </c>
    </row>
    <row r="164">
      <c r="A164" s="77" t="s">
        <v>543</v>
      </c>
      <c r="B164" s="77" t="s">
        <v>544</v>
      </c>
      <c r="C164" s="78" t="s">
        <v>716</v>
      </c>
      <c r="D164" s="79">
        <v>2.0</v>
      </c>
      <c r="E164" s="78" t="s">
        <v>721</v>
      </c>
      <c r="F164" s="78" t="s">
        <v>723</v>
      </c>
      <c r="G164" s="80">
        <v>0.00318287037037037</v>
      </c>
    </row>
    <row r="165">
      <c r="A165" s="77" t="s">
        <v>543</v>
      </c>
      <c r="B165" s="77" t="s">
        <v>544</v>
      </c>
      <c r="C165" s="78" t="s">
        <v>716</v>
      </c>
      <c r="D165" s="79">
        <v>2.0</v>
      </c>
      <c r="E165" s="78" t="s">
        <v>721</v>
      </c>
      <c r="F165" s="78" t="s">
        <v>724</v>
      </c>
      <c r="G165" s="80">
        <v>0.004016203703703704</v>
      </c>
    </row>
    <row r="166">
      <c r="A166" s="77" t="s">
        <v>543</v>
      </c>
      <c r="B166" s="77" t="s">
        <v>544</v>
      </c>
      <c r="C166" s="78" t="s">
        <v>716</v>
      </c>
      <c r="D166" s="79">
        <v>2.0</v>
      </c>
      <c r="E166" s="78" t="s">
        <v>721</v>
      </c>
      <c r="F166" s="78" t="s">
        <v>1098</v>
      </c>
      <c r="G166" s="80">
        <v>0.006678240740740741</v>
      </c>
    </row>
    <row r="167">
      <c r="A167" s="77" t="s">
        <v>543</v>
      </c>
      <c r="B167" s="77" t="s">
        <v>544</v>
      </c>
      <c r="C167" s="78" t="s">
        <v>716</v>
      </c>
      <c r="D167" s="79">
        <v>3.0</v>
      </c>
      <c r="E167" s="78" t="s">
        <v>725</v>
      </c>
      <c r="F167" s="78" t="s">
        <v>727</v>
      </c>
      <c r="G167" s="80">
        <v>0.007488425925925926</v>
      </c>
    </row>
    <row r="168">
      <c r="A168" s="77" t="s">
        <v>543</v>
      </c>
      <c r="B168" s="77" t="s">
        <v>544</v>
      </c>
      <c r="C168" s="78" t="s">
        <v>716</v>
      </c>
      <c r="D168" s="79">
        <v>3.0</v>
      </c>
      <c r="E168" s="78" t="s">
        <v>725</v>
      </c>
      <c r="F168" s="78" t="s">
        <v>728</v>
      </c>
      <c r="G168" s="80">
        <v>0.0028125</v>
      </c>
    </row>
    <row r="169">
      <c r="A169" s="77" t="s">
        <v>543</v>
      </c>
      <c r="B169" s="77" t="s">
        <v>544</v>
      </c>
      <c r="C169" s="78" t="s">
        <v>716</v>
      </c>
      <c r="D169" s="79">
        <v>3.0</v>
      </c>
      <c r="E169" s="78" t="s">
        <v>725</v>
      </c>
      <c r="F169" s="78" t="s">
        <v>1099</v>
      </c>
      <c r="G169" s="80">
        <v>0.0028819444444444444</v>
      </c>
    </row>
    <row r="170">
      <c r="A170" s="77" t="s">
        <v>543</v>
      </c>
      <c r="B170" s="77" t="s">
        <v>544</v>
      </c>
      <c r="C170" s="78" t="s">
        <v>716</v>
      </c>
      <c r="D170" s="79">
        <v>3.0</v>
      </c>
      <c r="E170" s="78" t="s">
        <v>725</v>
      </c>
      <c r="F170" s="78" t="s">
        <v>729</v>
      </c>
      <c r="G170" s="80">
        <v>0.001388888888888889</v>
      </c>
    </row>
    <row r="171">
      <c r="A171" s="77" t="s">
        <v>543</v>
      </c>
      <c r="B171" s="77" t="s">
        <v>544</v>
      </c>
      <c r="C171" s="78" t="s">
        <v>716</v>
      </c>
      <c r="D171" s="79">
        <v>3.0</v>
      </c>
      <c r="E171" s="78" t="s">
        <v>725</v>
      </c>
      <c r="F171" s="78" t="s">
        <v>730</v>
      </c>
      <c r="G171" s="80">
        <v>0.012372685185185184</v>
      </c>
    </row>
    <row r="172">
      <c r="A172" s="77" t="s">
        <v>543</v>
      </c>
      <c r="B172" s="77" t="s">
        <v>544</v>
      </c>
      <c r="C172" s="78" t="s">
        <v>716</v>
      </c>
      <c r="D172" s="79">
        <v>3.0</v>
      </c>
      <c r="E172" s="78" t="s">
        <v>725</v>
      </c>
      <c r="F172" s="78" t="s">
        <v>731</v>
      </c>
      <c r="G172" s="80">
        <v>0.006655092592592593</v>
      </c>
    </row>
    <row r="173">
      <c r="A173" s="77" t="s">
        <v>543</v>
      </c>
      <c r="B173" s="77" t="s">
        <v>544</v>
      </c>
      <c r="C173" s="78" t="s">
        <v>716</v>
      </c>
      <c r="D173" s="79">
        <v>4.0</v>
      </c>
      <c r="E173" s="78" t="s">
        <v>732</v>
      </c>
      <c r="F173" s="78" t="s">
        <v>734</v>
      </c>
      <c r="G173" s="80">
        <v>0.005613425925925926</v>
      </c>
    </row>
    <row r="174">
      <c r="A174" s="77" t="s">
        <v>543</v>
      </c>
      <c r="B174" s="77" t="s">
        <v>544</v>
      </c>
      <c r="C174" s="78" t="s">
        <v>716</v>
      </c>
      <c r="D174" s="79">
        <v>4.0</v>
      </c>
      <c r="E174" s="78" t="s">
        <v>732</v>
      </c>
      <c r="F174" s="78" t="s">
        <v>735</v>
      </c>
      <c r="G174" s="80">
        <v>0.005150462962962963</v>
      </c>
    </row>
    <row r="175">
      <c r="A175" s="77" t="s">
        <v>543</v>
      </c>
      <c r="B175" s="77" t="s">
        <v>544</v>
      </c>
      <c r="C175" s="78" t="s">
        <v>716</v>
      </c>
      <c r="D175" s="79">
        <v>4.0</v>
      </c>
      <c r="E175" s="78" t="s">
        <v>732</v>
      </c>
      <c r="F175" s="78" t="s">
        <v>736</v>
      </c>
      <c r="G175" s="80">
        <v>0.001099537037037037</v>
      </c>
    </row>
    <row r="176">
      <c r="A176" s="77" t="s">
        <v>543</v>
      </c>
      <c r="B176" s="77" t="s">
        <v>544</v>
      </c>
      <c r="C176" s="78" t="s">
        <v>716</v>
      </c>
      <c r="D176" s="79">
        <v>4.0</v>
      </c>
      <c r="E176" s="78" t="s">
        <v>732</v>
      </c>
      <c r="F176" s="78" t="s">
        <v>737</v>
      </c>
      <c r="G176" s="80">
        <v>0.002002314814814815</v>
      </c>
    </row>
    <row r="177">
      <c r="A177" s="77" t="s">
        <v>543</v>
      </c>
      <c r="B177" s="77" t="s">
        <v>544</v>
      </c>
      <c r="C177" s="78" t="s">
        <v>716</v>
      </c>
      <c r="D177" s="79">
        <v>4.0</v>
      </c>
      <c r="E177" s="78" t="s">
        <v>732</v>
      </c>
      <c r="F177" s="78" t="s">
        <v>1100</v>
      </c>
      <c r="G177" s="80">
        <v>0.0042361111111111115</v>
      </c>
    </row>
    <row r="178">
      <c r="A178" s="77" t="s">
        <v>543</v>
      </c>
      <c r="B178" s="77" t="s">
        <v>544</v>
      </c>
      <c r="C178" s="78" t="s">
        <v>716</v>
      </c>
      <c r="D178" s="79">
        <v>4.0</v>
      </c>
      <c r="E178" s="78" t="s">
        <v>732</v>
      </c>
      <c r="F178" s="78" t="s">
        <v>738</v>
      </c>
      <c r="G178" s="80">
        <v>0.0010416666666666667</v>
      </c>
    </row>
    <row r="179">
      <c r="A179" s="77" t="s">
        <v>543</v>
      </c>
      <c r="B179" s="77" t="s">
        <v>544</v>
      </c>
      <c r="C179" s="78" t="s">
        <v>716</v>
      </c>
      <c r="D179" s="79">
        <v>5.0</v>
      </c>
      <c r="E179" s="78" t="s">
        <v>739</v>
      </c>
      <c r="F179" s="78" t="s">
        <v>741</v>
      </c>
      <c r="G179" s="80">
        <v>0.009386574074074073</v>
      </c>
    </row>
    <row r="180">
      <c r="A180" s="77" t="s">
        <v>543</v>
      </c>
      <c r="B180" s="77" t="s">
        <v>544</v>
      </c>
      <c r="C180" s="78" t="s">
        <v>716</v>
      </c>
      <c r="D180" s="79">
        <v>5.0</v>
      </c>
      <c r="E180" s="78" t="s">
        <v>739</v>
      </c>
      <c r="F180" s="78" t="s">
        <v>742</v>
      </c>
      <c r="G180" s="80">
        <v>0.00712962962962963</v>
      </c>
    </row>
    <row r="181">
      <c r="A181" s="77" t="s">
        <v>543</v>
      </c>
      <c r="B181" s="77" t="s">
        <v>544</v>
      </c>
      <c r="C181" s="78" t="s">
        <v>716</v>
      </c>
      <c r="D181" s="79">
        <v>5.0</v>
      </c>
      <c r="E181" s="78" t="s">
        <v>739</v>
      </c>
      <c r="F181" s="78" t="s">
        <v>743</v>
      </c>
      <c r="G181" s="80">
        <v>0.006527777777777778</v>
      </c>
    </row>
    <row r="182">
      <c r="A182" s="77" t="s">
        <v>543</v>
      </c>
      <c r="B182" s="77" t="s">
        <v>544</v>
      </c>
      <c r="C182" s="78" t="s">
        <v>716</v>
      </c>
      <c r="D182" s="79">
        <v>5.0</v>
      </c>
      <c r="E182" s="78" t="s">
        <v>739</v>
      </c>
      <c r="F182" s="78" t="s">
        <v>1101</v>
      </c>
      <c r="G182" s="80">
        <v>0.0022916666666666667</v>
      </c>
    </row>
    <row r="183">
      <c r="A183" s="77" t="s">
        <v>543</v>
      </c>
      <c r="B183" s="77" t="s">
        <v>544</v>
      </c>
      <c r="C183" s="78" t="s">
        <v>716</v>
      </c>
      <c r="D183" s="79">
        <v>5.0</v>
      </c>
      <c r="E183" s="78" t="s">
        <v>739</v>
      </c>
      <c r="F183" s="78" t="s">
        <v>744</v>
      </c>
      <c r="G183" s="80">
        <v>0.0011805555555555556</v>
      </c>
    </row>
    <row r="184">
      <c r="A184" s="77" t="s">
        <v>543</v>
      </c>
      <c r="B184" s="77" t="s">
        <v>544</v>
      </c>
      <c r="C184" s="78" t="s">
        <v>716</v>
      </c>
      <c r="D184" s="79">
        <v>5.0</v>
      </c>
      <c r="E184" s="78" t="s">
        <v>739</v>
      </c>
      <c r="F184" s="78" t="s">
        <v>745</v>
      </c>
      <c r="G184" s="80">
        <v>0.0022569444444444442</v>
      </c>
    </row>
    <row r="185">
      <c r="A185" s="77" t="s">
        <v>543</v>
      </c>
      <c r="B185" s="77" t="s">
        <v>544</v>
      </c>
      <c r="C185" s="78" t="s">
        <v>716</v>
      </c>
      <c r="D185" s="79">
        <v>5.0</v>
      </c>
      <c r="E185" s="78" t="s">
        <v>739</v>
      </c>
      <c r="F185" s="78" t="s">
        <v>746</v>
      </c>
      <c r="G185" s="80">
        <v>0.0034027777777777776</v>
      </c>
    </row>
    <row r="186">
      <c r="A186" s="77" t="s">
        <v>543</v>
      </c>
      <c r="B186" s="77" t="s">
        <v>544</v>
      </c>
      <c r="C186" s="78" t="s">
        <v>716</v>
      </c>
      <c r="D186" s="79">
        <v>6.0</v>
      </c>
      <c r="E186" s="78" t="s">
        <v>747</v>
      </c>
      <c r="F186" s="78" t="s">
        <v>749</v>
      </c>
      <c r="G186" s="80">
        <v>0.003136574074074074</v>
      </c>
    </row>
    <row r="187">
      <c r="A187" s="77" t="s">
        <v>543</v>
      </c>
      <c r="B187" s="77" t="s">
        <v>544</v>
      </c>
      <c r="C187" s="78" t="s">
        <v>716</v>
      </c>
      <c r="D187" s="79">
        <v>6.0</v>
      </c>
      <c r="E187" s="78" t="s">
        <v>747</v>
      </c>
      <c r="F187" s="78" t="s">
        <v>750</v>
      </c>
      <c r="G187" s="80">
        <v>0.004837962962962963</v>
      </c>
    </row>
    <row r="188">
      <c r="A188" s="77" t="s">
        <v>543</v>
      </c>
      <c r="B188" s="77" t="s">
        <v>544</v>
      </c>
      <c r="C188" s="78" t="s">
        <v>716</v>
      </c>
      <c r="D188" s="79">
        <v>7.0</v>
      </c>
      <c r="E188" s="78" t="s">
        <v>751</v>
      </c>
      <c r="F188" s="78" t="s">
        <v>753</v>
      </c>
      <c r="G188" s="80">
        <v>0.008912037037037038</v>
      </c>
    </row>
    <row r="189">
      <c r="D189" s="81"/>
    </row>
    <row r="190">
      <c r="D190" s="81"/>
    </row>
    <row r="191">
      <c r="D191" s="81"/>
    </row>
    <row r="192">
      <c r="D192" s="81"/>
    </row>
    <row r="193">
      <c r="D193" s="81"/>
    </row>
    <row r="194">
      <c r="D194" s="81"/>
    </row>
    <row r="195">
      <c r="D195" s="81"/>
    </row>
    <row r="196">
      <c r="D196" s="81"/>
    </row>
    <row r="197">
      <c r="D197" s="81"/>
    </row>
    <row r="198">
      <c r="D198" s="81"/>
    </row>
    <row r="199">
      <c r="D199" s="81"/>
    </row>
    <row r="200">
      <c r="D200" s="81"/>
    </row>
    <row r="201">
      <c r="D201" s="81"/>
    </row>
    <row r="202">
      <c r="D202" s="81"/>
    </row>
    <row r="203">
      <c r="D203" s="81"/>
    </row>
    <row r="204">
      <c r="D204" s="81"/>
    </row>
    <row r="205">
      <c r="D205" s="81"/>
    </row>
    <row r="206">
      <c r="D206" s="81"/>
    </row>
    <row r="207">
      <c r="D207" s="81"/>
    </row>
    <row r="208">
      <c r="D208" s="81"/>
    </row>
    <row r="209">
      <c r="D209" s="81"/>
    </row>
    <row r="210">
      <c r="D210" s="81"/>
    </row>
    <row r="211">
      <c r="D211" s="81"/>
    </row>
    <row r="212">
      <c r="D212" s="81"/>
    </row>
    <row r="213">
      <c r="D213" s="81"/>
    </row>
    <row r="214">
      <c r="D214" s="81"/>
    </row>
    <row r="215">
      <c r="D215" s="81"/>
    </row>
    <row r="216">
      <c r="D216" s="81"/>
    </row>
    <row r="217">
      <c r="D217" s="81"/>
    </row>
    <row r="218">
      <c r="D218" s="81"/>
    </row>
    <row r="219">
      <c r="D219" s="81"/>
    </row>
    <row r="220">
      <c r="D220" s="81"/>
    </row>
    <row r="221">
      <c r="D221" s="81"/>
    </row>
    <row r="222">
      <c r="D222" s="81"/>
    </row>
    <row r="223">
      <c r="D223" s="81"/>
    </row>
    <row r="224">
      <c r="D224" s="81"/>
    </row>
    <row r="225">
      <c r="D225" s="81"/>
    </row>
    <row r="226">
      <c r="D226" s="81"/>
    </row>
    <row r="227">
      <c r="D227" s="81"/>
    </row>
    <row r="228">
      <c r="D228" s="81"/>
    </row>
    <row r="229">
      <c r="D229" s="81"/>
    </row>
    <row r="230">
      <c r="D230" s="81"/>
    </row>
    <row r="231">
      <c r="D231" s="81"/>
    </row>
    <row r="232">
      <c r="D232" s="81"/>
    </row>
    <row r="233">
      <c r="D233" s="81"/>
    </row>
    <row r="234">
      <c r="D234" s="81"/>
    </row>
    <row r="235">
      <c r="D235" s="81"/>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12.33"/>
    <col customWidth="1" min="2" max="2" width="15.44"/>
    <col customWidth="1" min="3" max="3" width="24.22"/>
    <col customWidth="1" min="4" max="4" width="7.33"/>
    <col customWidth="1" min="5" max="5" width="39.22"/>
    <col customWidth="1" min="6" max="6" width="53.44"/>
    <col customWidth="1" min="7" max="7" width="7.44"/>
  </cols>
  <sheetData>
    <row r="1">
      <c r="A1" s="82" t="s">
        <v>970</v>
      </c>
      <c r="B1" s="82" t="s">
        <v>989</v>
      </c>
      <c r="C1" s="83" t="s">
        <v>971</v>
      </c>
      <c r="D1" s="83" t="s">
        <v>972</v>
      </c>
      <c r="E1" s="83" t="s">
        <v>1062</v>
      </c>
      <c r="F1" s="83" t="s">
        <v>974</v>
      </c>
      <c r="G1" s="83" t="s">
        <v>975</v>
      </c>
    </row>
    <row r="2">
      <c r="A2" s="84" t="s">
        <v>543</v>
      </c>
      <c r="B2" s="84" t="s">
        <v>754</v>
      </c>
      <c r="C2" s="85" t="s">
        <v>755</v>
      </c>
      <c r="D2" s="86">
        <v>1.0</v>
      </c>
      <c r="E2" s="85" t="s">
        <v>756</v>
      </c>
      <c r="F2" s="85" t="s">
        <v>758</v>
      </c>
      <c r="G2" s="87">
        <v>0.009409722222222222</v>
      </c>
    </row>
    <row r="3">
      <c r="A3" s="84" t="s">
        <v>543</v>
      </c>
      <c r="B3" s="84" t="s">
        <v>754</v>
      </c>
      <c r="C3" s="85" t="s">
        <v>755</v>
      </c>
      <c r="D3" s="86">
        <v>1.0</v>
      </c>
      <c r="E3" s="85" t="s">
        <v>756</v>
      </c>
      <c r="F3" s="85" t="s">
        <v>1102</v>
      </c>
      <c r="G3" s="87">
        <v>0.007905092592592592</v>
      </c>
    </row>
    <row r="4">
      <c r="A4" s="84" t="s">
        <v>543</v>
      </c>
      <c r="B4" s="84" t="s">
        <v>754</v>
      </c>
      <c r="C4" s="85" t="s">
        <v>755</v>
      </c>
      <c r="D4" s="86">
        <v>1.0</v>
      </c>
      <c r="E4" s="85" t="s">
        <v>756</v>
      </c>
      <c r="F4" s="85" t="s">
        <v>1103</v>
      </c>
      <c r="G4" s="87">
        <v>0.011319444444444444</v>
      </c>
    </row>
    <row r="5">
      <c r="A5" s="84" t="s">
        <v>543</v>
      </c>
      <c r="B5" s="84" t="s">
        <v>754</v>
      </c>
      <c r="C5" s="85" t="s">
        <v>755</v>
      </c>
      <c r="D5" s="86">
        <v>1.0</v>
      </c>
      <c r="E5" s="85" t="s">
        <v>756</v>
      </c>
      <c r="F5" s="85" t="s">
        <v>759</v>
      </c>
      <c r="G5" s="87">
        <v>0.010798611111111111</v>
      </c>
    </row>
    <row r="6">
      <c r="A6" s="84" t="s">
        <v>543</v>
      </c>
      <c r="B6" s="84" t="s">
        <v>754</v>
      </c>
      <c r="C6" s="85" t="s">
        <v>755</v>
      </c>
      <c r="D6" s="86">
        <v>1.0</v>
      </c>
      <c r="E6" s="85" t="s">
        <v>756</v>
      </c>
      <c r="F6" s="85" t="s">
        <v>760</v>
      </c>
      <c r="G6" s="87">
        <v>0.009456018518518518</v>
      </c>
    </row>
    <row r="7">
      <c r="A7" s="84" t="s">
        <v>543</v>
      </c>
      <c r="B7" s="84" t="s">
        <v>754</v>
      </c>
      <c r="C7" s="85" t="s">
        <v>755</v>
      </c>
      <c r="D7" s="86">
        <v>1.0</v>
      </c>
      <c r="E7" s="85" t="s">
        <v>756</v>
      </c>
      <c r="F7" s="85" t="s">
        <v>761</v>
      </c>
      <c r="G7" s="87">
        <v>0.011087962962962963</v>
      </c>
    </row>
    <row r="8">
      <c r="A8" s="84" t="s">
        <v>543</v>
      </c>
      <c r="B8" s="84" t="s">
        <v>754</v>
      </c>
      <c r="C8" s="85" t="s">
        <v>755</v>
      </c>
      <c r="D8" s="86">
        <v>1.0</v>
      </c>
      <c r="E8" s="85" t="s">
        <v>756</v>
      </c>
      <c r="F8" s="85" t="s">
        <v>762</v>
      </c>
      <c r="G8" s="87">
        <v>0.004224537037037037</v>
      </c>
    </row>
    <row r="9">
      <c r="A9" s="84" t="s">
        <v>543</v>
      </c>
      <c r="B9" s="84" t="s">
        <v>754</v>
      </c>
      <c r="C9" s="85" t="s">
        <v>755</v>
      </c>
      <c r="D9" s="86">
        <v>1.0</v>
      </c>
      <c r="E9" s="85" t="s">
        <v>756</v>
      </c>
      <c r="F9" s="85" t="s">
        <v>763</v>
      </c>
      <c r="G9" s="87">
        <v>0.007893518518518518</v>
      </c>
    </row>
    <row r="10">
      <c r="A10" s="84" t="s">
        <v>543</v>
      </c>
      <c r="B10" s="84" t="s">
        <v>754</v>
      </c>
      <c r="C10" s="85" t="s">
        <v>755</v>
      </c>
      <c r="D10" s="86">
        <v>1.0</v>
      </c>
      <c r="E10" s="85" t="s">
        <v>756</v>
      </c>
      <c r="F10" s="85" t="s">
        <v>1104</v>
      </c>
      <c r="G10" s="87">
        <v>0.012256944444444445</v>
      </c>
    </row>
    <row r="11">
      <c r="A11" s="84" t="s">
        <v>543</v>
      </c>
      <c r="B11" s="84" t="s">
        <v>754</v>
      </c>
      <c r="C11" s="85" t="s">
        <v>755</v>
      </c>
      <c r="D11" s="86">
        <v>1.0</v>
      </c>
      <c r="E11" s="85" t="s">
        <v>756</v>
      </c>
      <c r="F11" s="85" t="s">
        <v>764</v>
      </c>
      <c r="G11" s="87">
        <v>0.011435185185185185</v>
      </c>
    </row>
    <row r="12">
      <c r="A12" s="84" t="s">
        <v>543</v>
      </c>
      <c r="B12" s="84" t="s">
        <v>754</v>
      </c>
      <c r="C12" s="85" t="s">
        <v>755</v>
      </c>
      <c r="D12" s="86">
        <v>1.0</v>
      </c>
      <c r="E12" s="85" t="s">
        <v>756</v>
      </c>
      <c r="F12" s="85" t="s">
        <v>765</v>
      </c>
      <c r="G12" s="87">
        <v>0.01734953703703704</v>
      </c>
    </row>
    <row r="13">
      <c r="A13" s="84" t="s">
        <v>543</v>
      </c>
      <c r="B13" s="84" t="s">
        <v>754</v>
      </c>
      <c r="C13" s="85" t="s">
        <v>755</v>
      </c>
      <c r="D13" s="86">
        <v>1.0</v>
      </c>
      <c r="E13" s="85" t="s">
        <v>756</v>
      </c>
      <c r="F13" s="85" t="s">
        <v>766</v>
      </c>
      <c r="G13" s="87">
        <v>0.013668981481481482</v>
      </c>
    </row>
    <row r="14">
      <c r="A14" s="84" t="s">
        <v>543</v>
      </c>
      <c r="B14" s="84" t="s">
        <v>754</v>
      </c>
      <c r="C14" s="85" t="s">
        <v>755</v>
      </c>
      <c r="D14" s="86">
        <v>1.0</v>
      </c>
      <c r="E14" s="85" t="s">
        <v>756</v>
      </c>
      <c r="F14" s="85" t="s">
        <v>767</v>
      </c>
      <c r="G14" s="87">
        <v>0.014282407407407407</v>
      </c>
    </row>
    <row r="15">
      <c r="A15" s="84" t="s">
        <v>543</v>
      </c>
      <c r="B15" s="84" t="s">
        <v>754</v>
      </c>
      <c r="C15" s="85" t="s">
        <v>755</v>
      </c>
      <c r="D15" s="86">
        <v>1.0</v>
      </c>
      <c r="E15" s="85" t="s">
        <v>756</v>
      </c>
      <c r="F15" s="85" t="s">
        <v>768</v>
      </c>
      <c r="G15" s="87">
        <v>0.009675925925925926</v>
      </c>
    </row>
    <row r="16">
      <c r="A16" s="84" t="s">
        <v>543</v>
      </c>
      <c r="B16" s="84" t="s">
        <v>754</v>
      </c>
      <c r="C16" s="85" t="s">
        <v>755</v>
      </c>
      <c r="D16" s="86">
        <v>1.0</v>
      </c>
      <c r="E16" s="85" t="s">
        <v>756</v>
      </c>
      <c r="F16" s="85" t="s">
        <v>769</v>
      </c>
      <c r="G16" s="87">
        <v>0.05555555555555555</v>
      </c>
    </row>
    <row r="17">
      <c r="A17" s="84" t="s">
        <v>543</v>
      </c>
      <c r="B17" s="84" t="s">
        <v>754</v>
      </c>
      <c r="C17" s="85" t="s">
        <v>755</v>
      </c>
      <c r="D17" s="86">
        <v>1.0</v>
      </c>
      <c r="E17" s="85" t="s">
        <v>756</v>
      </c>
      <c r="F17" s="85" t="s">
        <v>770</v>
      </c>
      <c r="G17" s="87">
        <v>0.05555555555555555</v>
      </c>
    </row>
    <row r="18">
      <c r="A18" s="84" t="s">
        <v>543</v>
      </c>
      <c r="B18" s="84" t="s">
        <v>754</v>
      </c>
      <c r="C18" s="85" t="s">
        <v>755</v>
      </c>
      <c r="D18" s="86">
        <v>2.0</v>
      </c>
      <c r="E18" s="85" t="s">
        <v>771</v>
      </c>
      <c r="F18" s="85" t="s">
        <v>773</v>
      </c>
      <c r="G18" s="87">
        <v>0.015520833333333333</v>
      </c>
    </row>
    <row r="19">
      <c r="A19" s="84" t="s">
        <v>543</v>
      </c>
      <c r="B19" s="84" t="s">
        <v>754</v>
      </c>
      <c r="C19" s="85" t="s">
        <v>755</v>
      </c>
      <c r="D19" s="86">
        <v>2.0</v>
      </c>
      <c r="E19" s="85" t="s">
        <v>771</v>
      </c>
      <c r="F19" s="85" t="s">
        <v>774</v>
      </c>
      <c r="G19" s="87">
        <v>0.014756944444444444</v>
      </c>
    </row>
    <row r="20">
      <c r="A20" s="84" t="s">
        <v>543</v>
      </c>
      <c r="B20" s="84" t="s">
        <v>754</v>
      </c>
      <c r="C20" s="85" t="s">
        <v>755</v>
      </c>
      <c r="D20" s="86">
        <v>2.0</v>
      </c>
      <c r="E20" s="85" t="s">
        <v>771</v>
      </c>
      <c r="F20" s="85" t="s">
        <v>775</v>
      </c>
      <c r="G20" s="87">
        <v>0.011516203703703704</v>
      </c>
    </row>
    <row r="21">
      <c r="A21" s="84" t="s">
        <v>543</v>
      </c>
      <c r="B21" s="84" t="s">
        <v>754</v>
      </c>
      <c r="C21" s="85" t="s">
        <v>755</v>
      </c>
      <c r="D21" s="86">
        <v>2.0</v>
      </c>
      <c r="E21" s="85" t="s">
        <v>771</v>
      </c>
      <c r="F21" s="85" t="s">
        <v>776</v>
      </c>
      <c r="G21" s="87">
        <v>0.01628472222222222</v>
      </c>
    </row>
    <row r="22">
      <c r="A22" s="84" t="s">
        <v>543</v>
      </c>
      <c r="B22" s="84" t="s">
        <v>754</v>
      </c>
      <c r="C22" s="85" t="s">
        <v>755</v>
      </c>
      <c r="D22" s="86">
        <v>2.0</v>
      </c>
      <c r="E22" s="85" t="s">
        <v>771</v>
      </c>
      <c r="F22" s="85" t="s">
        <v>777</v>
      </c>
      <c r="G22" s="87">
        <v>0.01119212962962963</v>
      </c>
    </row>
    <row r="23">
      <c r="A23" s="84" t="s">
        <v>543</v>
      </c>
      <c r="B23" s="84" t="s">
        <v>754</v>
      </c>
      <c r="C23" s="85" t="s">
        <v>755</v>
      </c>
      <c r="D23" s="86">
        <v>2.0</v>
      </c>
      <c r="E23" s="85" t="s">
        <v>771</v>
      </c>
      <c r="F23" s="85" t="s">
        <v>1105</v>
      </c>
      <c r="G23" s="87">
        <v>0.013518518518518518</v>
      </c>
    </row>
    <row r="24">
      <c r="A24" s="84" t="s">
        <v>543</v>
      </c>
      <c r="B24" s="84" t="s">
        <v>754</v>
      </c>
      <c r="C24" s="85" t="s">
        <v>755</v>
      </c>
      <c r="D24" s="86">
        <v>2.0</v>
      </c>
      <c r="E24" s="85" t="s">
        <v>771</v>
      </c>
      <c r="F24" s="85" t="s">
        <v>778</v>
      </c>
      <c r="G24" s="87">
        <v>0.010914351851851852</v>
      </c>
    </row>
    <row r="25">
      <c r="A25" s="84" t="s">
        <v>543</v>
      </c>
      <c r="B25" s="84" t="s">
        <v>754</v>
      </c>
      <c r="C25" s="85" t="s">
        <v>755</v>
      </c>
      <c r="D25" s="86">
        <v>2.0</v>
      </c>
      <c r="E25" s="85" t="s">
        <v>771</v>
      </c>
      <c r="F25" s="85" t="s">
        <v>779</v>
      </c>
      <c r="G25" s="87">
        <v>0.011122685185185185</v>
      </c>
    </row>
    <row r="26">
      <c r="A26" s="84" t="s">
        <v>543</v>
      </c>
      <c r="B26" s="84" t="s">
        <v>754</v>
      </c>
      <c r="C26" s="85" t="s">
        <v>755</v>
      </c>
      <c r="D26" s="86">
        <v>2.0</v>
      </c>
      <c r="E26" s="85" t="s">
        <v>771</v>
      </c>
      <c r="F26" s="85" t="s">
        <v>780</v>
      </c>
      <c r="G26" s="87">
        <v>0.016412037037037037</v>
      </c>
    </row>
    <row r="27">
      <c r="A27" s="84" t="s">
        <v>543</v>
      </c>
      <c r="B27" s="84" t="s">
        <v>754</v>
      </c>
      <c r="C27" s="85" t="s">
        <v>755</v>
      </c>
      <c r="D27" s="86">
        <v>2.0</v>
      </c>
      <c r="E27" s="85" t="s">
        <v>771</v>
      </c>
      <c r="F27" s="85" t="s">
        <v>781</v>
      </c>
      <c r="G27" s="87">
        <v>0.011087962962962963</v>
      </c>
    </row>
    <row r="28">
      <c r="A28" s="84" t="s">
        <v>543</v>
      </c>
      <c r="B28" s="84" t="s">
        <v>754</v>
      </c>
      <c r="C28" s="85" t="s">
        <v>755</v>
      </c>
      <c r="D28" s="86">
        <v>2.0</v>
      </c>
      <c r="E28" s="85" t="s">
        <v>771</v>
      </c>
      <c r="F28" s="85" t="s">
        <v>782</v>
      </c>
      <c r="G28" s="87">
        <v>0.041666666666666664</v>
      </c>
    </row>
    <row r="29">
      <c r="A29" s="84" t="s">
        <v>543</v>
      </c>
      <c r="B29" s="84" t="s">
        <v>754</v>
      </c>
      <c r="C29" s="85" t="s">
        <v>755</v>
      </c>
      <c r="D29" s="86">
        <v>2.0</v>
      </c>
      <c r="E29" s="85" t="s">
        <v>771</v>
      </c>
      <c r="F29" s="85" t="s">
        <v>783</v>
      </c>
      <c r="G29" s="87">
        <v>0.05555555555555555</v>
      </c>
    </row>
    <row r="30">
      <c r="A30" s="84" t="s">
        <v>543</v>
      </c>
      <c r="B30" s="84" t="s">
        <v>754</v>
      </c>
      <c r="C30" s="85" t="s">
        <v>784</v>
      </c>
      <c r="D30" s="86">
        <v>1.0</v>
      </c>
      <c r="E30" s="85" t="s">
        <v>785</v>
      </c>
      <c r="F30" s="85" t="s">
        <v>1106</v>
      </c>
      <c r="G30" s="87">
        <v>0.018287037037037036</v>
      </c>
    </row>
    <row r="31">
      <c r="A31" s="84" t="s">
        <v>543</v>
      </c>
      <c r="B31" s="84" t="s">
        <v>754</v>
      </c>
      <c r="C31" s="85" t="s">
        <v>784</v>
      </c>
      <c r="D31" s="86">
        <v>1.0</v>
      </c>
      <c r="E31" s="85" t="s">
        <v>785</v>
      </c>
      <c r="F31" s="85" t="s">
        <v>786</v>
      </c>
      <c r="G31" s="87">
        <v>0.010636574074074074</v>
      </c>
    </row>
    <row r="32">
      <c r="A32" s="84" t="s">
        <v>543</v>
      </c>
      <c r="B32" s="84" t="s">
        <v>754</v>
      </c>
      <c r="C32" s="85" t="s">
        <v>784</v>
      </c>
      <c r="D32" s="86">
        <v>1.0</v>
      </c>
      <c r="E32" s="85" t="s">
        <v>785</v>
      </c>
      <c r="F32" s="85" t="s">
        <v>787</v>
      </c>
      <c r="G32" s="87">
        <v>0.014108796296296296</v>
      </c>
    </row>
    <row r="33">
      <c r="A33" s="84" t="s">
        <v>543</v>
      </c>
      <c r="B33" s="84" t="s">
        <v>754</v>
      </c>
      <c r="C33" s="85" t="s">
        <v>784</v>
      </c>
      <c r="D33" s="86">
        <v>1.0</v>
      </c>
      <c r="E33" s="85" t="s">
        <v>785</v>
      </c>
      <c r="F33" s="85" t="s">
        <v>788</v>
      </c>
      <c r="G33" s="87">
        <v>0.041666666666666664</v>
      </c>
    </row>
    <row r="34">
      <c r="A34" s="84" t="s">
        <v>543</v>
      </c>
      <c r="B34" s="84" t="s">
        <v>754</v>
      </c>
      <c r="C34" s="85" t="s">
        <v>784</v>
      </c>
      <c r="D34" s="86">
        <v>2.0</v>
      </c>
      <c r="E34" s="85" t="s">
        <v>789</v>
      </c>
      <c r="F34" s="85" t="s">
        <v>791</v>
      </c>
      <c r="G34" s="87">
        <v>0.01670138888888889</v>
      </c>
    </row>
    <row r="35">
      <c r="A35" s="84" t="s">
        <v>543</v>
      </c>
      <c r="B35" s="84" t="s">
        <v>754</v>
      </c>
      <c r="C35" s="85" t="s">
        <v>784</v>
      </c>
      <c r="D35" s="86">
        <v>2.0</v>
      </c>
      <c r="E35" s="85" t="s">
        <v>789</v>
      </c>
      <c r="F35" s="85" t="s">
        <v>792</v>
      </c>
      <c r="G35" s="87">
        <v>0.012268518518518519</v>
      </c>
    </row>
    <row r="36">
      <c r="A36" s="84" t="s">
        <v>543</v>
      </c>
      <c r="B36" s="84" t="s">
        <v>754</v>
      </c>
      <c r="C36" s="85" t="s">
        <v>784</v>
      </c>
      <c r="D36" s="86">
        <v>2.0</v>
      </c>
      <c r="E36" s="85" t="s">
        <v>789</v>
      </c>
      <c r="F36" s="85" t="s">
        <v>793</v>
      </c>
      <c r="G36" s="87">
        <v>0.00974537037037037</v>
      </c>
    </row>
    <row r="37">
      <c r="A37" s="84" t="s">
        <v>543</v>
      </c>
      <c r="B37" s="84" t="s">
        <v>754</v>
      </c>
      <c r="C37" s="85" t="s">
        <v>784</v>
      </c>
      <c r="D37" s="86">
        <v>2.0</v>
      </c>
      <c r="E37" s="85" t="s">
        <v>789</v>
      </c>
      <c r="F37" s="85" t="s">
        <v>794</v>
      </c>
      <c r="G37" s="87">
        <v>0.006724537037037037</v>
      </c>
    </row>
    <row r="38">
      <c r="A38" s="84" t="s">
        <v>543</v>
      </c>
      <c r="B38" s="84" t="s">
        <v>754</v>
      </c>
      <c r="C38" s="85" t="s">
        <v>784</v>
      </c>
      <c r="D38" s="86">
        <v>2.0</v>
      </c>
      <c r="E38" s="85" t="s">
        <v>789</v>
      </c>
      <c r="F38" s="85" t="s">
        <v>795</v>
      </c>
      <c r="G38" s="87">
        <v>0.010844907407407407</v>
      </c>
    </row>
    <row r="39">
      <c r="A39" s="84" t="s">
        <v>543</v>
      </c>
      <c r="B39" s="84" t="s">
        <v>754</v>
      </c>
      <c r="C39" s="85" t="s">
        <v>784</v>
      </c>
      <c r="D39" s="86">
        <v>2.0</v>
      </c>
      <c r="E39" s="85" t="s">
        <v>789</v>
      </c>
      <c r="F39" s="85" t="s">
        <v>796</v>
      </c>
      <c r="G39" s="87">
        <v>0.007997685185185186</v>
      </c>
    </row>
    <row r="40">
      <c r="A40" s="84" t="s">
        <v>543</v>
      </c>
      <c r="B40" s="84" t="s">
        <v>754</v>
      </c>
      <c r="C40" s="85" t="s">
        <v>784</v>
      </c>
      <c r="D40" s="86">
        <v>2.0</v>
      </c>
      <c r="E40" s="85" t="s">
        <v>789</v>
      </c>
      <c r="F40" s="85" t="s">
        <v>1107</v>
      </c>
      <c r="G40" s="87">
        <v>0.041666666666666664</v>
      </c>
    </row>
    <row r="41">
      <c r="A41" s="84" t="s">
        <v>543</v>
      </c>
      <c r="B41" s="84" t="s">
        <v>754</v>
      </c>
      <c r="C41" s="85" t="s">
        <v>797</v>
      </c>
      <c r="D41" s="86">
        <v>1.0</v>
      </c>
      <c r="E41" s="85" t="s">
        <v>798</v>
      </c>
      <c r="F41" s="85" t="s">
        <v>799</v>
      </c>
      <c r="G41" s="87">
        <v>0.012673611111111111</v>
      </c>
    </row>
    <row r="42">
      <c r="A42" s="84" t="s">
        <v>543</v>
      </c>
      <c r="B42" s="84" t="s">
        <v>754</v>
      </c>
      <c r="C42" s="85" t="s">
        <v>797</v>
      </c>
      <c r="D42" s="86">
        <v>1.0</v>
      </c>
      <c r="E42" s="85" t="s">
        <v>798</v>
      </c>
      <c r="F42" s="85" t="s">
        <v>800</v>
      </c>
      <c r="G42" s="87">
        <v>0.013530092592592592</v>
      </c>
    </row>
    <row r="43">
      <c r="A43" s="84" t="s">
        <v>543</v>
      </c>
      <c r="B43" s="84" t="s">
        <v>754</v>
      </c>
      <c r="C43" s="85" t="s">
        <v>797</v>
      </c>
      <c r="D43" s="86">
        <v>1.0</v>
      </c>
      <c r="E43" s="85" t="s">
        <v>798</v>
      </c>
      <c r="F43" s="85" t="s">
        <v>801</v>
      </c>
      <c r="G43" s="87">
        <v>0.008101851851851851</v>
      </c>
    </row>
    <row r="44">
      <c r="A44" s="84" t="s">
        <v>543</v>
      </c>
      <c r="B44" s="84" t="s">
        <v>754</v>
      </c>
      <c r="C44" s="85" t="s">
        <v>797</v>
      </c>
      <c r="D44" s="86">
        <v>1.0</v>
      </c>
      <c r="E44" s="85" t="s">
        <v>798</v>
      </c>
      <c r="F44" s="85" t="s">
        <v>1108</v>
      </c>
      <c r="G44" s="87">
        <v>0.006666666666666667</v>
      </c>
    </row>
    <row r="45">
      <c r="A45" s="84" t="s">
        <v>543</v>
      </c>
      <c r="B45" s="84" t="s">
        <v>754</v>
      </c>
      <c r="C45" s="85" t="s">
        <v>797</v>
      </c>
      <c r="D45" s="86">
        <v>1.0</v>
      </c>
      <c r="E45" s="85" t="s">
        <v>798</v>
      </c>
      <c r="F45" s="85" t="s">
        <v>802</v>
      </c>
      <c r="G45" s="87">
        <v>0.017025462962962964</v>
      </c>
    </row>
    <row r="46">
      <c r="A46" s="84" t="s">
        <v>543</v>
      </c>
      <c r="B46" s="84" t="s">
        <v>754</v>
      </c>
      <c r="C46" s="85" t="s">
        <v>797</v>
      </c>
      <c r="D46" s="86">
        <v>1.0</v>
      </c>
      <c r="E46" s="85" t="s">
        <v>798</v>
      </c>
      <c r="F46" s="85" t="s">
        <v>803</v>
      </c>
      <c r="G46" s="87">
        <v>0.021782407407407407</v>
      </c>
    </row>
    <row r="47">
      <c r="A47" s="84" t="s">
        <v>543</v>
      </c>
      <c r="B47" s="84" t="s">
        <v>754</v>
      </c>
      <c r="C47" s="85" t="s">
        <v>797</v>
      </c>
      <c r="D47" s="86">
        <v>2.0</v>
      </c>
      <c r="E47" s="85" t="s">
        <v>804</v>
      </c>
      <c r="F47" s="85" t="s">
        <v>805</v>
      </c>
      <c r="G47" s="87">
        <v>0.013738425925925926</v>
      </c>
    </row>
    <row r="48">
      <c r="A48" s="84" t="s">
        <v>543</v>
      </c>
      <c r="B48" s="84" t="s">
        <v>754</v>
      </c>
      <c r="C48" s="85" t="s">
        <v>797</v>
      </c>
      <c r="D48" s="86">
        <v>2.0</v>
      </c>
      <c r="E48" s="85" t="s">
        <v>804</v>
      </c>
      <c r="F48" s="85" t="s">
        <v>806</v>
      </c>
      <c r="G48" s="87">
        <v>0.009363425925925926</v>
      </c>
    </row>
    <row r="49">
      <c r="A49" s="84" t="s">
        <v>543</v>
      </c>
      <c r="B49" s="84" t="s">
        <v>754</v>
      </c>
      <c r="C49" s="85" t="s">
        <v>797</v>
      </c>
      <c r="D49" s="86">
        <v>2.0</v>
      </c>
      <c r="E49" s="85" t="s">
        <v>804</v>
      </c>
      <c r="F49" s="85" t="s">
        <v>807</v>
      </c>
      <c r="G49" s="87">
        <v>0.00931712962962963</v>
      </c>
    </row>
    <row r="50">
      <c r="A50" s="84" t="s">
        <v>543</v>
      </c>
      <c r="B50" s="84" t="s">
        <v>754</v>
      </c>
      <c r="C50" s="85" t="s">
        <v>797</v>
      </c>
      <c r="D50" s="86">
        <v>2.0</v>
      </c>
      <c r="E50" s="85" t="s">
        <v>804</v>
      </c>
      <c r="F50" s="85" t="s">
        <v>808</v>
      </c>
      <c r="G50" s="87">
        <v>0.01392361111111111</v>
      </c>
    </row>
    <row r="51">
      <c r="A51" s="84" t="s">
        <v>543</v>
      </c>
      <c r="B51" s="84" t="s">
        <v>754</v>
      </c>
      <c r="C51" s="85" t="s">
        <v>797</v>
      </c>
      <c r="D51" s="86">
        <v>2.0</v>
      </c>
      <c r="E51" s="85" t="s">
        <v>804</v>
      </c>
      <c r="F51" s="85" t="s">
        <v>721</v>
      </c>
      <c r="G51" s="87">
        <v>0.015752314814814816</v>
      </c>
    </row>
    <row r="52">
      <c r="A52" s="84" t="s">
        <v>543</v>
      </c>
      <c r="B52" s="84" t="s">
        <v>754</v>
      </c>
      <c r="C52" s="85" t="s">
        <v>797</v>
      </c>
      <c r="D52" s="86">
        <v>2.0</v>
      </c>
      <c r="E52" s="85" t="s">
        <v>804</v>
      </c>
      <c r="F52" s="85" t="s">
        <v>809</v>
      </c>
      <c r="G52" s="87">
        <v>0.019479166666666665</v>
      </c>
    </row>
    <row r="53">
      <c r="A53" s="84" t="s">
        <v>543</v>
      </c>
      <c r="B53" s="84" t="s">
        <v>754</v>
      </c>
      <c r="C53" s="85" t="s">
        <v>797</v>
      </c>
      <c r="D53" s="86">
        <v>3.0</v>
      </c>
      <c r="E53" s="85" t="s">
        <v>810</v>
      </c>
      <c r="F53" s="85" t="s">
        <v>811</v>
      </c>
      <c r="G53" s="87">
        <v>0.00849537037037037</v>
      </c>
    </row>
    <row r="54">
      <c r="A54" s="84" t="s">
        <v>543</v>
      </c>
      <c r="B54" s="84" t="s">
        <v>754</v>
      </c>
      <c r="C54" s="85" t="s">
        <v>797</v>
      </c>
      <c r="D54" s="86">
        <v>3.0</v>
      </c>
      <c r="E54" s="85" t="s">
        <v>810</v>
      </c>
      <c r="F54" s="85" t="s">
        <v>1109</v>
      </c>
      <c r="G54" s="87">
        <v>0.013159722222222222</v>
      </c>
    </row>
    <row r="55">
      <c r="A55" s="84" t="s">
        <v>543</v>
      </c>
      <c r="B55" s="84" t="s">
        <v>754</v>
      </c>
      <c r="C55" s="85" t="s">
        <v>797</v>
      </c>
      <c r="D55" s="86">
        <v>3.0</v>
      </c>
      <c r="E55" s="85" t="s">
        <v>810</v>
      </c>
      <c r="F55" s="85" t="s">
        <v>727</v>
      </c>
      <c r="G55" s="87">
        <v>0.012256944444444445</v>
      </c>
    </row>
    <row r="56">
      <c r="A56" s="84" t="s">
        <v>543</v>
      </c>
      <c r="B56" s="84" t="s">
        <v>754</v>
      </c>
      <c r="C56" s="85" t="s">
        <v>797</v>
      </c>
      <c r="D56" s="86">
        <v>3.0</v>
      </c>
      <c r="E56" s="85" t="s">
        <v>810</v>
      </c>
      <c r="F56" s="85" t="s">
        <v>1110</v>
      </c>
      <c r="G56" s="87">
        <v>0.01173611111111111</v>
      </c>
    </row>
    <row r="57">
      <c r="A57" s="84" t="s">
        <v>543</v>
      </c>
      <c r="B57" s="84" t="s">
        <v>754</v>
      </c>
      <c r="C57" s="85" t="s">
        <v>797</v>
      </c>
      <c r="D57" s="86">
        <v>3.0</v>
      </c>
      <c r="E57" s="85" t="s">
        <v>810</v>
      </c>
      <c r="F57" s="85" t="s">
        <v>1111</v>
      </c>
      <c r="G57" s="87">
        <v>0.01494212962962963</v>
      </c>
    </row>
    <row r="58">
      <c r="A58" s="84" t="s">
        <v>543</v>
      </c>
      <c r="B58" s="84" t="s">
        <v>754</v>
      </c>
      <c r="C58" s="85" t="s">
        <v>797</v>
      </c>
      <c r="D58" s="86">
        <v>4.0</v>
      </c>
      <c r="E58" s="85" t="s">
        <v>732</v>
      </c>
      <c r="F58" s="85" t="s">
        <v>734</v>
      </c>
      <c r="G58" s="87">
        <v>0.014016203703703704</v>
      </c>
    </row>
    <row r="59">
      <c r="A59" s="84" t="s">
        <v>543</v>
      </c>
      <c r="B59" s="84" t="s">
        <v>754</v>
      </c>
      <c r="C59" s="85" t="s">
        <v>797</v>
      </c>
      <c r="D59" s="86">
        <v>4.0</v>
      </c>
      <c r="E59" s="85" t="s">
        <v>732</v>
      </c>
      <c r="F59" s="85" t="s">
        <v>812</v>
      </c>
      <c r="G59" s="87">
        <v>0.011539351851851851</v>
      </c>
    </row>
    <row r="60">
      <c r="A60" s="84" t="s">
        <v>543</v>
      </c>
      <c r="B60" s="84" t="s">
        <v>754</v>
      </c>
      <c r="C60" s="85" t="s">
        <v>797</v>
      </c>
      <c r="D60" s="86">
        <v>4.0</v>
      </c>
      <c r="E60" s="85" t="s">
        <v>732</v>
      </c>
      <c r="F60" s="85" t="s">
        <v>1112</v>
      </c>
      <c r="G60" s="87">
        <v>0.02761574074074074</v>
      </c>
    </row>
    <row r="61">
      <c r="A61" s="84" t="s">
        <v>543</v>
      </c>
      <c r="B61" s="84" t="s">
        <v>754</v>
      </c>
      <c r="C61" s="85" t="s">
        <v>797</v>
      </c>
      <c r="D61" s="86">
        <v>4.0</v>
      </c>
      <c r="E61" s="85" t="s">
        <v>732</v>
      </c>
      <c r="F61" s="85" t="s">
        <v>813</v>
      </c>
      <c r="G61" s="87">
        <v>0.012847222222222222</v>
      </c>
    </row>
    <row r="62">
      <c r="A62" s="84" t="s">
        <v>543</v>
      </c>
      <c r="B62" s="84" t="s">
        <v>754</v>
      </c>
      <c r="C62" s="85" t="s">
        <v>797</v>
      </c>
      <c r="D62" s="86">
        <v>4.0</v>
      </c>
      <c r="E62" s="85" t="s">
        <v>732</v>
      </c>
      <c r="F62" s="85" t="s">
        <v>814</v>
      </c>
      <c r="G62" s="87">
        <v>0.010949074074074075</v>
      </c>
    </row>
    <row r="63">
      <c r="A63" s="84" t="s">
        <v>543</v>
      </c>
      <c r="B63" s="84" t="s">
        <v>754</v>
      </c>
      <c r="C63" s="85" t="s">
        <v>797</v>
      </c>
      <c r="D63" s="86">
        <v>4.0</v>
      </c>
      <c r="E63" s="85" t="s">
        <v>732</v>
      </c>
      <c r="F63" s="85" t="s">
        <v>815</v>
      </c>
      <c r="G63" s="87">
        <v>0.01885416666666667</v>
      </c>
    </row>
    <row r="64">
      <c r="A64" s="84" t="s">
        <v>543</v>
      </c>
      <c r="B64" s="84" t="s">
        <v>754</v>
      </c>
      <c r="C64" s="85" t="s">
        <v>797</v>
      </c>
      <c r="D64" s="86">
        <v>4.0</v>
      </c>
      <c r="E64" s="85" t="s">
        <v>732</v>
      </c>
      <c r="F64" s="85" t="s">
        <v>1113</v>
      </c>
      <c r="G64" s="87">
        <v>0.05555555555555555</v>
      </c>
    </row>
    <row r="65">
      <c r="A65" s="84" t="s">
        <v>543</v>
      </c>
      <c r="B65" s="84" t="s">
        <v>754</v>
      </c>
      <c r="C65" s="85" t="s">
        <v>797</v>
      </c>
      <c r="D65" s="86">
        <v>5.0</v>
      </c>
      <c r="E65" s="85" t="s">
        <v>739</v>
      </c>
      <c r="F65" s="85" t="s">
        <v>741</v>
      </c>
      <c r="G65" s="87">
        <v>0.013900462962962963</v>
      </c>
    </row>
    <row r="66">
      <c r="A66" s="84" t="s">
        <v>543</v>
      </c>
      <c r="B66" s="84" t="s">
        <v>754</v>
      </c>
      <c r="C66" s="85" t="s">
        <v>797</v>
      </c>
      <c r="D66" s="86">
        <v>5.0</v>
      </c>
      <c r="E66" s="85" t="s">
        <v>739</v>
      </c>
      <c r="F66" s="85" t="s">
        <v>816</v>
      </c>
      <c r="G66" s="87">
        <v>0.005405092592592592</v>
      </c>
    </row>
    <row r="67">
      <c r="A67" s="84" t="s">
        <v>543</v>
      </c>
      <c r="B67" s="84" t="s">
        <v>754</v>
      </c>
      <c r="C67" s="85" t="s">
        <v>797</v>
      </c>
      <c r="D67" s="86">
        <v>5.0</v>
      </c>
      <c r="E67" s="85" t="s">
        <v>739</v>
      </c>
      <c r="F67" s="85" t="s">
        <v>1114</v>
      </c>
      <c r="G67" s="87">
        <v>0.01568287037037037</v>
      </c>
    </row>
    <row r="68">
      <c r="A68" s="84" t="s">
        <v>543</v>
      </c>
      <c r="B68" s="84" t="s">
        <v>754</v>
      </c>
      <c r="C68" s="85" t="s">
        <v>797</v>
      </c>
      <c r="D68" s="86">
        <v>5.0</v>
      </c>
      <c r="E68" s="85" t="s">
        <v>739</v>
      </c>
      <c r="F68" s="85" t="s">
        <v>817</v>
      </c>
      <c r="G68" s="87">
        <v>0.00542824074074074</v>
      </c>
    </row>
    <row r="69">
      <c r="A69" s="84" t="s">
        <v>543</v>
      </c>
      <c r="B69" s="84" t="s">
        <v>754</v>
      </c>
      <c r="C69" s="85" t="s">
        <v>797</v>
      </c>
      <c r="D69" s="86">
        <v>5.0</v>
      </c>
      <c r="E69" s="85" t="s">
        <v>739</v>
      </c>
      <c r="F69" s="85" t="s">
        <v>818</v>
      </c>
      <c r="G69" s="87">
        <v>0.02771990740740741</v>
      </c>
    </row>
    <row r="70">
      <c r="A70" s="84" t="s">
        <v>543</v>
      </c>
      <c r="B70" s="84" t="s">
        <v>754</v>
      </c>
      <c r="C70" s="85" t="s">
        <v>797</v>
      </c>
      <c r="D70" s="86">
        <v>5.0</v>
      </c>
      <c r="E70" s="85" t="s">
        <v>739</v>
      </c>
      <c r="F70" s="85" t="s">
        <v>819</v>
      </c>
      <c r="G70" s="87">
        <v>0.01545138888888889</v>
      </c>
    </row>
    <row r="71">
      <c r="A71" s="84" t="s">
        <v>543</v>
      </c>
      <c r="B71" s="84" t="s">
        <v>754</v>
      </c>
      <c r="C71" s="85" t="s">
        <v>797</v>
      </c>
      <c r="D71" s="86">
        <v>5.0</v>
      </c>
      <c r="E71" s="85" t="s">
        <v>739</v>
      </c>
      <c r="F71" s="85" t="s">
        <v>820</v>
      </c>
      <c r="G71" s="87">
        <v>0.012233796296296296</v>
      </c>
    </row>
    <row r="72">
      <c r="A72" s="84" t="s">
        <v>543</v>
      </c>
      <c r="B72" s="84" t="s">
        <v>754</v>
      </c>
      <c r="C72" s="85" t="s">
        <v>797</v>
      </c>
      <c r="D72" s="86">
        <v>5.0</v>
      </c>
      <c r="E72" s="85" t="s">
        <v>739</v>
      </c>
      <c r="F72" s="85" t="s">
        <v>821</v>
      </c>
      <c r="G72" s="87">
        <v>0.013541666666666667</v>
      </c>
    </row>
    <row r="73">
      <c r="A73" s="84" t="s">
        <v>543</v>
      </c>
      <c r="B73" s="84" t="s">
        <v>754</v>
      </c>
      <c r="C73" s="85" t="s">
        <v>797</v>
      </c>
      <c r="D73" s="86">
        <v>5.0</v>
      </c>
      <c r="E73" s="85" t="s">
        <v>739</v>
      </c>
      <c r="F73" s="85" t="s">
        <v>822</v>
      </c>
      <c r="G73" s="87">
        <v>0.015324074074074073</v>
      </c>
    </row>
    <row r="74">
      <c r="A74" s="84" t="s">
        <v>543</v>
      </c>
      <c r="B74" s="84" t="s">
        <v>754</v>
      </c>
      <c r="C74" s="85" t="s">
        <v>797</v>
      </c>
      <c r="D74" s="86">
        <v>5.0</v>
      </c>
      <c r="E74" s="85" t="s">
        <v>739</v>
      </c>
      <c r="F74" s="85" t="s">
        <v>823</v>
      </c>
      <c r="G74" s="87">
        <v>0.05555555555555555</v>
      </c>
    </row>
    <row r="75">
      <c r="A75" s="84" t="s">
        <v>543</v>
      </c>
      <c r="B75" s="84" t="s">
        <v>754</v>
      </c>
      <c r="C75" s="85" t="s">
        <v>797</v>
      </c>
      <c r="D75" s="86">
        <v>6.0</v>
      </c>
      <c r="E75" s="85" t="s">
        <v>824</v>
      </c>
      <c r="F75" s="85" t="s">
        <v>1115</v>
      </c>
      <c r="G75" s="87">
        <v>0.019097222222222224</v>
      </c>
    </row>
    <row r="76">
      <c r="A76" s="84" t="s">
        <v>543</v>
      </c>
      <c r="B76" s="84" t="s">
        <v>754</v>
      </c>
      <c r="C76" s="85" t="s">
        <v>797</v>
      </c>
      <c r="D76" s="86">
        <v>6.0</v>
      </c>
      <c r="E76" s="85" t="s">
        <v>824</v>
      </c>
      <c r="F76" s="85" t="s">
        <v>825</v>
      </c>
      <c r="G76" s="87">
        <v>0.021608796296296296</v>
      </c>
    </row>
    <row r="77">
      <c r="A77" s="84" t="s">
        <v>543</v>
      </c>
      <c r="B77" s="84" t="s">
        <v>754</v>
      </c>
      <c r="C77" s="85" t="s">
        <v>797</v>
      </c>
      <c r="D77" s="86">
        <v>6.0</v>
      </c>
      <c r="E77" s="85" t="s">
        <v>824</v>
      </c>
      <c r="F77" s="85" t="s">
        <v>826</v>
      </c>
      <c r="G77" s="87">
        <v>0.019837962962962963</v>
      </c>
    </row>
    <row r="78">
      <c r="A78" s="84" t="s">
        <v>543</v>
      </c>
      <c r="B78" s="84" t="s">
        <v>754</v>
      </c>
      <c r="C78" s="85" t="s">
        <v>797</v>
      </c>
      <c r="D78" s="86">
        <v>6.0</v>
      </c>
      <c r="E78" s="85" t="s">
        <v>824</v>
      </c>
      <c r="F78" s="85" t="s">
        <v>827</v>
      </c>
      <c r="G78" s="87">
        <v>0.017106481481481483</v>
      </c>
    </row>
    <row r="79">
      <c r="A79" s="84" t="s">
        <v>543</v>
      </c>
      <c r="B79" s="84" t="s">
        <v>754</v>
      </c>
      <c r="C79" s="85" t="s">
        <v>797</v>
      </c>
      <c r="D79" s="86">
        <v>6.0</v>
      </c>
      <c r="E79" s="85" t="s">
        <v>824</v>
      </c>
      <c r="F79" s="85" t="s">
        <v>828</v>
      </c>
      <c r="G79" s="87">
        <v>0.023541666666666666</v>
      </c>
    </row>
    <row r="80">
      <c r="A80" s="84" t="s">
        <v>543</v>
      </c>
      <c r="B80" s="84" t="s">
        <v>754</v>
      </c>
      <c r="C80" s="85" t="s">
        <v>797</v>
      </c>
      <c r="D80" s="86">
        <v>6.0</v>
      </c>
      <c r="E80" s="85" t="s">
        <v>824</v>
      </c>
      <c r="F80" s="85" t="s">
        <v>829</v>
      </c>
      <c r="G80" s="87">
        <v>0.016840277777777777</v>
      </c>
    </row>
    <row r="81">
      <c r="A81" s="84" t="s">
        <v>543</v>
      </c>
      <c r="B81" s="84" t="s">
        <v>754</v>
      </c>
      <c r="C81" s="85" t="s">
        <v>797</v>
      </c>
      <c r="D81" s="86">
        <v>6.0</v>
      </c>
      <c r="E81" s="85" t="s">
        <v>824</v>
      </c>
      <c r="F81" s="85" t="s">
        <v>1116</v>
      </c>
      <c r="G81" s="87">
        <v>0.018425925925925925</v>
      </c>
    </row>
    <row r="82">
      <c r="A82" s="84" t="s">
        <v>543</v>
      </c>
      <c r="B82" s="84" t="s">
        <v>754</v>
      </c>
      <c r="C82" s="85" t="s">
        <v>797</v>
      </c>
      <c r="D82" s="86">
        <v>6.0</v>
      </c>
      <c r="E82" s="85" t="s">
        <v>824</v>
      </c>
      <c r="F82" s="85" t="s">
        <v>830</v>
      </c>
      <c r="G82" s="87">
        <v>0.016493055555555556</v>
      </c>
    </row>
    <row r="83">
      <c r="A83" s="84" t="s">
        <v>543</v>
      </c>
      <c r="B83" s="84" t="s">
        <v>754</v>
      </c>
      <c r="C83" s="85" t="s">
        <v>797</v>
      </c>
      <c r="D83" s="86">
        <v>6.0</v>
      </c>
      <c r="E83" s="85" t="s">
        <v>824</v>
      </c>
      <c r="F83" s="85" t="s">
        <v>831</v>
      </c>
      <c r="G83" s="87">
        <v>0.05555555555555555</v>
      </c>
    </row>
    <row r="84">
      <c r="A84" s="84" t="s">
        <v>543</v>
      </c>
      <c r="B84" s="84" t="s">
        <v>754</v>
      </c>
      <c r="C84" s="85" t="s">
        <v>797</v>
      </c>
      <c r="D84" s="86">
        <v>7.0</v>
      </c>
      <c r="E84" s="85" t="s">
        <v>832</v>
      </c>
      <c r="F84" s="85" t="s">
        <v>833</v>
      </c>
      <c r="G84" s="87">
        <v>0.017222222222222222</v>
      </c>
    </row>
    <row r="85">
      <c r="A85" s="84" t="s">
        <v>543</v>
      </c>
      <c r="B85" s="84" t="s">
        <v>754</v>
      </c>
      <c r="C85" s="85" t="s">
        <v>797</v>
      </c>
      <c r="D85" s="86">
        <v>7.0</v>
      </c>
      <c r="E85" s="85" t="s">
        <v>832</v>
      </c>
      <c r="F85" s="85" t="s">
        <v>834</v>
      </c>
      <c r="G85" s="87">
        <v>0.015439814814814814</v>
      </c>
    </row>
    <row r="86">
      <c r="A86" s="84" t="s">
        <v>543</v>
      </c>
      <c r="B86" s="84" t="s">
        <v>754</v>
      </c>
      <c r="C86" s="85" t="s">
        <v>835</v>
      </c>
      <c r="D86" s="86">
        <v>1.0</v>
      </c>
      <c r="E86" s="85" t="s">
        <v>836</v>
      </c>
      <c r="F86" s="85" t="s">
        <v>837</v>
      </c>
      <c r="G86" s="87">
        <v>0.015636574074074074</v>
      </c>
    </row>
    <row r="87">
      <c r="A87" s="84" t="s">
        <v>543</v>
      </c>
      <c r="B87" s="84" t="s">
        <v>754</v>
      </c>
      <c r="C87" s="85" t="s">
        <v>835</v>
      </c>
      <c r="D87" s="86">
        <v>2.0</v>
      </c>
      <c r="E87" s="85" t="s">
        <v>838</v>
      </c>
      <c r="F87" s="85" t="s">
        <v>839</v>
      </c>
      <c r="G87" s="87">
        <v>0.011909722222222223</v>
      </c>
    </row>
    <row r="88">
      <c r="A88" s="84" t="s">
        <v>543</v>
      </c>
      <c r="B88" s="84" t="s">
        <v>754</v>
      </c>
      <c r="C88" s="85" t="s">
        <v>835</v>
      </c>
      <c r="D88" s="86">
        <v>2.0</v>
      </c>
      <c r="E88" s="85" t="s">
        <v>838</v>
      </c>
      <c r="F88" s="85" t="s">
        <v>840</v>
      </c>
      <c r="G88" s="87">
        <v>0.01369212962962963</v>
      </c>
    </row>
    <row r="89">
      <c r="A89" s="84" t="s">
        <v>543</v>
      </c>
      <c r="B89" s="84" t="s">
        <v>754</v>
      </c>
      <c r="C89" s="85" t="s">
        <v>835</v>
      </c>
      <c r="D89" s="86">
        <v>2.0</v>
      </c>
      <c r="E89" s="85" t="s">
        <v>838</v>
      </c>
      <c r="F89" s="85" t="s">
        <v>1117</v>
      </c>
      <c r="G89" s="87">
        <v>0.01074074074074074</v>
      </c>
    </row>
    <row r="90">
      <c r="A90" s="84" t="s">
        <v>543</v>
      </c>
      <c r="B90" s="84" t="s">
        <v>754</v>
      </c>
      <c r="C90" s="85" t="s">
        <v>835</v>
      </c>
      <c r="D90" s="86">
        <v>2.0</v>
      </c>
      <c r="E90" s="85" t="s">
        <v>838</v>
      </c>
      <c r="F90" s="85" t="s">
        <v>1118</v>
      </c>
      <c r="G90" s="87">
        <v>0.00980324074074074</v>
      </c>
    </row>
    <row r="91">
      <c r="A91" s="84" t="s">
        <v>543</v>
      </c>
      <c r="B91" s="84" t="s">
        <v>754</v>
      </c>
      <c r="C91" s="85" t="s">
        <v>835</v>
      </c>
      <c r="D91" s="86">
        <v>3.0</v>
      </c>
      <c r="E91" s="85" t="s">
        <v>841</v>
      </c>
      <c r="F91" s="85" t="s">
        <v>842</v>
      </c>
      <c r="G91" s="87">
        <v>0.016226851851851853</v>
      </c>
    </row>
    <row r="92">
      <c r="A92" s="84" t="s">
        <v>543</v>
      </c>
      <c r="B92" s="84" t="s">
        <v>754</v>
      </c>
      <c r="C92" s="85" t="s">
        <v>835</v>
      </c>
      <c r="D92" s="86">
        <v>3.0</v>
      </c>
      <c r="E92" s="85" t="s">
        <v>841</v>
      </c>
      <c r="F92" s="85" t="s">
        <v>843</v>
      </c>
      <c r="G92" s="87">
        <v>0.017025462962962964</v>
      </c>
    </row>
    <row r="93">
      <c r="A93" s="84" t="s">
        <v>543</v>
      </c>
      <c r="B93" s="84" t="s">
        <v>754</v>
      </c>
      <c r="C93" s="85" t="s">
        <v>835</v>
      </c>
      <c r="D93" s="86">
        <v>3.0</v>
      </c>
      <c r="E93" s="85" t="s">
        <v>841</v>
      </c>
      <c r="F93" s="85" t="s">
        <v>844</v>
      </c>
      <c r="G93" s="87">
        <v>0.019664351851851853</v>
      </c>
    </row>
    <row r="94">
      <c r="A94" s="84" t="s">
        <v>543</v>
      </c>
      <c r="B94" s="84" t="s">
        <v>754</v>
      </c>
      <c r="C94" s="85" t="s">
        <v>835</v>
      </c>
      <c r="D94" s="86">
        <v>3.0</v>
      </c>
      <c r="E94" s="85" t="s">
        <v>841</v>
      </c>
      <c r="F94" s="85" t="s">
        <v>845</v>
      </c>
      <c r="G94" s="87">
        <v>0.011909722222222223</v>
      </c>
    </row>
    <row r="95">
      <c r="A95" s="84" t="s">
        <v>543</v>
      </c>
      <c r="B95" s="84" t="s">
        <v>754</v>
      </c>
      <c r="C95" s="85" t="s">
        <v>835</v>
      </c>
      <c r="D95" s="86">
        <v>4.0</v>
      </c>
      <c r="E95" s="85" t="s">
        <v>846</v>
      </c>
      <c r="F95" s="85" t="s">
        <v>847</v>
      </c>
      <c r="G95" s="87">
        <v>0.014155092592592592</v>
      </c>
    </row>
    <row r="96">
      <c r="A96" s="84" t="s">
        <v>543</v>
      </c>
      <c r="B96" s="84" t="s">
        <v>754</v>
      </c>
      <c r="C96" s="85" t="s">
        <v>835</v>
      </c>
      <c r="D96" s="86">
        <v>4.0</v>
      </c>
      <c r="E96" s="85" t="s">
        <v>846</v>
      </c>
      <c r="F96" s="85" t="s">
        <v>848</v>
      </c>
      <c r="G96" s="87">
        <v>0.013148148148148148</v>
      </c>
    </row>
    <row r="97">
      <c r="A97" s="84" t="s">
        <v>543</v>
      </c>
      <c r="B97" s="84" t="s">
        <v>754</v>
      </c>
      <c r="C97" s="85" t="s">
        <v>835</v>
      </c>
      <c r="D97" s="86">
        <v>4.0</v>
      </c>
      <c r="E97" s="85" t="s">
        <v>846</v>
      </c>
      <c r="F97" s="85" t="s">
        <v>849</v>
      </c>
      <c r="G97" s="87">
        <v>0.05555555555555555</v>
      </c>
    </row>
    <row r="98">
      <c r="A98" s="84" t="s">
        <v>543</v>
      </c>
      <c r="B98" s="84" t="s">
        <v>754</v>
      </c>
      <c r="C98" s="85" t="s">
        <v>850</v>
      </c>
      <c r="D98" s="86">
        <v>1.0</v>
      </c>
      <c r="E98" s="85" t="s">
        <v>851</v>
      </c>
      <c r="F98" s="85" t="s">
        <v>483</v>
      </c>
      <c r="G98" s="87">
        <v>0.006724537037037037</v>
      </c>
    </row>
    <row r="99">
      <c r="A99" s="84" t="s">
        <v>543</v>
      </c>
      <c r="B99" s="84" t="s">
        <v>754</v>
      </c>
      <c r="C99" s="85" t="s">
        <v>850</v>
      </c>
      <c r="D99" s="86">
        <v>1.0</v>
      </c>
      <c r="E99" s="85" t="s">
        <v>851</v>
      </c>
      <c r="F99" s="85" t="s">
        <v>484</v>
      </c>
      <c r="G99" s="87">
        <v>0.011979166666666667</v>
      </c>
    </row>
    <row r="100">
      <c r="A100" s="84" t="s">
        <v>543</v>
      </c>
      <c r="B100" s="84" t="s">
        <v>754</v>
      </c>
      <c r="C100" s="88"/>
      <c r="D100" s="89"/>
      <c r="E100" s="88"/>
      <c r="F100" s="88"/>
      <c r="G100" s="88"/>
    </row>
    <row r="101">
      <c r="A101" s="84" t="s">
        <v>543</v>
      </c>
      <c r="B101" s="84" t="s">
        <v>754</v>
      </c>
      <c r="C101" s="85" t="s">
        <v>850</v>
      </c>
      <c r="D101" s="86">
        <v>1.0</v>
      </c>
      <c r="E101" s="85" t="s">
        <v>851</v>
      </c>
      <c r="F101" s="85" t="s">
        <v>485</v>
      </c>
      <c r="G101" s="87">
        <v>0.006122685185185185</v>
      </c>
    </row>
    <row r="102">
      <c r="A102" s="84" t="s">
        <v>543</v>
      </c>
      <c r="B102" s="84" t="s">
        <v>754</v>
      </c>
      <c r="C102" s="85" t="s">
        <v>850</v>
      </c>
      <c r="D102" s="86">
        <v>1.0</v>
      </c>
      <c r="E102" s="85" t="s">
        <v>851</v>
      </c>
      <c r="F102" s="85" t="s">
        <v>486</v>
      </c>
      <c r="G102" s="87">
        <v>0.011041666666666667</v>
      </c>
    </row>
    <row r="103">
      <c r="A103" s="84" t="s">
        <v>543</v>
      </c>
      <c r="B103" s="84" t="s">
        <v>754</v>
      </c>
      <c r="C103" s="85" t="s">
        <v>850</v>
      </c>
      <c r="D103" s="86">
        <v>1.0</v>
      </c>
      <c r="E103" s="85" t="s">
        <v>851</v>
      </c>
      <c r="F103" s="85" t="s">
        <v>852</v>
      </c>
      <c r="G103" s="87">
        <v>0.00869212962962963</v>
      </c>
    </row>
    <row r="104">
      <c r="A104" s="84" t="s">
        <v>543</v>
      </c>
      <c r="B104" s="84" t="s">
        <v>754</v>
      </c>
      <c r="C104" s="85" t="s">
        <v>850</v>
      </c>
      <c r="D104" s="86">
        <v>1.0</v>
      </c>
      <c r="E104" s="85" t="s">
        <v>851</v>
      </c>
      <c r="F104" s="85" t="s">
        <v>521</v>
      </c>
      <c r="G104" s="87">
        <v>0.0076851851851851855</v>
      </c>
    </row>
    <row r="105">
      <c r="A105" s="84" t="s">
        <v>543</v>
      </c>
      <c r="B105" s="84" t="s">
        <v>754</v>
      </c>
      <c r="C105" s="85" t="s">
        <v>850</v>
      </c>
      <c r="D105" s="86">
        <v>1.0</v>
      </c>
      <c r="E105" s="85" t="s">
        <v>851</v>
      </c>
      <c r="F105" s="85" t="s">
        <v>522</v>
      </c>
      <c r="G105" s="87">
        <v>0.005497685185185185</v>
      </c>
    </row>
    <row r="106">
      <c r="A106" s="84" t="s">
        <v>543</v>
      </c>
      <c r="B106" s="84" t="s">
        <v>754</v>
      </c>
      <c r="C106" s="85" t="s">
        <v>850</v>
      </c>
      <c r="D106" s="86">
        <v>1.0</v>
      </c>
      <c r="E106" s="85" t="s">
        <v>851</v>
      </c>
      <c r="F106" s="85" t="s">
        <v>853</v>
      </c>
      <c r="G106" s="87">
        <v>0.007476851851851852</v>
      </c>
    </row>
    <row r="107">
      <c r="A107" s="84" t="s">
        <v>543</v>
      </c>
      <c r="B107" s="84" t="s">
        <v>754</v>
      </c>
      <c r="C107" s="85" t="s">
        <v>850</v>
      </c>
      <c r="D107" s="86">
        <v>1.0</v>
      </c>
      <c r="E107" s="85" t="s">
        <v>851</v>
      </c>
      <c r="F107" s="85" t="s">
        <v>1119</v>
      </c>
      <c r="G107" s="87">
        <v>0.05555555555555555</v>
      </c>
    </row>
    <row r="108">
      <c r="A108" s="84" t="s">
        <v>543</v>
      </c>
      <c r="B108" s="84" t="s">
        <v>754</v>
      </c>
      <c r="C108" s="85" t="s">
        <v>850</v>
      </c>
      <c r="D108" s="86">
        <v>1.0</v>
      </c>
      <c r="E108" s="85" t="s">
        <v>851</v>
      </c>
      <c r="F108" s="85" t="s">
        <v>854</v>
      </c>
      <c r="G108" s="87">
        <v>0.05555555555555555</v>
      </c>
    </row>
    <row r="109">
      <c r="A109" s="84" t="s">
        <v>543</v>
      </c>
      <c r="B109" s="84" t="s">
        <v>754</v>
      </c>
      <c r="C109" s="85" t="s">
        <v>850</v>
      </c>
      <c r="D109" s="86">
        <v>2.0</v>
      </c>
      <c r="E109" s="85" t="s">
        <v>855</v>
      </c>
      <c r="F109" s="85" t="s">
        <v>857</v>
      </c>
      <c r="G109" s="87">
        <v>0.014212962962962964</v>
      </c>
    </row>
    <row r="110">
      <c r="A110" s="84" t="s">
        <v>543</v>
      </c>
      <c r="B110" s="84" t="s">
        <v>754</v>
      </c>
      <c r="C110" s="85" t="s">
        <v>850</v>
      </c>
      <c r="D110" s="86">
        <v>2.0</v>
      </c>
      <c r="E110" s="85" t="s">
        <v>855</v>
      </c>
      <c r="F110" s="85" t="s">
        <v>503</v>
      </c>
      <c r="G110" s="87">
        <v>0.01885416666666667</v>
      </c>
    </row>
    <row r="111">
      <c r="A111" s="84" t="s">
        <v>543</v>
      </c>
      <c r="B111" s="84" t="s">
        <v>754</v>
      </c>
      <c r="C111" s="85" t="s">
        <v>850</v>
      </c>
      <c r="D111" s="86">
        <v>2.0</v>
      </c>
      <c r="E111" s="85" t="s">
        <v>855</v>
      </c>
      <c r="F111" s="85" t="s">
        <v>531</v>
      </c>
      <c r="G111" s="87">
        <v>0.008680555555555556</v>
      </c>
    </row>
    <row r="112">
      <c r="A112" s="84" t="s">
        <v>543</v>
      </c>
      <c r="B112" s="84" t="s">
        <v>754</v>
      </c>
      <c r="C112" s="85" t="s">
        <v>850</v>
      </c>
      <c r="D112" s="86">
        <v>2.0</v>
      </c>
      <c r="E112" s="85" t="s">
        <v>855</v>
      </c>
      <c r="F112" s="85" t="s">
        <v>858</v>
      </c>
      <c r="G112" s="87">
        <v>0.007094907407407407</v>
      </c>
    </row>
    <row r="113">
      <c r="A113" s="84" t="s">
        <v>543</v>
      </c>
      <c r="B113" s="84" t="s">
        <v>754</v>
      </c>
      <c r="C113" s="85" t="s">
        <v>850</v>
      </c>
      <c r="D113" s="86">
        <v>2.0</v>
      </c>
      <c r="E113" s="85" t="s">
        <v>855</v>
      </c>
      <c r="F113" s="85" t="s">
        <v>1068</v>
      </c>
      <c r="G113" s="87">
        <v>0.006076388888888889</v>
      </c>
    </row>
    <row r="114">
      <c r="A114" s="84" t="s">
        <v>543</v>
      </c>
      <c r="B114" s="84" t="s">
        <v>754</v>
      </c>
      <c r="C114" s="85" t="s">
        <v>850</v>
      </c>
      <c r="D114" s="86">
        <v>2.0</v>
      </c>
      <c r="E114" s="85" t="s">
        <v>855</v>
      </c>
      <c r="F114" s="85" t="s">
        <v>532</v>
      </c>
      <c r="G114" s="87">
        <v>0.005300925925925926</v>
      </c>
    </row>
    <row r="115">
      <c r="A115" s="84" t="s">
        <v>543</v>
      </c>
      <c r="B115" s="84" t="s">
        <v>754</v>
      </c>
      <c r="C115" s="85" t="s">
        <v>850</v>
      </c>
      <c r="D115" s="86">
        <v>2.0</v>
      </c>
      <c r="E115" s="85" t="s">
        <v>855</v>
      </c>
      <c r="F115" s="85" t="s">
        <v>533</v>
      </c>
      <c r="G115" s="87">
        <v>0.006574074074074074</v>
      </c>
    </row>
    <row r="116">
      <c r="A116" s="84" t="s">
        <v>543</v>
      </c>
      <c r="B116" s="84" t="s">
        <v>754</v>
      </c>
      <c r="C116" s="85" t="s">
        <v>850</v>
      </c>
      <c r="D116" s="86">
        <v>2.0</v>
      </c>
      <c r="E116" s="85" t="s">
        <v>855</v>
      </c>
      <c r="F116" s="85" t="s">
        <v>534</v>
      </c>
      <c r="G116" s="87">
        <v>0.004837962962962963</v>
      </c>
    </row>
    <row r="117">
      <c r="A117" s="84" t="s">
        <v>543</v>
      </c>
      <c r="B117" s="84" t="s">
        <v>754</v>
      </c>
      <c r="C117" s="85" t="s">
        <v>850</v>
      </c>
      <c r="D117" s="86">
        <v>2.0</v>
      </c>
      <c r="E117" s="85" t="s">
        <v>855</v>
      </c>
      <c r="F117" s="85" t="s">
        <v>535</v>
      </c>
      <c r="G117" s="87">
        <v>0.006851851851851852</v>
      </c>
    </row>
    <row r="118">
      <c r="A118" s="84" t="s">
        <v>543</v>
      </c>
      <c r="B118" s="84" t="s">
        <v>754</v>
      </c>
      <c r="C118" s="85" t="s">
        <v>850</v>
      </c>
      <c r="D118" s="86">
        <v>2.0</v>
      </c>
      <c r="E118" s="85" t="s">
        <v>855</v>
      </c>
      <c r="F118" s="85" t="s">
        <v>859</v>
      </c>
      <c r="G118" s="87">
        <v>0.05555555555555555</v>
      </c>
    </row>
    <row r="119">
      <c r="A119" s="84" t="s">
        <v>543</v>
      </c>
      <c r="B119" s="84" t="s">
        <v>754</v>
      </c>
      <c r="C119" s="85" t="s">
        <v>850</v>
      </c>
      <c r="D119" s="86">
        <v>2.0</v>
      </c>
      <c r="E119" s="85" t="s">
        <v>855</v>
      </c>
      <c r="F119" s="85" t="s">
        <v>860</v>
      </c>
      <c r="G119" s="87">
        <v>0.05555555555555555</v>
      </c>
    </row>
    <row r="120">
      <c r="A120" s="84" t="s">
        <v>543</v>
      </c>
      <c r="B120" s="84" t="s">
        <v>754</v>
      </c>
      <c r="C120" s="85" t="s">
        <v>850</v>
      </c>
      <c r="D120" s="86">
        <v>3.0</v>
      </c>
      <c r="E120" s="85" t="s">
        <v>861</v>
      </c>
      <c r="F120" s="85" t="s">
        <v>862</v>
      </c>
      <c r="G120" s="87">
        <v>0.005092592592592593</v>
      </c>
    </row>
    <row r="121">
      <c r="A121" s="84" t="s">
        <v>543</v>
      </c>
      <c r="B121" s="84" t="s">
        <v>754</v>
      </c>
      <c r="C121" s="85" t="s">
        <v>850</v>
      </c>
      <c r="D121" s="86">
        <v>3.0</v>
      </c>
      <c r="E121" s="85" t="s">
        <v>861</v>
      </c>
      <c r="F121" s="85" t="s">
        <v>863</v>
      </c>
      <c r="G121" s="87">
        <v>0.006284722222222222</v>
      </c>
    </row>
    <row r="122">
      <c r="A122" s="84" t="s">
        <v>543</v>
      </c>
      <c r="B122" s="84" t="s">
        <v>754</v>
      </c>
      <c r="C122" s="85" t="s">
        <v>850</v>
      </c>
      <c r="D122" s="86">
        <v>3.0</v>
      </c>
      <c r="E122" s="85" t="s">
        <v>861</v>
      </c>
      <c r="F122" s="85" t="s">
        <v>864</v>
      </c>
      <c r="G122" s="87">
        <v>0.006666666666666667</v>
      </c>
    </row>
    <row r="123">
      <c r="A123" s="84" t="s">
        <v>543</v>
      </c>
      <c r="B123" s="84" t="s">
        <v>754</v>
      </c>
      <c r="C123" s="85" t="s">
        <v>850</v>
      </c>
      <c r="D123" s="86">
        <v>3.0</v>
      </c>
      <c r="E123" s="85" t="s">
        <v>861</v>
      </c>
      <c r="F123" s="85" t="s">
        <v>865</v>
      </c>
      <c r="G123" s="87">
        <v>0.021770833333333333</v>
      </c>
    </row>
    <row r="124">
      <c r="A124" s="84" t="s">
        <v>543</v>
      </c>
      <c r="B124" s="84" t="s">
        <v>754</v>
      </c>
      <c r="C124" s="85" t="s">
        <v>850</v>
      </c>
      <c r="D124" s="86">
        <v>3.0</v>
      </c>
      <c r="E124" s="85" t="s">
        <v>861</v>
      </c>
      <c r="F124" s="85" t="s">
        <v>1120</v>
      </c>
      <c r="G124" s="87">
        <v>0.01849537037037037</v>
      </c>
    </row>
    <row r="125">
      <c r="A125" s="84" t="s">
        <v>543</v>
      </c>
      <c r="B125" s="84" t="s">
        <v>754</v>
      </c>
      <c r="C125" s="85" t="s">
        <v>850</v>
      </c>
      <c r="D125" s="86">
        <v>3.0</v>
      </c>
      <c r="E125" s="85" t="s">
        <v>861</v>
      </c>
      <c r="F125" s="85" t="s">
        <v>866</v>
      </c>
      <c r="G125" s="87">
        <v>0.016550925925925927</v>
      </c>
    </row>
    <row r="126">
      <c r="A126" s="84" t="s">
        <v>543</v>
      </c>
      <c r="B126" s="84" t="s">
        <v>754</v>
      </c>
      <c r="C126" s="85" t="s">
        <v>850</v>
      </c>
      <c r="D126" s="86">
        <v>3.0</v>
      </c>
      <c r="E126" s="85" t="s">
        <v>861</v>
      </c>
      <c r="F126" s="85" t="s">
        <v>867</v>
      </c>
      <c r="G126" s="87">
        <v>0.01607638888888889</v>
      </c>
    </row>
    <row r="127">
      <c r="A127" s="84" t="s">
        <v>543</v>
      </c>
      <c r="B127" s="84" t="s">
        <v>754</v>
      </c>
      <c r="C127" s="85" t="s">
        <v>850</v>
      </c>
      <c r="D127" s="86">
        <v>3.0</v>
      </c>
      <c r="E127" s="85" t="s">
        <v>861</v>
      </c>
      <c r="F127" s="85" t="s">
        <v>868</v>
      </c>
      <c r="G127" s="87">
        <v>0.05555555555555555</v>
      </c>
    </row>
    <row r="128">
      <c r="A128" s="84" t="s">
        <v>543</v>
      </c>
      <c r="B128" s="84" t="s">
        <v>754</v>
      </c>
      <c r="C128" s="85" t="s">
        <v>850</v>
      </c>
      <c r="D128" s="86">
        <v>3.0</v>
      </c>
      <c r="E128" s="85" t="s">
        <v>861</v>
      </c>
      <c r="F128" s="85" t="s">
        <v>869</v>
      </c>
      <c r="G128" s="87">
        <v>0.05555555555555555</v>
      </c>
    </row>
    <row r="129">
      <c r="A129" s="88"/>
      <c r="B129" s="88"/>
      <c r="C129" s="88"/>
      <c r="D129" s="89"/>
      <c r="E129" s="88"/>
      <c r="F129" s="88"/>
      <c r="G129" s="88"/>
    </row>
    <row r="130" ht="30.0" customHeight="1">
      <c r="A130" s="88"/>
      <c r="B130" s="88"/>
      <c r="C130" s="88"/>
      <c r="D130" s="89"/>
      <c r="E130" s="88"/>
      <c r="F130" s="88"/>
      <c r="G130" s="88"/>
    </row>
    <row r="131">
      <c r="A131" s="88"/>
      <c r="B131" s="88"/>
      <c r="C131" s="88"/>
      <c r="D131" s="89"/>
      <c r="E131" s="88"/>
      <c r="F131" s="88"/>
      <c r="G131" s="88"/>
    </row>
    <row r="132">
      <c r="A132" s="88"/>
      <c r="B132" s="88"/>
      <c r="C132" s="88"/>
      <c r="D132" s="89"/>
      <c r="E132" s="88"/>
      <c r="F132" s="88"/>
      <c r="G132" s="88"/>
    </row>
    <row r="133">
      <c r="A133" s="88"/>
      <c r="B133" s="88"/>
      <c r="C133" s="88"/>
      <c r="D133" s="89"/>
      <c r="E133" s="88"/>
      <c r="F133" s="88"/>
      <c r="G133" s="88"/>
    </row>
    <row r="134">
      <c r="A134" s="88"/>
      <c r="B134" s="88"/>
      <c r="C134" s="88"/>
      <c r="D134" s="89"/>
      <c r="E134" s="88"/>
      <c r="F134" s="88"/>
      <c r="G134" s="88"/>
    </row>
    <row r="135">
      <c r="A135" s="88"/>
      <c r="B135" s="88"/>
      <c r="C135" s="88"/>
      <c r="D135" s="89"/>
      <c r="E135" s="88"/>
      <c r="F135" s="88"/>
      <c r="G135" s="88"/>
    </row>
    <row r="136">
      <c r="A136" s="88"/>
      <c r="B136" s="88"/>
      <c r="C136" s="88"/>
      <c r="D136" s="89"/>
      <c r="E136" s="88"/>
      <c r="F136" s="88"/>
      <c r="G136" s="88"/>
    </row>
    <row r="137">
      <c r="A137" s="88"/>
      <c r="B137" s="88"/>
      <c r="C137" s="88"/>
      <c r="D137" s="89"/>
      <c r="E137" s="88"/>
      <c r="F137" s="88"/>
      <c r="G137" s="88"/>
    </row>
    <row r="138">
      <c r="A138" s="88"/>
      <c r="B138" s="88"/>
      <c r="C138" s="88"/>
      <c r="D138" s="89"/>
      <c r="E138" s="88"/>
      <c r="F138" s="88"/>
      <c r="G138" s="88"/>
    </row>
    <row r="139">
      <c r="A139" s="88"/>
      <c r="B139" s="88"/>
      <c r="C139" s="88"/>
      <c r="D139" s="89"/>
      <c r="E139" s="88"/>
      <c r="F139" s="88"/>
      <c r="G139" s="88"/>
    </row>
    <row r="140">
      <c r="A140" s="88"/>
      <c r="B140" s="88"/>
      <c r="C140" s="88"/>
      <c r="D140" s="89"/>
      <c r="E140" s="88"/>
      <c r="F140" s="88"/>
      <c r="G140" s="88"/>
    </row>
    <row r="141">
      <c r="A141" s="88"/>
      <c r="B141" s="88"/>
      <c r="C141" s="88"/>
      <c r="D141" s="89"/>
      <c r="E141" s="88"/>
      <c r="F141" s="88"/>
      <c r="G141" s="88"/>
    </row>
    <row r="142">
      <c r="A142" s="88"/>
      <c r="B142" s="88"/>
      <c r="C142" s="88"/>
      <c r="D142" s="89"/>
      <c r="E142" s="88"/>
      <c r="F142" s="88"/>
      <c r="G142" s="88"/>
    </row>
    <row r="143">
      <c r="A143" s="88"/>
      <c r="B143" s="88"/>
      <c r="C143" s="88"/>
      <c r="D143" s="89"/>
      <c r="E143" s="88"/>
      <c r="F143" s="88"/>
      <c r="G143" s="88"/>
    </row>
    <row r="144">
      <c r="A144" s="88"/>
      <c r="B144" s="88"/>
      <c r="C144" s="88"/>
      <c r="D144" s="89"/>
      <c r="E144" s="88"/>
      <c r="F144" s="88"/>
      <c r="G144" s="88"/>
    </row>
    <row r="145">
      <c r="A145" s="88"/>
      <c r="B145" s="88"/>
      <c r="C145" s="88"/>
      <c r="D145" s="89"/>
      <c r="E145" s="88"/>
      <c r="F145" s="88"/>
      <c r="G145" s="88"/>
    </row>
    <row r="146">
      <c r="A146" s="88"/>
      <c r="B146" s="88"/>
      <c r="C146" s="88"/>
      <c r="D146" s="89"/>
      <c r="E146" s="88"/>
      <c r="F146" s="88"/>
      <c r="G146" s="88"/>
    </row>
    <row r="147">
      <c r="A147" s="88"/>
      <c r="B147" s="88"/>
      <c r="C147" s="88"/>
      <c r="D147" s="89"/>
      <c r="E147" s="88"/>
      <c r="F147" s="88"/>
      <c r="G147" s="88"/>
    </row>
    <row r="148">
      <c r="A148" s="88"/>
      <c r="B148" s="88"/>
      <c r="C148" s="88"/>
      <c r="D148" s="89"/>
      <c r="E148" s="88"/>
      <c r="F148" s="88"/>
      <c r="G148" s="88"/>
    </row>
    <row r="149">
      <c r="A149" s="88"/>
      <c r="B149" s="88"/>
      <c r="C149" s="88"/>
      <c r="D149" s="89"/>
      <c r="E149" s="88"/>
      <c r="F149" s="88"/>
      <c r="G149" s="88"/>
    </row>
    <row r="150">
      <c r="A150" s="88"/>
      <c r="B150" s="88"/>
      <c r="C150" s="88"/>
      <c r="D150" s="89"/>
      <c r="E150" s="88"/>
      <c r="F150" s="88"/>
      <c r="G150" s="88"/>
    </row>
    <row r="151">
      <c r="A151" s="88"/>
      <c r="B151" s="88"/>
      <c r="C151" s="88"/>
      <c r="D151" s="89"/>
      <c r="E151" s="88"/>
      <c r="F151" s="88"/>
      <c r="G151" s="88"/>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20.0"/>
    <col customWidth="1" min="4" max="4" width="7.33"/>
    <col customWidth="1" min="5" max="5" width="39.0"/>
    <col customWidth="1" min="6" max="6" width="54.44"/>
    <col customWidth="1" min="7" max="7" width="7.44"/>
  </cols>
  <sheetData>
    <row r="1">
      <c r="A1" s="90" t="s">
        <v>970</v>
      </c>
      <c r="B1" s="90" t="s">
        <v>989</v>
      </c>
      <c r="C1" s="91" t="s">
        <v>971</v>
      </c>
      <c r="D1" s="91" t="s">
        <v>972</v>
      </c>
      <c r="E1" s="91" t="s">
        <v>1062</v>
      </c>
      <c r="F1" s="91" t="s">
        <v>974</v>
      </c>
      <c r="G1" s="91" t="s">
        <v>975</v>
      </c>
    </row>
    <row r="2">
      <c r="A2" s="84" t="s">
        <v>870</v>
      </c>
      <c r="B2" s="84" t="s">
        <v>871</v>
      </c>
      <c r="C2" s="85" t="s">
        <v>872</v>
      </c>
      <c r="D2" s="86">
        <v>1.0</v>
      </c>
      <c r="E2" s="85" t="s">
        <v>873</v>
      </c>
      <c r="F2" s="85" t="s">
        <v>874</v>
      </c>
      <c r="G2" s="87">
        <v>0.012453703703703703</v>
      </c>
    </row>
    <row r="3">
      <c r="A3" s="84" t="s">
        <v>870</v>
      </c>
      <c r="B3" s="84" t="s">
        <v>871</v>
      </c>
      <c r="C3" s="85" t="s">
        <v>872</v>
      </c>
      <c r="D3" s="86">
        <v>1.0</v>
      </c>
      <c r="E3" s="85" t="s">
        <v>873</v>
      </c>
      <c r="F3" s="85" t="s">
        <v>875</v>
      </c>
      <c r="G3" s="87">
        <v>0.006736111111111111</v>
      </c>
    </row>
    <row r="4">
      <c r="A4" s="84" t="s">
        <v>870</v>
      </c>
      <c r="B4" s="84" t="s">
        <v>871</v>
      </c>
      <c r="C4" s="85" t="s">
        <v>872</v>
      </c>
      <c r="D4" s="86">
        <v>1.0</v>
      </c>
      <c r="E4" s="85" t="s">
        <v>873</v>
      </c>
      <c r="F4" s="85" t="s">
        <v>876</v>
      </c>
      <c r="G4" s="87">
        <v>0.014849537037037038</v>
      </c>
    </row>
    <row r="5">
      <c r="A5" s="84" t="s">
        <v>870</v>
      </c>
      <c r="B5" s="84" t="s">
        <v>871</v>
      </c>
      <c r="C5" s="85" t="s">
        <v>872</v>
      </c>
      <c r="D5" s="86">
        <v>1.0</v>
      </c>
      <c r="E5" s="85" t="s">
        <v>873</v>
      </c>
      <c r="F5" s="85" t="s">
        <v>877</v>
      </c>
      <c r="G5" s="87">
        <v>0.009722222222222222</v>
      </c>
    </row>
    <row r="6">
      <c r="A6" s="84" t="s">
        <v>870</v>
      </c>
      <c r="B6" s="84" t="s">
        <v>871</v>
      </c>
      <c r="C6" s="85" t="s">
        <v>872</v>
      </c>
      <c r="D6" s="86">
        <v>1.0</v>
      </c>
      <c r="E6" s="85" t="s">
        <v>873</v>
      </c>
      <c r="F6" s="85" t="s">
        <v>878</v>
      </c>
      <c r="G6" s="87">
        <v>0.014004629629629629</v>
      </c>
    </row>
    <row r="7">
      <c r="A7" s="84" t="s">
        <v>870</v>
      </c>
      <c r="B7" s="84" t="s">
        <v>871</v>
      </c>
      <c r="C7" s="85" t="s">
        <v>872</v>
      </c>
      <c r="D7" s="86">
        <v>1.0</v>
      </c>
      <c r="E7" s="85" t="s">
        <v>873</v>
      </c>
      <c r="F7" s="85" t="s">
        <v>879</v>
      </c>
      <c r="G7" s="87">
        <v>0.010601851851851852</v>
      </c>
    </row>
    <row r="8">
      <c r="A8" s="84" t="s">
        <v>870</v>
      </c>
      <c r="B8" s="84" t="s">
        <v>871</v>
      </c>
      <c r="C8" s="85" t="s">
        <v>872</v>
      </c>
      <c r="D8" s="86">
        <v>1.0</v>
      </c>
      <c r="E8" s="85" t="s">
        <v>873</v>
      </c>
      <c r="F8" s="85" t="s">
        <v>880</v>
      </c>
      <c r="G8" s="87">
        <v>0.01579861111111111</v>
      </c>
    </row>
    <row r="9">
      <c r="A9" s="84" t="s">
        <v>870</v>
      </c>
      <c r="B9" s="84" t="s">
        <v>871</v>
      </c>
      <c r="C9" s="85" t="s">
        <v>872</v>
      </c>
      <c r="D9" s="86">
        <v>1.0</v>
      </c>
      <c r="E9" s="85" t="s">
        <v>873</v>
      </c>
      <c r="F9" s="85" t="s">
        <v>881</v>
      </c>
      <c r="G9" s="87">
        <v>0.015150462962962963</v>
      </c>
    </row>
    <row r="10">
      <c r="A10" s="84" t="s">
        <v>870</v>
      </c>
      <c r="B10" s="84" t="s">
        <v>871</v>
      </c>
      <c r="C10" s="85" t="s">
        <v>872</v>
      </c>
      <c r="D10" s="86">
        <v>1.0</v>
      </c>
      <c r="E10" s="85" t="s">
        <v>873</v>
      </c>
      <c r="F10" s="85" t="s">
        <v>882</v>
      </c>
      <c r="G10" s="87">
        <v>0.007476851851851852</v>
      </c>
    </row>
    <row r="11">
      <c r="A11" s="84" t="s">
        <v>870</v>
      </c>
      <c r="B11" s="84" t="s">
        <v>871</v>
      </c>
      <c r="C11" s="85" t="s">
        <v>872</v>
      </c>
      <c r="D11" s="86">
        <v>1.0</v>
      </c>
      <c r="E11" s="85" t="s">
        <v>873</v>
      </c>
      <c r="F11" s="85" t="s">
        <v>1121</v>
      </c>
      <c r="G11" s="87">
        <v>0.020833333333333332</v>
      </c>
    </row>
    <row r="12">
      <c r="A12" s="84" t="s">
        <v>870</v>
      </c>
      <c r="B12" s="84" t="s">
        <v>871</v>
      </c>
      <c r="C12" s="85" t="s">
        <v>872</v>
      </c>
      <c r="D12" s="86">
        <v>1.0</v>
      </c>
      <c r="E12" s="85" t="s">
        <v>873</v>
      </c>
      <c r="F12" s="85" t="s">
        <v>1122</v>
      </c>
      <c r="G12" s="87">
        <v>0.03125</v>
      </c>
    </row>
    <row r="13">
      <c r="A13" s="84" t="s">
        <v>870</v>
      </c>
      <c r="B13" s="84" t="s">
        <v>871</v>
      </c>
      <c r="C13" s="85" t="s">
        <v>872</v>
      </c>
      <c r="D13" s="86">
        <v>1.0</v>
      </c>
      <c r="E13" s="85" t="s">
        <v>873</v>
      </c>
      <c r="F13" s="85" t="s">
        <v>1123</v>
      </c>
      <c r="G13" s="87">
        <v>0.03125</v>
      </c>
    </row>
    <row r="14">
      <c r="A14" s="84" t="s">
        <v>870</v>
      </c>
      <c r="B14" s="84" t="s">
        <v>871</v>
      </c>
      <c r="C14" s="85" t="s">
        <v>872</v>
      </c>
      <c r="D14" s="86">
        <v>2.0</v>
      </c>
      <c r="E14" s="85" t="s">
        <v>883</v>
      </c>
      <c r="F14" s="85" t="s">
        <v>884</v>
      </c>
      <c r="G14" s="87">
        <v>0.013298611111111112</v>
      </c>
    </row>
    <row r="15">
      <c r="A15" s="84" t="s">
        <v>870</v>
      </c>
      <c r="B15" s="84" t="s">
        <v>871</v>
      </c>
      <c r="C15" s="85" t="s">
        <v>872</v>
      </c>
      <c r="D15" s="86">
        <v>2.0</v>
      </c>
      <c r="E15" s="85" t="s">
        <v>883</v>
      </c>
      <c r="F15" s="85" t="s">
        <v>885</v>
      </c>
      <c r="G15" s="87">
        <v>0.013113425925925926</v>
      </c>
    </row>
    <row r="16">
      <c r="A16" s="84" t="s">
        <v>870</v>
      </c>
      <c r="B16" s="84" t="s">
        <v>871</v>
      </c>
      <c r="C16" s="85" t="s">
        <v>872</v>
      </c>
      <c r="D16" s="86">
        <v>2.0</v>
      </c>
      <c r="E16" s="85" t="s">
        <v>883</v>
      </c>
      <c r="F16" s="85" t="s">
        <v>886</v>
      </c>
      <c r="G16" s="87">
        <v>0.014918981481481481</v>
      </c>
    </row>
    <row r="17">
      <c r="A17" s="84" t="s">
        <v>870</v>
      </c>
      <c r="B17" s="84" t="s">
        <v>871</v>
      </c>
      <c r="C17" s="85" t="s">
        <v>872</v>
      </c>
      <c r="D17" s="86">
        <v>2.0</v>
      </c>
      <c r="E17" s="85" t="s">
        <v>883</v>
      </c>
      <c r="F17" s="85" t="s">
        <v>1124</v>
      </c>
      <c r="G17" s="87">
        <v>0.02122685185185185</v>
      </c>
    </row>
    <row r="18">
      <c r="A18" s="84" t="s">
        <v>870</v>
      </c>
      <c r="B18" s="84" t="s">
        <v>871</v>
      </c>
      <c r="C18" s="85" t="s">
        <v>887</v>
      </c>
      <c r="D18" s="86">
        <v>1.0</v>
      </c>
      <c r="E18" s="85" t="s">
        <v>888</v>
      </c>
      <c r="F18" s="85" t="s">
        <v>889</v>
      </c>
      <c r="G18" s="87">
        <v>0.014108796296296296</v>
      </c>
    </row>
    <row r="19">
      <c r="A19" s="84" t="s">
        <v>870</v>
      </c>
      <c r="B19" s="84" t="s">
        <v>871</v>
      </c>
      <c r="C19" s="85" t="s">
        <v>887</v>
      </c>
      <c r="D19" s="86">
        <v>1.0</v>
      </c>
      <c r="E19" s="85" t="s">
        <v>888</v>
      </c>
      <c r="F19" s="85" t="s">
        <v>1125</v>
      </c>
      <c r="G19" s="87">
        <v>0.01170138888888889</v>
      </c>
    </row>
    <row r="20">
      <c r="A20" s="84" t="s">
        <v>870</v>
      </c>
      <c r="B20" s="84" t="s">
        <v>871</v>
      </c>
      <c r="C20" s="85" t="s">
        <v>887</v>
      </c>
      <c r="D20" s="86">
        <v>1.0</v>
      </c>
      <c r="E20" s="85" t="s">
        <v>888</v>
      </c>
      <c r="F20" s="85" t="s">
        <v>1126</v>
      </c>
      <c r="G20" s="87">
        <v>0.017974537037037035</v>
      </c>
    </row>
    <row r="21">
      <c r="A21" s="84" t="s">
        <v>870</v>
      </c>
      <c r="B21" s="84" t="s">
        <v>871</v>
      </c>
      <c r="C21" s="85" t="s">
        <v>887</v>
      </c>
      <c r="D21" s="86">
        <v>1.0</v>
      </c>
      <c r="E21" s="85" t="s">
        <v>888</v>
      </c>
      <c r="F21" s="85" t="s">
        <v>890</v>
      </c>
      <c r="G21" s="87">
        <v>0.018564814814814815</v>
      </c>
    </row>
    <row r="22">
      <c r="A22" s="84" t="s">
        <v>870</v>
      </c>
      <c r="B22" s="84" t="s">
        <v>871</v>
      </c>
      <c r="C22" s="85" t="s">
        <v>887</v>
      </c>
      <c r="D22" s="86">
        <v>1.0</v>
      </c>
      <c r="E22" s="85" t="s">
        <v>888</v>
      </c>
      <c r="F22" s="85" t="s">
        <v>891</v>
      </c>
      <c r="G22" s="87">
        <v>0.012777777777777779</v>
      </c>
    </row>
    <row r="23">
      <c r="A23" s="84" t="s">
        <v>870</v>
      </c>
      <c r="B23" s="84" t="s">
        <v>871</v>
      </c>
      <c r="C23" s="85" t="s">
        <v>887</v>
      </c>
      <c r="D23" s="86">
        <v>2.0</v>
      </c>
      <c r="E23" s="85" t="s">
        <v>892</v>
      </c>
      <c r="F23" s="85" t="s">
        <v>893</v>
      </c>
      <c r="G23" s="87">
        <v>0.007951388888888888</v>
      </c>
    </row>
    <row r="24">
      <c r="A24" s="84" t="s">
        <v>870</v>
      </c>
      <c r="B24" s="84" t="s">
        <v>871</v>
      </c>
      <c r="C24" s="85" t="s">
        <v>887</v>
      </c>
      <c r="D24" s="86">
        <v>2.0</v>
      </c>
      <c r="E24" s="85" t="s">
        <v>892</v>
      </c>
      <c r="F24" s="85" t="s">
        <v>894</v>
      </c>
      <c r="G24" s="87">
        <v>0.008460648148148148</v>
      </c>
    </row>
    <row r="25">
      <c r="A25" s="84" t="s">
        <v>870</v>
      </c>
      <c r="B25" s="84" t="s">
        <v>871</v>
      </c>
      <c r="C25" s="85" t="s">
        <v>887</v>
      </c>
      <c r="D25" s="86">
        <v>2.0</v>
      </c>
      <c r="E25" s="85" t="s">
        <v>892</v>
      </c>
      <c r="F25" s="85" t="s">
        <v>895</v>
      </c>
      <c r="G25" s="87">
        <v>0.0038888888888888888</v>
      </c>
    </row>
    <row r="26">
      <c r="A26" s="84" t="s">
        <v>870</v>
      </c>
      <c r="B26" s="84" t="s">
        <v>871</v>
      </c>
      <c r="C26" s="85" t="s">
        <v>887</v>
      </c>
      <c r="D26" s="86">
        <v>2.0</v>
      </c>
      <c r="E26" s="85" t="s">
        <v>892</v>
      </c>
      <c r="F26" s="85" t="s">
        <v>896</v>
      </c>
      <c r="G26" s="87">
        <v>0.007905092592592592</v>
      </c>
    </row>
    <row r="27">
      <c r="A27" s="84" t="s">
        <v>870</v>
      </c>
      <c r="B27" s="84" t="s">
        <v>871</v>
      </c>
      <c r="C27" s="85" t="s">
        <v>887</v>
      </c>
      <c r="D27" s="86">
        <v>2.0</v>
      </c>
      <c r="E27" s="85" t="s">
        <v>892</v>
      </c>
      <c r="F27" s="85" t="s">
        <v>897</v>
      </c>
      <c r="G27" s="87">
        <v>0.03125</v>
      </c>
    </row>
    <row r="28">
      <c r="A28" s="84" t="s">
        <v>870</v>
      </c>
      <c r="B28" s="84" t="s">
        <v>871</v>
      </c>
      <c r="C28" s="85" t="s">
        <v>887</v>
      </c>
      <c r="D28" s="86">
        <v>3.0</v>
      </c>
      <c r="E28" s="85" t="s">
        <v>898</v>
      </c>
      <c r="F28" s="85" t="s">
        <v>246</v>
      </c>
      <c r="G28" s="87">
        <v>0.015636574074074074</v>
      </c>
    </row>
    <row r="29">
      <c r="A29" s="84" t="s">
        <v>870</v>
      </c>
      <c r="B29" s="84" t="s">
        <v>871</v>
      </c>
      <c r="C29" s="85" t="s">
        <v>887</v>
      </c>
      <c r="D29" s="86">
        <v>3.0</v>
      </c>
      <c r="E29" s="85" t="s">
        <v>898</v>
      </c>
      <c r="F29" s="85" t="s">
        <v>247</v>
      </c>
      <c r="G29" s="87">
        <v>0.018703703703703705</v>
      </c>
    </row>
    <row r="30">
      <c r="A30" s="84" t="s">
        <v>870</v>
      </c>
      <c r="B30" s="84" t="s">
        <v>871</v>
      </c>
      <c r="C30" s="85" t="s">
        <v>887</v>
      </c>
      <c r="D30" s="86">
        <v>3.0</v>
      </c>
      <c r="E30" s="85" t="s">
        <v>898</v>
      </c>
      <c r="F30" s="85" t="s">
        <v>248</v>
      </c>
      <c r="G30" s="87">
        <v>0.016030092592592592</v>
      </c>
    </row>
    <row r="31">
      <c r="A31" s="84" t="s">
        <v>870</v>
      </c>
      <c r="B31" s="84" t="s">
        <v>871</v>
      </c>
      <c r="C31" s="85" t="s">
        <v>887</v>
      </c>
      <c r="D31" s="86">
        <v>3.0</v>
      </c>
      <c r="E31" s="85" t="s">
        <v>898</v>
      </c>
      <c r="F31" s="85" t="s">
        <v>252</v>
      </c>
      <c r="G31" s="87">
        <v>0.019363425925925926</v>
      </c>
    </row>
    <row r="32">
      <c r="A32" s="84" t="s">
        <v>870</v>
      </c>
      <c r="B32" s="84" t="s">
        <v>871</v>
      </c>
      <c r="C32" s="85" t="s">
        <v>887</v>
      </c>
      <c r="D32" s="86">
        <v>4.0</v>
      </c>
      <c r="E32" s="85" t="s">
        <v>899</v>
      </c>
      <c r="F32" s="85" t="s">
        <v>900</v>
      </c>
      <c r="G32" s="87">
        <v>0.0030092592592592593</v>
      </c>
    </row>
    <row r="33">
      <c r="A33" s="84" t="s">
        <v>870</v>
      </c>
      <c r="B33" s="84" t="s">
        <v>871</v>
      </c>
      <c r="C33" s="85" t="s">
        <v>887</v>
      </c>
      <c r="D33" s="86">
        <v>4.0</v>
      </c>
      <c r="E33" s="85" t="s">
        <v>899</v>
      </c>
      <c r="F33" s="85" t="s">
        <v>901</v>
      </c>
      <c r="G33" s="87">
        <v>0.01412037037037037</v>
      </c>
    </row>
    <row r="34">
      <c r="A34" s="84" t="s">
        <v>870</v>
      </c>
      <c r="B34" s="84" t="s">
        <v>871</v>
      </c>
      <c r="C34" s="85" t="s">
        <v>887</v>
      </c>
      <c r="D34" s="86">
        <v>4.0</v>
      </c>
      <c r="E34" s="85" t="s">
        <v>899</v>
      </c>
      <c r="F34" s="85" t="s">
        <v>902</v>
      </c>
      <c r="G34" s="87">
        <v>0.01565972222222222</v>
      </c>
    </row>
    <row r="35">
      <c r="A35" s="84" t="s">
        <v>870</v>
      </c>
      <c r="B35" s="84" t="s">
        <v>871</v>
      </c>
      <c r="C35" s="85" t="s">
        <v>887</v>
      </c>
      <c r="D35" s="86">
        <v>4.0</v>
      </c>
      <c r="E35" s="85" t="s">
        <v>899</v>
      </c>
      <c r="F35" s="85" t="s">
        <v>1127</v>
      </c>
      <c r="G35" s="87">
        <v>0.041666666666666664</v>
      </c>
    </row>
    <row r="36">
      <c r="A36" s="84" t="s">
        <v>870</v>
      </c>
      <c r="B36" s="84" t="s">
        <v>871</v>
      </c>
      <c r="C36" s="85" t="s">
        <v>887</v>
      </c>
      <c r="D36" s="86">
        <v>4.0</v>
      </c>
      <c r="E36" s="85" t="s">
        <v>899</v>
      </c>
      <c r="F36" s="85" t="s">
        <v>903</v>
      </c>
      <c r="G36" s="87">
        <v>0.0625</v>
      </c>
    </row>
    <row r="37">
      <c r="A37" s="84" t="s">
        <v>870</v>
      </c>
      <c r="B37" s="84" t="s">
        <v>871</v>
      </c>
      <c r="C37" s="85" t="s">
        <v>887</v>
      </c>
      <c r="D37" s="86">
        <v>4.0</v>
      </c>
      <c r="E37" s="85" t="s">
        <v>899</v>
      </c>
      <c r="F37" s="85" t="s">
        <v>904</v>
      </c>
      <c r="G37" s="87">
        <v>0.041666666666666664</v>
      </c>
    </row>
    <row r="38">
      <c r="A38" s="84" t="s">
        <v>870</v>
      </c>
      <c r="B38" s="84" t="s">
        <v>871</v>
      </c>
      <c r="C38" s="85" t="s">
        <v>887</v>
      </c>
      <c r="D38" s="86">
        <v>4.0</v>
      </c>
      <c r="E38" s="85" t="s">
        <v>899</v>
      </c>
      <c r="F38" s="85" t="s">
        <v>905</v>
      </c>
      <c r="G38" s="87">
        <v>0.03125</v>
      </c>
    </row>
    <row r="39">
      <c r="A39" s="84" t="s">
        <v>870</v>
      </c>
      <c r="B39" s="84" t="s">
        <v>871</v>
      </c>
      <c r="C39" s="85" t="s">
        <v>906</v>
      </c>
      <c r="D39" s="86">
        <v>1.0</v>
      </c>
      <c r="E39" s="85" t="s">
        <v>907</v>
      </c>
      <c r="F39" s="85" t="s">
        <v>908</v>
      </c>
      <c r="G39" s="87">
        <v>0.01769675925925926</v>
      </c>
    </row>
    <row r="40">
      <c r="A40" s="84" t="s">
        <v>870</v>
      </c>
      <c r="B40" s="84" t="s">
        <v>871</v>
      </c>
      <c r="C40" s="85" t="s">
        <v>906</v>
      </c>
      <c r="D40" s="86">
        <v>1.0</v>
      </c>
      <c r="E40" s="85" t="s">
        <v>907</v>
      </c>
      <c r="F40" s="85" t="s">
        <v>909</v>
      </c>
      <c r="G40" s="87">
        <v>0.009444444444444445</v>
      </c>
    </row>
    <row r="41">
      <c r="A41" s="84" t="s">
        <v>870</v>
      </c>
      <c r="B41" s="84" t="s">
        <v>871</v>
      </c>
      <c r="C41" s="85" t="s">
        <v>906</v>
      </c>
      <c r="D41" s="86">
        <v>1.0</v>
      </c>
      <c r="E41" s="85" t="s">
        <v>907</v>
      </c>
      <c r="F41" s="85" t="s">
        <v>910</v>
      </c>
      <c r="G41" s="87">
        <v>0.015462962962962963</v>
      </c>
    </row>
    <row r="42">
      <c r="A42" s="84" t="s">
        <v>870</v>
      </c>
      <c r="B42" s="84" t="s">
        <v>871</v>
      </c>
      <c r="C42" s="85" t="s">
        <v>906</v>
      </c>
      <c r="D42" s="86">
        <v>1.0</v>
      </c>
      <c r="E42" s="85" t="s">
        <v>907</v>
      </c>
      <c r="F42" s="85" t="s">
        <v>911</v>
      </c>
      <c r="G42" s="87">
        <v>0.0625</v>
      </c>
    </row>
    <row r="43">
      <c r="A43" s="84" t="s">
        <v>870</v>
      </c>
      <c r="B43" s="84" t="s">
        <v>871</v>
      </c>
      <c r="C43" s="85" t="s">
        <v>906</v>
      </c>
      <c r="D43" s="86">
        <v>2.0</v>
      </c>
      <c r="E43" s="85" t="s">
        <v>912</v>
      </c>
      <c r="F43" s="85" t="s">
        <v>913</v>
      </c>
      <c r="G43" s="87">
        <v>0.018125</v>
      </c>
    </row>
    <row r="44">
      <c r="A44" s="84" t="s">
        <v>870</v>
      </c>
      <c r="B44" s="84" t="s">
        <v>871</v>
      </c>
      <c r="C44" s="85" t="s">
        <v>906</v>
      </c>
      <c r="D44" s="86">
        <v>2.0</v>
      </c>
      <c r="E44" s="85" t="s">
        <v>912</v>
      </c>
      <c r="F44" s="85" t="s">
        <v>1128</v>
      </c>
      <c r="G44" s="87">
        <v>0.009664351851851851</v>
      </c>
    </row>
    <row r="45">
      <c r="A45" s="84" t="s">
        <v>870</v>
      </c>
      <c r="B45" s="84" t="s">
        <v>871</v>
      </c>
      <c r="C45" s="85" t="s">
        <v>906</v>
      </c>
      <c r="D45" s="86">
        <v>2.0</v>
      </c>
      <c r="E45" s="85" t="s">
        <v>912</v>
      </c>
      <c r="F45" s="85" t="s">
        <v>1129</v>
      </c>
      <c r="G45" s="87">
        <v>0.017083333333333332</v>
      </c>
    </row>
    <row r="46">
      <c r="A46" s="84" t="s">
        <v>870</v>
      </c>
      <c r="B46" s="84" t="s">
        <v>871</v>
      </c>
      <c r="C46" s="85" t="s">
        <v>906</v>
      </c>
      <c r="D46" s="86">
        <v>2.0</v>
      </c>
      <c r="E46" s="85" t="s">
        <v>912</v>
      </c>
      <c r="F46" s="85" t="s">
        <v>914</v>
      </c>
      <c r="G46" s="87">
        <v>0.014560185185185185</v>
      </c>
    </row>
    <row r="47">
      <c r="A47" s="84" t="s">
        <v>870</v>
      </c>
      <c r="B47" s="84" t="s">
        <v>871</v>
      </c>
      <c r="C47" s="85" t="s">
        <v>906</v>
      </c>
      <c r="D47" s="86">
        <v>2.0</v>
      </c>
      <c r="E47" s="85" t="s">
        <v>912</v>
      </c>
      <c r="F47" s="85" t="s">
        <v>915</v>
      </c>
      <c r="G47" s="87">
        <v>0.013969907407407407</v>
      </c>
    </row>
    <row r="48">
      <c r="A48" s="84" t="s">
        <v>870</v>
      </c>
      <c r="B48" s="84" t="s">
        <v>871</v>
      </c>
      <c r="C48" s="85" t="s">
        <v>906</v>
      </c>
      <c r="D48" s="86">
        <v>2.0</v>
      </c>
      <c r="E48" s="85" t="s">
        <v>912</v>
      </c>
      <c r="F48" s="85" t="s">
        <v>916</v>
      </c>
      <c r="G48" s="87">
        <v>0.017916666666666668</v>
      </c>
    </row>
    <row r="49">
      <c r="A49" s="84" t="s">
        <v>870</v>
      </c>
      <c r="B49" s="84" t="s">
        <v>871</v>
      </c>
      <c r="C49" s="85" t="s">
        <v>906</v>
      </c>
      <c r="D49" s="86">
        <v>2.0</v>
      </c>
      <c r="E49" s="85" t="s">
        <v>912</v>
      </c>
      <c r="F49" s="85" t="s">
        <v>917</v>
      </c>
      <c r="G49" s="87">
        <v>0.08333333333333333</v>
      </c>
    </row>
    <row r="50">
      <c r="A50" s="84" t="s">
        <v>870</v>
      </c>
      <c r="B50" s="84" t="s">
        <v>871</v>
      </c>
      <c r="C50" s="85" t="s">
        <v>906</v>
      </c>
      <c r="D50" s="86">
        <v>2.0</v>
      </c>
      <c r="E50" s="85" t="s">
        <v>912</v>
      </c>
      <c r="F50" s="85" t="s">
        <v>918</v>
      </c>
      <c r="G50" s="87">
        <v>0.08333333333333333</v>
      </c>
    </row>
    <row r="51">
      <c r="A51" s="84" t="s">
        <v>870</v>
      </c>
      <c r="B51" s="84" t="s">
        <v>871</v>
      </c>
      <c r="C51" s="85" t="s">
        <v>906</v>
      </c>
      <c r="D51" s="86">
        <v>2.0</v>
      </c>
      <c r="E51" s="85" t="s">
        <v>912</v>
      </c>
      <c r="F51" s="85" t="s">
        <v>1130</v>
      </c>
      <c r="G51" s="87">
        <v>0.08333333333333333</v>
      </c>
    </row>
    <row r="52">
      <c r="A52" s="84" t="s">
        <v>870</v>
      </c>
      <c r="B52" s="84" t="s">
        <v>871</v>
      </c>
      <c r="C52" s="85" t="s">
        <v>919</v>
      </c>
      <c r="D52" s="86">
        <v>1.0</v>
      </c>
      <c r="E52" s="85" t="s">
        <v>920</v>
      </c>
      <c r="F52" s="85" t="s">
        <v>921</v>
      </c>
      <c r="G52" s="87">
        <v>0.012847222222222222</v>
      </c>
    </row>
    <row r="53">
      <c r="A53" s="84" t="s">
        <v>870</v>
      </c>
      <c r="B53" s="84" t="s">
        <v>871</v>
      </c>
      <c r="C53" s="85" t="s">
        <v>919</v>
      </c>
      <c r="D53" s="86">
        <v>1.0</v>
      </c>
      <c r="E53" s="85" t="s">
        <v>920</v>
      </c>
      <c r="F53" s="85" t="s">
        <v>922</v>
      </c>
      <c r="G53" s="87">
        <v>0.012326388888888888</v>
      </c>
    </row>
    <row r="54">
      <c r="A54" s="84" t="s">
        <v>870</v>
      </c>
      <c r="B54" s="84" t="s">
        <v>871</v>
      </c>
      <c r="C54" s="85" t="s">
        <v>919</v>
      </c>
      <c r="D54" s="86">
        <v>1.0</v>
      </c>
      <c r="E54" s="85" t="s">
        <v>920</v>
      </c>
      <c r="F54" s="85" t="s">
        <v>923</v>
      </c>
      <c r="G54" s="87">
        <v>0.016770833333333332</v>
      </c>
    </row>
    <row r="55">
      <c r="A55" s="84" t="s">
        <v>870</v>
      </c>
      <c r="B55" s="84" t="s">
        <v>871</v>
      </c>
      <c r="C55" s="85" t="s">
        <v>919</v>
      </c>
      <c r="D55" s="86">
        <v>1.0</v>
      </c>
      <c r="E55" s="85" t="s">
        <v>920</v>
      </c>
      <c r="F55" s="85" t="s">
        <v>924</v>
      </c>
      <c r="G55" s="87">
        <v>0.013020833333333334</v>
      </c>
    </row>
    <row r="56">
      <c r="A56" s="84" t="s">
        <v>870</v>
      </c>
      <c r="B56" s="84" t="s">
        <v>871</v>
      </c>
      <c r="C56" s="85" t="s">
        <v>919</v>
      </c>
      <c r="D56" s="86">
        <v>1.0</v>
      </c>
      <c r="E56" s="85" t="s">
        <v>920</v>
      </c>
      <c r="F56" s="85" t="s">
        <v>925</v>
      </c>
      <c r="G56" s="87">
        <v>0.022372685185185186</v>
      </c>
    </row>
    <row r="57">
      <c r="A57" s="84" t="s">
        <v>870</v>
      </c>
      <c r="B57" s="84" t="s">
        <v>871</v>
      </c>
      <c r="C57" s="85" t="s">
        <v>919</v>
      </c>
      <c r="D57" s="86">
        <v>1.0</v>
      </c>
      <c r="E57" s="85" t="s">
        <v>920</v>
      </c>
      <c r="F57" s="85" t="s">
        <v>1131</v>
      </c>
      <c r="G57" s="87">
        <v>0.013958333333333333</v>
      </c>
    </row>
    <row r="58">
      <c r="A58" s="84" t="s">
        <v>870</v>
      </c>
      <c r="B58" s="84" t="s">
        <v>871</v>
      </c>
      <c r="C58" s="85" t="s">
        <v>919</v>
      </c>
      <c r="D58" s="86">
        <v>1.0</v>
      </c>
      <c r="E58" s="85" t="s">
        <v>920</v>
      </c>
      <c r="F58" s="85" t="s">
        <v>926</v>
      </c>
      <c r="G58" s="87">
        <v>0.08333333333333333</v>
      </c>
    </row>
    <row r="59">
      <c r="A59" s="84" t="s">
        <v>870</v>
      </c>
      <c r="B59" s="84" t="s">
        <v>871</v>
      </c>
      <c r="C59" s="85" t="s">
        <v>919</v>
      </c>
      <c r="D59" s="86">
        <v>2.0</v>
      </c>
      <c r="E59" s="85" t="s">
        <v>927</v>
      </c>
      <c r="F59" s="85" t="s">
        <v>928</v>
      </c>
      <c r="G59" s="87">
        <v>0.010127314814814815</v>
      </c>
    </row>
    <row r="60">
      <c r="A60" s="84" t="s">
        <v>870</v>
      </c>
      <c r="B60" s="84" t="s">
        <v>871</v>
      </c>
      <c r="C60" s="85" t="s">
        <v>919</v>
      </c>
      <c r="D60" s="86">
        <v>2.0</v>
      </c>
      <c r="E60" s="85" t="s">
        <v>927</v>
      </c>
      <c r="F60" s="85" t="s">
        <v>929</v>
      </c>
      <c r="G60" s="87">
        <v>0.017708333333333333</v>
      </c>
    </row>
    <row r="61">
      <c r="A61" s="84" t="s">
        <v>870</v>
      </c>
      <c r="B61" s="84" t="s">
        <v>871</v>
      </c>
      <c r="C61" s="85" t="s">
        <v>919</v>
      </c>
      <c r="D61" s="86">
        <v>2.0</v>
      </c>
      <c r="E61" s="85" t="s">
        <v>927</v>
      </c>
      <c r="F61" s="85" t="s">
        <v>930</v>
      </c>
      <c r="G61" s="87">
        <v>0.015023148148148148</v>
      </c>
    </row>
    <row r="62">
      <c r="A62" s="84" t="s">
        <v>870</v>
      </c>
      <c r="B62" s="84" t="s">
        <v>871</v>
      </c>
      <c r="C62" s="85" t="s">
        <v>919</v>
      </c>
      <c r="D62" s="86">
        <v>2.0</v>
      </c>
      <c r="E62" s="85" t="s">
        <v>927</v>
      </c>
      <c r="F62" s="85" t="s">
        <v>1132</v>
      </c>
      <c r="G62" s="87">
        <v>0.017465277777777777</v>
      </c>
    </row>
    <row r="63">
      <c r="A63" s="84" t="s">
        <v>870</v>
      </c>
      <c r="B63" s="84" t="s">
        <v>871</v>
      </c>
      <c r="C63" s="85" t="s">
        <v>919</v>
      </c>
      <c r="D63" s="86">
        <v>2.0</v>
      </c>
      <c r="E63" s="85" t="s">
        <v>927</v>
      </c>
      <c r="F63" s="85" t="s">
        <v>931</v>
      </c>
      <c r="G63" s="87">
        <v>0.08333333333333333</v>
      </c>
    </row>
    <row r="64">
      <c r="A64" s="84" t="s">
        <v>870</v>
      </c>
      <c r="B64" s="84" t="s">
        <v>871</v>
      </c>
      <c r="C64" s="85" t="s">
        <v>919</v>
      </c>
      <c r="D64" s="86">
        <v>2.0</v>
      </c>
      <c r="E64" s="85" t="s">
        <v>927</v>
      </c>
      <c r="F64" s="85" t="s">
        <v>932</v>
      </c>
      <c r="G64" s="87">
        <v>0.08333333333333333</v>
      </c>
    </row>
    <row r="65">
      <c r="A65" s="84" t="s">
        <v>870</v>
      </c>
      <c r="B65" s="84" t="s">
        <v>871</v>
      </c>
      <c r="C65" s="85" t="s">
        <v>919</v>
      </c>
      <c r="D65" s="86">
        <v>2.0</v>
      </c>
      <c r="E65" s="85" t="s">
        <v>927</v>
      </c>
      <c r="F65" s="85" t="s">
        <v>933</v>
      </c>
      <c r="G65" s="87">
        <v>0.11458333333333333</v>
      </c>
    </row>
    <row r="66">
      <c r="A66" s="84" t="s">
        <v>870</v>
      </c>
      <c r="B66" s="84" t="s">
        <v>871</v>
      </c>
      <c r="C66" s="85" t="s">
        <v>919</v>
      </c>
      <c r="D66" s="86">
        <v>2.0</v>
      </c>
      <c r="E66" s="85" t="s">
        <v>927</v>
      </c>
      <c r="F66" s="85" t="s">
        <v>934</v>
      </c>
      <c r="G66" s="87">
        <v>0.03125</v>
      </c>
    </row>
    <row r="67">
      <c r="A67" s="84" t="s">
        <v>870</v>
      </c>
      <c r="B67" s="84" t="s">
        <v>871</v>
      </c>
      <c r="C67" s="85" t="s">
        <v>935</v>
      </c>
      <c r="D67" s="86">
        <v>1.0</v>
      </c>
      <c r="E67" s="85" t="s">
        <v>936</v>
      </c>
      <c r="F67" s="85" t="s">
        <v>1133</v>
      </c>
      <c r="G67" s="87">
        <v>0.0053125</v>
      </c>
    </row>
    <row r="68">
      <c r="A68" s="84" t="s">
        <v>870</v>
      </c>
      <c r="B68" s="84" t="s">
        <v>871</v>
      </c>
      <c r="C68" s="85" t="s">
        <v>935</v>
      </c>
      <c r="D68" s="86">
        <v>1.0</v>
      </c>
      <c r="E68" s="85" t="s">
        <v>936</v>
      </c>
      <c r="F68" s="85" t="s">
        <v>1134</v>
      </c>
      <c r="G68" s="87">
        <v>0.0050347222222222225</v>
      </c>
    </row>
    <row r="69">
      <c r="A69" s="84" t="s">
        <v>870</v>
      </c>
      <c r="B69" s="84" t="s">
        <v>871</v>
      </c>
      <c r="C69" s="85" t="s">
        <v>935</v>
      </c>
      <c r="D69" s="86">
        <v>1.0</v>
      </c>
      <c r="E69" s="85" t="s">
        <v>936</v>
      </c>
      <c r="F69" s="85" t="s">
        <v>937</v>
      </c>
      <c r="G69" s="87">
        <v>0.005300925925925926</v>
      </c>
    </row>
    <row r="70">
      <c r="A70" s="84" t="s">
        <v>870</v>
      </c>
      <c r="B70" s="84" t="s">
        <v>871</v>
      </c>
      <c r="C70" s="85" t="s">
        <v>935</v>
      </c>
      <c r="D70" s="86">
        <v>1.0</v>
      </c>
      <c r="E70" s="85" t="s">
        <v>936</v>
      </c>
      <c r="F70" s="85" t="s">
        <v>938</v>
      </c>
      <c r="G70" s="87">
        <v>0.007418981481481481</v>
      </c>
    </row>
    <row r="71">
      <c r="A71" s="84" t="s">
        <v>870</v>
      </c>
      <c r="B71" s="84" t="s">
        <v>871</v>
      </c>
      <c r="C71" s="85" t="s">
        <v>935</v>
      </c>
      <c r="D71" s="86">
        <v>1.0</v>
      </c>
      <c r="E71" s="85" t="s">
        <v>936</v>
      </c>
      <c r="F71" s="85" t="s">
        <v>939</v>
      </c>
      <c r="G71" s="87">
        <v>0.0030324074074074073</v>
      </c>
    </row>
    <row r="72">
      <c r="A72" s="84" t="s">
        <v>870</v>
      </c>
      <c r="B72" s="84" t="s">
        <v>871</v>
      </c>
      <c r="C72" s="85" t="s">
        <v>935</v>
      </c>
      <c r="D72" s="86">
        <v>1.0</v>
      </c>
      <c r="E72" s="85" t="s">
        <v>936</v>
      </c>
      <c r="F72" s="85" t="s">
        <v>940</v>
      </c>
      <c r="G72" s="87">
        <v>0.005208333333333333</v>
      </c>
    </row>
    <row r="73">
      <c r="A73" s="84" t="s">
        <v>870</v>
      </c>
      <c r="B73" s="84" t="s">
        <v>871</v>
      </c>
      <c r="C73" s="85" t="s">
        <v>935</v>
      </c>
      <c r="D73" s="86">
        <v>1.0</v>
      </c>
      <c r="E73" s="85" t="s">
        <v>936</v>
      </c>
      <c r="F73" s="85" t="s">
        <v>941</v>
      </c>
      <c r="G73" s="87">
        <v>0.00537037037037037</v>
      </c>
    </row>
    <row r="74">
      <c r="A74" s="84" t="s">
        <v>870</v>
      </c>
      <c r="B74" s="84" t="s">
        <v>871</v>
      </c>
      <c r="C74" s="85" t="s">
        <v>935</v>
      </c>
      <c r="D74" s="86">
        <v>1.0</v>
      </c>
      <c r="E74" s="85" t="s">
        <v>936</v>
      </c>
      <c r="F74" s="85" t="s">
        <v>942</v>
      </c>
      <c r="G74" s="87">
        <v>0.0036458333333333334</v>
      </c>
    </row>
    <row r="75">
      <c r="A75" s="84" t="s">
        <v>870</v>
      </c>
      <c r="B75" s="84" t="s">
        <v>871</v>
      </c>
      <c r="C75" s="85" t="s">
        <v>935</v>
      </c>
      <c r="D75" s="86">
        <v>1.0</v>
      </c>
      <c r="E75" s="85" t="s">
        <v>936</v>
      </c>
      <c r="F75" s="85" t="s">
        <v>943</v>
      </c>
      <c r="G75" s="87">
        <v>0.007893518518518518</v>
      </c>
    </row>
    <row r="76">
      <c r="A76" s="84" t="s">
        <v>870</v>
      </c>
      <c r="B76" s="84" t="s">
        <v>871</v>
      </c>
      <c r="C76" s="85" t="s">
        <v>935</v>
      </c>
      <c r="D76" s="86">
        <v>1.0</v>
      </c>
      <c r="E76" s="85" t="s">
        <v>936</v>
      </c>
      <c r="F76" s="85" t="s">
        <v>944</v>
      </c>
      <c r="G76" s="87">
        <v>0.006099537037037037</v>
      </c>
    </row>
    <row r="77">
      <c r="A77" s="84" t="s">
        <v>870</v>
      </c>
      <c r="B77" s="84" t="s">
        <v>871</v>
      </c>
      <c r="C77" s="85" t="s">
        <v>935</v>
      </c>
      <c r="D77" s="86">
        <v>2.0</v>
      </c>
      <c r="E77" s="85" t="s">
        <v>945</v>
      </c>
      <c r="F77" s="85" t="s">
        <v>946</v>
      </c>
      <c r="G77" s="87">
        <v>0.010393518518518519</v>
      </c>
    </row>
    <row r="78">
      <c r="A78" s="84" t="s">
        <v>870</v>
      </c>
      <c r="B78" s="84" t="s">
        <v>871</v>
      </c>
      <c r="C78" s="85" t="s">
        <v>935</v>
      </c>
      <c r="D78" s="86">
        <v>2.0</v>
      </c>
      <c r="E78" s="85" t="s">
        <v>945</v>
      </c>
      <c r="F78" s="85" t="s">
        <v>1135</v>
      </c>
      <c r="G78" s="87">
        <v>0.002337962962962963</v>
      </c>
    </row>
    <row r="79">
      <c r="A79" s="84" t="s">
        <v>870</v>
      </c>
      <c r="B79" s="84" t="s">
        <v>871</v>
      </c>
      <c r="C79" s="85" t="s">
        <v>935</v>
      </c>
      <c r="D79" s="86">
        <v>2.0</v>
      </c>
      <c r="E79" s="85" t="s">
        <v>945</v>
      </c>
      <c r="F79" s="85" t="s">
        <v>947</v>
      </c>
      <c r="G79" s="87">
        <v>0.007060185185185185</v>
      </c>
    </row>
    <row r="80">
      <c r="A80" s="84" t="s">
        <v>870</v>
      </c>
      <c r="B80" s="84" t="s">
        <v>871</v>
      </c>
      <c r="C80" s="85" t="s">
        <v>935</v>
      </c>
      <c r="D80" s="86">
        <v>2.0</v>
      </c>
      <c r="E80" s="85" t="s">
        <v>945</v>
      </c>
      <c r="F80" s="85" t="s">
        <v>948</v>
      </c>
      <c r="G80" s="87">
        <v>0.007592592592592593</v>
      </c>
    </row>
    <row r="81">
      <c r="A81" s="84" t="s">
        <v>870</v>
      </c>
      <c r="B81" s="84" t="s">
        <v>871</v>
      </c>
      <c r="C81" s="85" t="s">
        <v>935</v>
      </c>
      <c r="D81" s="86">
        <v>2.0</v>
      </c>
      <c r="E81" s="85" t="s">
        <v>945</v>
      </c>
      <c r="F81" s="85" t="s">
        <v>949</v>
      </c>
      <c r="G81" s="87">
        <v>0.002928240740740741</v>
      </c>
    </row>
    <row r="82">
      <c r="A82" s="84" t="s">
        <v>870</v>
      </c>
      <c r="B82" s="84" t="s">
        <v>871</v>
      </c>
      <c r="C82" s="85" t="s">
        <v>935</v>
      </c>
      <c r="D82" s="86">
        <v>2.0</v>
      </c>
      <c r="E82" s="85" t="s">
        <v>945</v>
      </c>
      <c r="F82" s="85" t="s">
        <v>950</v>
      </c>
      <c r="G82" s="87">
        <v>0.03125</v>
      </c>
    </row>
    <row r="83">
      <c r="A83" s="84" t="s">
        <v>870</v>
      </c>
      <c r="B83" s="84" t="s">
        <v>871</v>
      </c>
      <c r="C83" s="85" t="s">
        <v>935</v>
      </c>
      <c r="D83" s="86">
        <v>2.0</v>
      </c>
      <c r="E83" s="85" t="s">
        <v>945</v>
      </c>
      <c r="F83" s="85" t="s">
        <v>951</v>
      </c>
      <c r="G83" s="92">
        <v>0.041666666666666664</v>
      </c>
    </row>
    <row r="84">
      <c r="A84" s="84" t="s">
        <v>870</v>
      </c>
      <c r="B84" s="84" t="s">
        <v>871</v>
      </c>
      <c r="C84" s="85" t="s">
        <v>935</v>
      </c>
      <c r="D84" s="86">
        <v>3.0</v>
      </c>
      <c r="E84" s="85" t="s">
        <v>952</v>
      </c>
      <c r="F84" s="85" t="s">
        <v>953</v>
      </c>
      <c r="G84" s="87">
        <v>0.021423611111111112</v>
      </c>
    </row>
    <row r="85">
      <c r="A85" s="84" t="s">
        <v>870</v>
      </c>
      <c r="B85" s="84" t="s">
        <v>871</v>
      </c>
      <c r="C85" s="85" t="s">
        <v>935</v>
      </c>
      <c r="D85" s="86">
        <v>3.0</v>
      </c>
      <c r="E85" s="85" t="s">
        <v>952</v>
      </c>
      <c r="F85" s="85" t="s">
        <v>954</v>
      </c>
      <c r="G85" s="87">
        <v>0.007465277777777778</v>
      </c>
    </row>
    <row r="86">
      <c r="A86" s="84" t="s">
        <v>870</v>
      </c>
      <c r="B86" s="84" t="s">
        <v>871</v>
      </c>
      <c r="C86" s="85" t="s">
        <v>935</v>
      </c>
      <c r="D86" s="86">
        <v>3.0</v>
      </c>
      <c r="E86" s="85" t="s">
        <v>952</v>
      </c>
      <c r="F86" s="85" t="s">
        <v>955</v>
      </c>
      <c r="G86" s="87">
        <v>0.006805555555555555</v>
      </c>
    </row>
    <row r="87">
      <c r="A87" s="84" t="s">
        <v>870</v>
      </c>
      <c r="B87" s="84" t="s">
        <v>871</v>
      </c>
      <c r="C87" s="85" t="s">
        <v>935</v>
      </c>
      <c r="D87" s="86">
        <v>3.0</v>
      </c>
      <c r="E87" s="85" t="s">
        <v>952</v>
      </c>
      <c r="F87" s="85" t="s">
        <v>956</v>
      </c>
      <c r="G87" s="87">
        <v>0.006307870370370371</v>
      </c>
    </row>
    <row r="88">
      <c r="A88" s="84" t="s">
        <v>870</v>
      </c>
      <c r="B88" s="84" t="s">
        <v>871</v>
      </c>
      <c r="C88" s="85" t="s">
        <v>935</v>
      </c>
      <c r="D88" s="86">
        <v>3.0</v>
      </c>
      <c r="E88" s="85" t="s">
        <v>952</v>
      </c>
      <c r="F88" s="85" t="s">
        <v>957</v>
      </c>
      <c r="G88" s="87">
        <v>0.003981481481481482</v>
      </c>
    </row>
    <row r="89">
      <c r="A89" s="84" t="s">
        <v>870</v>
      </c>
      <c r="B89" s="84" t="s">
        <v>871</v>
      </c>
      <c r="C89" s="85" t="s">
        <v>935</v>
      </c>
      <c r="D89" s="86">
        <v>3.0</v>
      </c>
      <c r="E89" s="85" t="s">
        <v>952</v>
      </c>
      <c r="F89" s="85" t="s">
        <v>958</v>
      </c>
      <c r="G89" s="87">
        <v>0.018449074074074073</v>
      </c>
    </row>
    <row r="90">
      <c r="A90" s="84" t="s">
        <v>870</v>
      </c>
      <c r="B90" s="84" t="s">
        <v>871</v>
      </c>
      <c r="C90" s="85" t="s">
        <v>935</v>
      </c>
      <c r="D90" s="86">
        <v>3.0</v>
      </c>
      <c r="E90" s="85" t="s">
        <v>952</v>
      </c>
      <c r="F90" s="85" t="s">
        <v>959</v>
      </c>
      <c r="G90" s="87">
        <v>0.004629629629629629</v>
      </c>
    </row>
    <row r="91">
      <c r="A91" s="84" t="s">
        <v>870</v>
      </c>
      <c r="B91" s="84" t="s">
        <v>871</v>
      </c>
      <c r="C91" s="85" t="s">
        <v>935</v>
      </c>
      <c r="D91" s="86">
        <v>3.0</v>
      </c>
      <c r="E91" s="85" t="s">
        <v>952</v>
      </c>
      <c r="F91" s="85" t="s">
        <v>960</v>
      </c>
      <c r="G91" s="87">
        <v>0.0625</v>
      </c>
    </row>
    <row r="92">
      <c r="A92" s="84" t="s">
        <v>870</v>
      </c>
      <c r="B92" s="84" t="s">
        <v>871</v>
      </c>
      <c r="C92" s="85" t="s">
        <v>935</v>
      </c>
      <c r="D92" s="86">
        <v>3.0</v>
      </c>
      <c r="E92" s="85" t="s">
        <v>952</v>
      </c>
      <c r="F92" s="85" t="s">
        <v>961</v>
      </c>
      <c r="G92" s="87">
        <v>0.03125</v>
      </c>
    </row>
    <row r="93">
      <c r="A93" s="84" t="s">
        <v>870</v>
      </c>
      <c r="B93" s="84" t="s">
        <v>871</v>
      </c>
      <c r="C93" s="85" t="s">
        <v>935</v>
      </c>
      <c r="D93" s="86">
        <v>3.0</v>
      </c>
      <c r="E93" s="85" t="s">
        <v>952</v>
      </c>
      <c r="F93" s="85" t="s">
        <v>962</v>
      </c>
      <c r="G93" s="87">
        <v>0.0625</v>
      </c>
    </row>
    <row r="94">
      <c r="A94" s="84" t="s">
        <v>870</v>
      </c>
      <c r="B94" s="84" t="s">
        <v>871</v>
      </c>
      <c r="C94" s="85" t="s">
        <v>935</v>
      </c>
      <c r="D94" s="86">
        <v>3.0</v>
      </c>
      <c r="E94" s="85" t="s">
        <v>952</v>
      </c>
      <c r="F94" s="85" t="s">
        <v>963</v>
      </c>
      <c r="G94" s="87">
        <v>0.0625</v>
      </c>
    </row>
    <row r="95">
      <c r="A95" s="84" t="s">
        <v>870</v>
      </c>
      <c r="B95" s="84" t="s">
        <v>871</v>
      </c>
      <c r="C95" s="85" t="s">
        <v>964</v>
      </c>
      <c r="D95" s="86">
        <v>1.0</v>
      </c>
      <c r="E95" s="85" t="s">
        <v>964</v>
      </c>
      <c r="F95" s="85" t="s">
        <v>1136</v>
      </c>
      <c r="G95" s="87">
        <v>0.003460648148148148</v>
      </c>
    </row>
    <row r="96">
      <c r="A96" s="84" t="s">
        <v>870</v>
      </c>
      <c r="B96" s="84" t="s">
        <v>871</v>
      </c>
      <c r="C96" s="85" t="s">
        <v>964</v>
      </c>
      <c r="D96" s="86">
        <v>1.0</v>
      </c>
      <c r="E96" s="85" t="s">
        <v>964</v>
      </c>
      <c r="F96" s="85" t="s">
        <v>1137</v>
      </c>
      <c r="G96" s="87">
        <v>0.003576388888888889</v>
      </c>
    </row>
    <row r="97">
      <c r="A97" s="84" t="s">
        <v>870</v>
      </c>
      <c r="B97" s="84" t="s">
        <v>871</v>
      </c>
      <c r="C97" s="85" t="s">
        <v>964</v>
      </c>
      <c r="D97" s="86">
        <v>1.0</v>
      </c>
      <c r="E97" s="85" t="s">
        <v>964</v>
      </c>
      <c r="F97" s="85" t="s">
        <v>965</v>
      </c>
      <c r="G97" s="87">
        <v>0.002962962962962963</v>
      </c>
    </row>
    <row r="98">
      <c r="A98" s="84" t="s">
        <v>870</v>
      </c>
      <c r="B98" s="84" t="s">
        <v>871</v>
      </c>
      <c r="C98" s="85" t="s">
        <v>964</v>
      </c>
      <c r="D98" s="86">
        <v>1.0</v>
      </c>
      <c r="E98" s="85" t="s">
        <v>964</v>
      </c>
      <c r="F98" s="85" t="s">
        <v>966</v>
      </c>
      <c r="G98" s="87">
        <v>0.005439814814814815</v>
      </c>
    </row>
    <row r="99">
      <c r="A99" s="84" t="s">
        <v>870</v>
      </c>
      <c r="B99" s="84" t="s">
        <v>871</v>
      </c>
      <c r="C99" s="85" t="s">
        <v>964</v>
      </c>
      <c r="D99" s="86">
        <v>1.0</v>
      </c>
      <c r="E99" s="85" t="s">
        <v>964</v>
      </c>
      <c r="F99" s="85" t="s">
        <v>967</v>
      </c>
      <c r="G99" s="87">
        <v>0.004178240740740741</v>
      </c>
    </row>
    <row r="100">
      <c r="A100" s="84" t="s">
        <v>870</v>
      </c>
      <c r="B100" s="84" t="s">
        <v>871</v>
      </c>
      <c r="C100" s="85" t="s">
        <v>964</v>
      </c>
      <c r="D100" s="86">
        <v>1.0</v>
      </c>
      <c r="E100" s="85" t="s">
        <v>964</v>
      </c>
      <c r="F100" s="85" t="s">
        <v>968</v>
      </c>
      <c r="G100" s="92">
        <v>0.42569444444444443</v>
      </c>
    </row>
    <row r="101">
      <c r="A101" s="84" t="s">
        <v>870</v>
      </c>
      <c r="B101" s="84" t="s">
        <v>871</v>
      </c>
      <c r="C101" s="85" t="s">
        <v>964</v>
      </c>
      <c r="D101" s="86">
        <v>1.0</v>
      </c>
      <c r="E101" s="85" t="s">
        <v>964</v>
      </c>
      <c r="F101" s="85" t="s">
        <v>969</v>
      </c>
      <c r="G101" s="87">
        <v>0.125</v>
      </c>
    </row>
    <row r="102">
      <c r="A102" s="88"/>
      <c r="B102" s="88"/>
      <c r="C102" s="88"/>
      <c r="D102" s="89"/>
      <c r="E102" s="88"/>
      <c r="F102" s="88"/>
      <c r="G102" s="88"/>
    </row>
    <row r="103">
      <c r="A103" s="88"/>
      <c r="B103" s="88"/>
      <c r="C103" s="88"/>
      <c r="D103" s="89"/>
      <c r="E103" s="88"/>
      <c r="F103" s="88"/>
      <c r="G103" s="88"/>
    </row>
    <row r="104">
      <c r="A104" s="88"/>
      <c r="B104" s="88"/>
      <c r="C104" s="88"/>
      <c r="D104" s="89"/>
      <c r="E104" s="88"/>
      <c r="F104" s="88"/>
      <c r="G104" s="88"/>
    </row>
    <row r="105">
      <c r="A105" s="88"/>
      <c r="B105" s="88"/>
      <c r="C105" s="88"/>
      <c r="D105" s="89"/>
      <c r="E105" s="88"/>
      <c r="F105" s="88"/>
      <c r="G105" s="88"/>
    </row>
    <row r="106">
      <c r="A106" s="88"/>
      <c r="B106" s="88"/>
      <c r="C106" s="88"/>
      <c r="D106" s="89"/>
      <c r="E106" s="88"/>
      <c r="F106" s="88"/>
      <c r="G106" s="88"/>
    </row>
    <row r="107">
      <c r="A107" s="88"/>
      <c r="B107" s="88"/>
      <c r="C107" s="88"/>
      <c r="D107" s="89"/>
      <c r="E107" s="88"/>
      <c r="F107" s="88"/>
      <c r="G107" s="88"/>
    </row>
    <row r="108">
      <c r="A108" s="88"/>
      <c r="B108" s="88"/>
      <c r="C108" s="88"/>
      <c r="D108" s="89"/>
      <c r="E108" s="88"/>
      <c r="F108" s="88"/>
      <c r="G108" s="88"/>
    </row>
    <row r="109">
      <c r="A109" s="88"/>
      <c r="B109" s="88"/>
      <c r="C109" s="88"/>
      <c r="D109" s="89"/>
      <c r="E109" s="88"/>
      <c r="F109" s="88"/>
      <c r="G109" s="88"/>
    </row>
    <row r="110">
      <c r="A110" s="88"/>
      <c r="B110" s="88"/>
      <c r="C110" s="88"/>
      <c r="D110" s="89"/>
      <c r="E110" s="88"/>
      <c r="F110" s="88"/>
      <c r="G110" s="88"/>
    </row>
    <row r="111">
      <c r="A111" s="88"/>
      <c r="B111" s="88"/>
      <c r="C111" s="88"/>
      <c r="D111" s="89"/>
      <c r="E111" s="88"/>
      <c r="F111" s="88"/>
      <c r="G111" s="88"/>
    </row>
    <row r="112">
      <c r="A112" s="88"/>
      <c r="B112" s="88"/>
      <c r="C112" s="88"/>
      <c r="D112" s="89"/>
      <c r="E112" s="88"/>
      <c r="F112" s="88"/>
      <c r="G112" s="88"/>
    </row>
    <row r="113">
      <c r="A113" s="88"/>
      <c r="B113" s="88"/>
      <c r="C113" s="88"/>
      <c r="D113" s="89"/>
      <c r="E113" s="88"/>
      <c r="F113" s="88"/>
      <c r="G113" s="88"/>
    </row>
    <row r="114">
      <c r="A114" s="88"/>
      <c r="B114" s="88"/>
      <c r="C114" s="88"/>
      <c r="D114" s="89"/>
      <c r="E114" s="88"/>
      <c r="F114" s="88"/>
      <c r="G114" s="88"/>
    </row>
    <row r="115">
      <c r="A115" s="88"/>
      <c r="B115" s="88"/>
      <c r="C115" s="88"/>
      <c r="D115" s="89"/>
      <c r="E115" s="88"/>
      <c r="F115" s="88"/>
      <c r="G115" s="88"/>
    </row>
    <row r="116">
      <c r="A116" s="88"/>
      <c r="B116" s="88"/>
      <c r="C116" s="88"/>
      <c r="D116" s="89"/>
      <c r="E116" s="88"/>
      <c r="F116" s="88"/>
      <c r="G116" s="88"/>
    </row>
    <row r="117">
      <c r="A117" s="88"/>
      <c r="B117" s="88"/>
      <c r="C117" s="88"/>
      <c r="D117" s="89"/>
      <c r="E117" s="88"/>
      <c r="F117" s="88"/>
      <c r="G117" s="88"/>
    </row>
    <row r="118">
      <c r="A118" s="88"/>
      <c r="B118" s="88"/>
      <c r="C118" s="88"/>
      <c r="D118" s="89"/>
      <c r="E118" s="88"/>
      <c r="F118" s="88"/>
      <c r="G118" s="88"/>
    </row>
    <row r="119">
      <c r="A119" s="88"/>
      <c r="B119" s="88"/>
      <c r="C119" s="88"/>
      <c r="D119" s="89"/>
      <c r="E119" s="88"/>
      <c r="F119" s="88"/>
      <c r="G119" s="88"/>
    </row>
    <row r="120">
      <c r="A120" s="88"/>
      <c r="B120" s="88"/>
      <c r="C120" s="88"/>
      <c r="D120" s="89"/>
      <c r="E120" s="88"/>
      <c r="F120" s="88"/>
      <c r="G120" s="88"/>
    </row>
    <row r="121">
      <c r="A121" s="88"/>
      <c r="B121" s="88"/>
      <c r="C121" s="88"/>
      <c r="D121" s="89"/>
      <c r="E121" s="88"/>
      <c r="F121" s="88"/>
      <c r="G121" s="88"/>
    </row>
    <row r="122">
      <c r="A122" s="88"/>
      <c r="B122" s="88"/>
      <c r="C122" s="88"/>
      <c r="D122" s="89"/>
      <c r="E122" s="88"/>
      <c r="F122" s="88"/>
      <c r="G122" s="88"/>
    </row>
    <row r="123">
      <c r="A123" s="88"/>
      <c r="B123" s="88"/>
      <c r="C123" s="88"/>
      <c r="D123" s="89"/>
      <c r="E123" s="88"/>
      <c r="F123" s="88"/>
      <c r="G123" s="88"/>
    </row>
    <row r="124">
      <c r="A124" s="88"/>
      <c r="B124" s="88"/>
      <c r="C124" s="88"/>
      <c r="D124" s="89"/>
      <c r="E124" s="88"/>
      <c r="F124" s="88"/>
      <c r="G124" s="8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21.78"/>
    <col customWidth="1" min="2" max="2" width="7.33"/>
    <col customWidth="1" min="3" max="3" width="47.44"/>
    <col customWidth="1" min="4" max="4" width="32.33"/>
    <col customWidth="1" min="5" max="5" width="7.44"/>
  </cols>
  <sheetData>
    <row r="1">
      <c r="A1" s="93" t="s">
        <v>971</v>
      </c>
      <c r="B1" s="93" t="s">
        <v>972</v>
      </c>
      <c r="C1" s="93" t="s">
        <v>1062</v>
      </c>
      <c r="D1" s="93" t="s">
        <v>974</v>
      </c>
      <c r="E1" s="93" t="s">
        <v>975</v>
      </c>
    </row>
    <row r="2">
      <c r="A2" s="78" t="s">
        <v>1138</v>
      </c>
      <c r="B2" s="78">
        <v>1.0</v>
      </c>
      <c r="C2" s="78" t="s">
        <v>1139</v>
      </c>
      <c r="D2" s="78" t="s">
        <v>1140</v>
      </c>
      <c r="E2" s="80">
        <v>0.006793981481481482</v>
      </c>
    </row>
    <row r="3">
      <c r="A3" s="78" t="s">
        <v>1138</v>
      </c>
      <c r="B3" s="78">
        <v>1.0</v>
      </c>
      <c r="C3" s="78" t="s">
        <v>1139</v>
      </c>
      <c r="D3" s="78" t="s">
        <v>1141</v>
      </c>
      <c r="E3" s="80">
        <v>0.006550925925925926</v>
      </c>
    </row>
    <row r="4">
      <c r="A4" s="78" t="s">
        <v>1138</v>
      </c>
      <c r="B4" s="78">
        <v>1.0</v>
      </c>
      <c r="C4" s="78" t="s">
        <v>1139</v>
      </c>
      <c r="D4" s="78" t="s">
        <v>1142</v>
      </c>
      <c r="E4" s="80">
        <v>0.005694444444444445</v>
      </c>
    </row>
    <row r="5">
      <c r="A5" s="78" t="s">
        <v>1138</v>
      </c>
      <c r="B5" s="78">
        <v>1.0</v>
      </c>
      <c r="C5" s="78" t="s">
        <v>1139</v>
      </c>
      <c r="D5" s="78" t="s">
        <v>1143</v>
      </c>
      <c r="E5" s="80">
        <v>0.005983796296296296</v>
      </c>
    </row>
    <row r="6">
      <c r="A6" s="78" t="s">
        <v>1138</v>
      </c>
      <c r="B6" s="78">
        <v>1.0</v>
      </c>
      <c r="C6" s="78" t="s">
        <v>1139</v>
      </c>
      <c r="D6" s="78" t="s">
        <v>1144</v>
      </c>
      <c r="E6" s="80">
        <v>0.006006944444444444</v>
      </c>
    </row>
    <row r="7">
      <c r="A7" s="78" t="s">
        <v>1138</v>
      </c>
      <c r="B7" s="78">
        <v>1.0</v>
      </c>
      <c r="C7" s="78" t="s">
        <v>1139</v>
      </c>
      <c r="D7" s="78" t="s">
        <v>1145</v>
      </c>
      <c r="E7" s="80">
        <v>0.008148148148148147</v>
      </c>
    </row>
    <row r="8">
      <c r="A8" s="78" t="s">
        <v>1138</v>
      </c>
      <c r="B8" s="78">
        <v>1.0</v>
      </c>
      <c r="C8" s="78" t="s">
        <v>1139</v>
      </c>
      <c r="D8" s="78" t="s">
        <v>1146</v>
      </c>
      <c r="E8" s="80">
        <v>0.005648148148148148</v>
      </c>
    </row>
    <row r="9">
      <c r="A9" s="78" t="s">
        <v>1138</v>
      </c>
      <c r="B9" s="78">
        <v>1.0</v>
      </c>
      <c r="C9" s="78" t="s">
        <v>1139</v>
      </c>
      <c r="D9" s="78" t="s">
        <v>1147</v>
      </c>
      <c r="E9" s="80">
        <v>0.0052662037037037035</v>
      </c>
    </row>
    <row r="10">
      <c r="A10" s="78" t="s">
        <v>1138</v>
      </c>
      <c r="B10" s="78">
        <v>1.0</v>
      </c>
      <c r="C10" s="78" t="s">
        <v>1139</v>
      </c>
      <c r="D10" s="78" t="s">
        <v>1148</v>
      </c>
      <c r="E10" s="80">
        <v>0.005231481481481481</v>
      </c>
    </row>
    <row r="11">
      <c r="A11" s="78" t="s">
        <v>1149</v>
      </c>
      <c r="B11" s="78">
        <v>1.0</v>
      </c>
      <c r="C11" s="78" t="s">
        <v>1149</v>
      </c>
      <c r="D11" s="78" t="s">
        <v>1150</v>
      </c>
      <c r="E11" s="80">
        <v>0.005763888888888889</v>
      </c>
    </row>
    <row r="12">
      <c r="A12" s="78" t="s">
        <v>1149</v>
      </c>
      <c r="B12" s="78">
        <v>1.0</v>
      </c>
      <c r="C12" s="78" t="s">
        <v>1149</v>
      </c>
      <c r="D12" s="78" t="s">
        <v>1151</v>
      </c>
      <c r="E12" s="80">
        <v>0.006006944444444444</v>
      </c>
    </row>
    <row r="13">
      <c r="A13" s="78" t="s">
        <v>1149</v>
      </c>
      <c r="B13" s="78">
        <v>1.0</v>
      </c>
      <c r="C13" s="78" t="s">
        <v>1149</v>
      </c>
      <c r="D13" s="78" t="s">
        <v>1152</v>
      </c>
      <c r="E13" s="80">
        <v>0.005497685185185185</v>
      </c>
    </row>
    <row r="14">
      <c r="A14" s="78" t="s">
        <v>1149</v>
      </c>
      <c r="B14" s="78">
        <v>1.0</v>
      </c>
      <c r="C14" s="78" t="s">
        <v>1149</v>
      </c>
      <c r="D14" s="78" t="s">
        <v>1153</v>
      </c>
      <c r="E14" s="80">
        <v>0.005474537037037037</v>
      </c>
    </row>
    <row r="15">
      <c r="A15" s="78" t="s">
        <v>1154</v>
      </c>
      <c r="B15" s="78">
        <v>1.0</v>
      </c>
      <c r="C15" s="78" t="s">
        <v>1155</v>
      </c>
      <c r="D15" s="78" t="s">
        <v>1156</v>
      </c>
      <c r="E15" s="80">
        <v>0.007476851851851852</v>
      </c>
    </row>
    <row r="16">
      <c r="A16" s="78" t="s">
        <v>1154</v>
      </c>
      <c r="B16" s="78">
        <v>2.0</v>
      </c>
      <c r="C16" s="78" t="s">
        <v>1157</v>
      </c>
      <c r="D16" s="78" t="s">
        <v>1158</v>
      </c>
      <c r="E16" s="80">
        <v>0.005925925925925926</v>
      </c>
    </row>
    <row r="17">
      <c r="A17" s="78" t="s">
        <v>1154</v>
      </c>
      <c r="B17" s="78">
        <v>2.0</v>
      </c>
      <c r="C17" s="78" t="s">
        <v>1157</v>
      </c>
      <c r="D17" s="78" t="s">
        <v>1159</v>
      </c>
      <c r="E17" s="80">
        <v>0.006435185185185185</v>
      </c>
    </row>
    <row r="18">
      <c r="A18" s="78" t="s">
        <v>1154</v>
      </c>
      <c r="B18" s="78">
        <v>3.0</v>
      </c>
      <c r="C18" s="78" t="s">
        <v>1160</v>
      </c>
      <c r="D18" s="78" t="s">
        <v>1161</v>
      </c>
      <c r="E18" s="80">
        <v>0.0051967592592592595</v>
      </c>
    </row>
    <row r="19">
      <c r="A19" s="78" t="s">
        <v>1154</v>
      </c>
      <c r="B19" s="78">
        <v>3.0</v>
      </c>
      <c r="C19" s="78" t="s">
        <v>1160</v>
      </c>
      <c r="D19" s="78" t="s">
        <v>1162</v>
      </c>
      <c r="E19" s="80">
        <v>0.006122685185185185</v>
      </c>
    </row>
    <row r="20">
      <c r="A20" s="78" t="s">
        <v>1154</v>
      </c>
      <c r="B20" s="78">
        <v>4.0</v>
      </c>
      <c r="C20" s="78" t="s">
        <v>1163</v>
      </c>
      <c r="D20" s="78" t="s">
        <v>1164</v>
      </c>
      <c r="E20" s="80">
        <v>0.005011574074074074</v>
      </c>
    </row>
    <row r="21">
      <c r="A21" s="78" t="s">
        <v>1154</v>
      </c>
      <c r="B21" s="78">
        <v>5.0</v>
      </c>
      <c r="C21" s="78" t="s">
        <v>1165</v>
      </c>
      <c r="D21" s="78" t="s">
        <v>1166</v>
      </c>
      <c r="E21" s="80">
        <v>0.00537037037037037</v>
      </c>
    </row>
    <row r="22">
      <c r="A22" s="78" t="s">
        <v>1154</v>
      </c>
      <c r="B22" s="78">
        <v>5.0</v>
      </c>
      <c r="C22" s="78" t="s">
        <v>1165</v>
      </c>
      <c r="D22" s="78" t="s">
        <v>1167</v>
      </c>
      <c r="E22" s="80">
        <v>0.004872685185185185</v>
      </c>
    </row>
    <row r="23">
      <c r="A23" s="78" t="s">
        <v>1168</v>
      </c>
      <c r="B23" s="78">
        <v>1.0</v>
      </c>
      <c r="C23" s="78" t="s">
        <v>1139</v>
      </c>
      <c r="D23" s="78" t="s">
        <v>1169</v>
      </c>
      <c r="E23" s="80">
        <v>0.007395833333333333</v>
      </c>
    </row>
    <row r="24">
      <c r="A24" s="78" t="s">
        <v>1168</v>
      </c>
      <c r="B24" s="78">
        <v>1.0</v>
      </c>
      <c r="C24" s="78" t="s">
        <v>1139</v>
      </c>
      <c r="D24" s="78" t="s">
        <v>1170</v>
      </c>
      <c r="E24" s="80">
        <v>0.005810185185185186</v>
      </c>
    </row>
    <row r="25">
      <c r="A25" s="78" t="s">
        <v>1168</v>
      </c>
      <c r="B25" s="78">
        <v>2.0</v>
      </c>
      <c r="C25" s="78" t="s">
        <v>1171</v>
      </c>
      <c r="D25" s="78" t="s">
        <v>1172</v>
      </c>
      <c r="E25" s="80">
        <v>0.00900462962962963</v>
      </c>
    </row>
    <row r="26">
      <c r="A26" s="78" t="s">
        <v>1168</v>
      </c>
      <c r="B26" s="78">
        <v>3.0</v>
      </c>
      <c r="C26" s="78" t="s">
        <v>1173</v>
      </c>
      <c r="D26" s="78" t="s">
        <v>1174</v>
      </c>
      <c r="E26" s="80">
        <v>0.006168981481481482</v>
      </c>
    </row>
    <row r="27">
      <c r="A27" s="78" t="s">
        <v>1168</v>
      </c>
      <c r="B27" s="78">
        <v>3.0</v>
      </c>
      <c r="C27" s="78" t="s">
        <v>1173</v>
      </c>
      <c r="D27" s="78" t="s">
        <v>1175</v>
      </c>
      <c r="E27" s="80">
        <v>0.006331018518518519</v>
      </c>
    </row>
    <row r="28">
      <c r="A28" s="78" t="s">
        <v>1168</v>
      </c>
      <c r="B28" s="78">
        <v>3.0</v>
      </c>
      <c r="C28" s="78" t="s">
        <v>1173</v>
      </c>
      <c r="D28" s="78" t="s">
        <v>1176</v>
      </c>
      <c r="E28" s="80">
        <v>0.006666666666666667</v>
      </c>
    </row>
    <row r="29">
      <c r="A29" s="78" t="s">
        <v>1168</v>
      </c>
      <c r="B29" s="78">
        <v>3.0</v>
      </c>
      <c r="C29" s="78" t="s">
        <v>1173</v>
      </c>
      <c r="D29" s="78" t="s">
        <v>1177</v>
      </c>
      <c r="E29" s="80">
        <v>0.006527777777777778</v>
      </c>
    </row>
    <row r="30">
      <c r="A30" s="78" t="s">
        <v>1168</v>
      </c>
      <c r="B30" s="78">
        <v>4.0</v>
      </c>
      <c r="C30" s="78" t="s">
        <v>1178</v>
      </c>
      <c r="D30" s="78" t="s">
        <v>1179</v>
      </c>
      <c r="E30" s="80">
        <v>0.0077083333333333335</v>
      </c>
    </row>
    <row r="31">
      <c r="A31" s="78" t="s">
        <v>1168</v>
      </c>
      <c r="B31" s="78">
        <v>4.0</v>
      </c>
      <c r="C31" s="78" t="s">
        <v>1178</v>
      </c>
      <c r="D31" s="78" t="s">
        <v>1180</v>
      </c>
      <c r="E31" s="80">
        <v>0.006284722222222222</v>
      </c>
    </row>
    <row r="32">
      <c r="A32" s="78" t="s">
        <v>1168</v>
      </c>
      <c r="B32" s="78">
        <v>4.0</v>
      </c>
      <c r="C32" s="78" t="s">
        <v>1178</v>
      </c>
      <c r="D32" s="78" t="s">
        <v>1181</v>
      </c>
      <c r="E32" s="80">
        <v>0.00537037037037037</v>
      </c>
    </row>
    <row r="33">
      <c r="A33" s="78" t="s">
        <v>1168</v>
      </c>
      <c r="B33" s="78">
        <v>4.0</v>
      </c>
      <c r="C33" s="78" t="s">
        <v>1178</v>
      </c>
      <c r="D33" s="78" t="s">
        <v>1182</v>
      </c>
      <c r="E33" s="80">
        <v>0.006574074074074074</v>
      </c>
    </row>
    <row r="34">
      <c r="A34" s="78" t="s">
        <v>1168</v>
      </c>
      <c r="B34" s="78">
        <v>4.0</v>
      </c>
      <c r="C34" s="78" t="s">
        <v>1178</v>
      </c>
      <c r="D34" s="78" t="s">
        <v>1183</v>
      </c>
      <c r="E34" s="80">
        <v>0.00712962962962963</v>
      </c>
    </row>
    <row r="35">
      <c r="A35" s="78" t="s">
        <v>1168</v>
      </c>
      <c r="B35" s="78">
        <v>5.0</v>
      </c>
      <c r="C35" s="78" t="s">
        <v>1184</v>
      </c>
      <c r="D35" s="78" t="s">
        <v>1185</v>
      </c>
      <c r="E35" s="80">
        <v>0.006215277777777778</v>
      </c>
    </row>
    <row r="36">
      <c r="A36" s="78" t="s">
        <v>1168</v>
      </c>
      <c r="B36" s="78">
        <v>6.0</v>
      </c>
      <c r="C36" s="78" t="s">
        <v>1186</v>
      </c>
      <c r="D36" s="78" t="s">
        <v>1187</v>
      </c>
      <c r="E36" s="80">
        <v>0.006215277777777778</v>
      </c>
    </row>
    <row r="37">
      <c r="A37" s="78" t="s">
        <v>1188</v>
      </c>
      <c r="B37" s="78">
        <v>1.0</v>
      </c>
      <c r="C37" s="78" t="s">
        <v>1188</v>
      </c>
      <c r="D37" s="78" t="s">
        <v>1189</v>
      </c>
      <c r="E37" s="80">
        <v>0.0060416666666666665</v>
      </c>
    </row>
    <row r="38">
      <c r="A38" s="78" t="s">
        <v>1188</v>
      </c>
      <c r="B38" s="78">
        <v>1.0</v>
      </c>
      <c r="C38" s="78" t="s">
        <v>1188</v>
      </c>
      <c r="D38" s="78" t="s">
        <v>1190</v>
      </c>
      <c r="E38" s="80">
        <v>0.006296296296296296</v>
      </c>
    </row>
    <row r="39">
      <c r="A39" s="78" t="s">
        <v>1188</v>
      </c>
      <c r="B39" s="78">
        <v>1.0</v>
      </c>
      <c r="C39" s="78" t="s">
        <v>1188</v>
      </c>
      <c r="D39" s="78" t="s">
        <v>1191</v>
      </c>
      <c r="E39" s="80">
        <v>0.006574074074074074</v>
      </c>
    </row>
    <row r="40">
      <c r="A40" s="78" t="s">
        <v>1188</v>
      </c>
      <c r="B40" s="78">
        <v>1.0</v>
      </c>
      <c r="C40" s="78" t="s">
        <v>1188</v>
      </c>
      <c r="D40" s="78" t="s">
        <v>1192</v>
      </c>
      <c r="E40" s="80">
        <v>0.006793981481481482</v>
      </c>
    </row>
    <row r="41">
      <c r="A41" s="78" t="s">
        <v>1188</v>
      </c>
      <c r="B41" s="78">
        <v>1.0</v>
      </c>
      <c r="C41" s="78" t="s">
        <v>1188</v>
      </c>
      <c r="D41" s="78" t="s">
        <v>1193</v>
      </c>
      <c r="E41" s="80">
        <v>0.006608796296296297</v>
      </c>
    </row>
    <row r="42">
      <c r="A42" s="78" t="s">
        <v>1188</v>
      </c>
      <c r="B42" s="78">
        <v>1.0</v>
      </c>
      <c r="C42" s="78" t="s">
        <v>1188</v>
      </c>
      <c r="D42" s="78" t="s">
        <v>1194</v>
      </c>
      <c r="E42" s="80">
        <v>0.007442129629629629</v>
      </c>
    </row>
    <row r="43">
      <c r="A43" s="78" t="s">
        <v>1195</v>
      </c>
      <c r="B43" s="78">
        <v>1.0</v>
      </c>
      <c r="C43" s="78" t="s">
        <v>1196</v>
      </c>
      <c r="D43" s="78" t="s">
        <v>1197</v>
      </c>
      <c r="E43" s="80">
        <v>0.0042592592592592595</v>
      </c>
    </row>
    <row r="44">
      <c r="A44" s="78" t="s">
        <v>1195</v>
      </c>
      <c r="B44" s="78">
        <v>1.0</v>
      </c>
      <c r="C44" s="78" t="s">
        <v>1196</v>
      </c>
      <c r="D44" s="78" t="s">
        <v>1198</v>
      </c>
      <c r="E44" s="80">
        <v>0.0059490740740740745</v>
      </c>
    </row>
    <row r="45">
      <c r="A45" s="78" t="s">
        <v>1195</v>
      </c>
      <c r="B45" s="78">
        <v>1.0</v>
      </c>
      <c r="C45" s="78" t="s">
        <v>1196</v>
      </c>
      <c r="D45" s="78" t="s">
        <v>1199</v>
      </c>
      <c r="E45" s="80">
        <v>0.011134259259259259</v>
      </c>
    </row>
    <row r="46">
      <c r="A46" s="78" t="s">
        <v>1195</v>
      </c>
      <c r="B46" s="78">
        <v>1.0</v>
      </c>
      <c r="C46" s="78" t="s">
        <v>1196</v>
      </c>
      <c r="D46" s="78" t="s">
        <v>1200</v>
      </c>
      <c r="E46" s="80">
        <v>0.011550925925925926</v>
      </c>
    </row>
  </sheetData>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78"/>
    <col customWidth="1" min="2" max="2" width="37.89"/>
    <col customWidth="1" min="3" max="3" width="63.11"/>
    <col customWidth="1" min="4" max="4" width="20.44"/>
    <col customWidth="1" min="8" max="8" width="274.67"/>
  </cols>
  <sheetData>
    <row r="1">
      <c r="A1" s="94" t="s">
        <v>1201</v>
      </c>
      <c r="B1" s="94" t="s">
        <v>1202</v>
      </c>
      <c r="C1" s="95" t="s">
        <v>1203</v>
      </c>
      <c r="D1" s="96" t="s">
        <v>1204</v>
      </c>
      <c r="E1" s="97" t="s">
        <v>1205</v>
      </c>
      <c r="F1" s="97" t="s">
        <v>1206</v>
      </c>
      <c r="G1" s="98"/>
      <c r="H1" s="97" t="s">
        <v>1207</v>
      </c>
    </row>
    <row r="2">
      <c r="A2" s="99" t="s">
        <v>1208</v>
      </c>
      <c r="B2" s="100"/>
      <c r="C2" s="100"/>
      <c r="D2" s="101"/>
      <c r="E2" s="100"/>
      <c r="F2" s="102">
        <f>SUM(F3+F6)</f>
        <v>0.6462962963</v>
      </c>
      <c r="G2" s="100"/>
      <c r="H2" s="100"/>
    </row>
    <row r="3">
      <c r="A3" s="103" t="s">
        <v>1209</v>
      </c>
      <c r="B3" s="104"/>
      <c r="C3" s="104"/>
      <c r="D3" s="105"/>
      <c r="E3" s="104"/>
      <c r="F3" s="106">
        <f>SUM(F4)</f>
        <v>0</v>
      </c>
      <c r="G3" s="104"/>
      <c r="H3" s="104"/>
    </row>
    <row r="4">
      <c r="A4" s="98"/>
      <c r="B4" s="98" t="s">
        <v>1210</v>
      </c>
      <c r="C4" s="98"/>
      <c r="D4" s="107"/>
      <c r="E4" s="98"/>
      <c r="F4" s="108">
        <f>SUM(D5)</f>
        <v>0</v>
      </c>
      <c r="G4" s="98"/>
      <c r="H4" s="98"/>
    </row>
    <row r="5">
      <c r="A5" s="98"/>
      <c r="B5" s="98"/>
      <c r="C5" s="109" t="s">
        <v>1211</v>
      </c>
      <c r="D5" s="107"/>
      <c r="E5" s="98"/>
      <c r="F5" s="107"/>
      <c r="G5" s="98"/>
      <c r="H5" s="98"/>
    </row>
    <row r="6">
      <c r="A6" s="103" t="s">
        <v>1201</v>
      </c>
      <c r="B6" s="104"/>
      <c r="C6" s="104"/>
      <c r="D6" s="105"/>
      <c r="E6" s="104"/>
      <c r="F6" s="106">
        <f>SUM(F7:F59)</f>
        <v>0.6462962963</v>
      </c>
      <c r="G6" s="104"/>
      <c r="H6" s="104"/>
    </row>
    <row r="7">
      <c r="A7" s="98"/>
      <c r="B7" s="109" t="s">
        <v>381</v>
      </c>
      <c r="C7" s="98"/>
      <c r="D7" s="107"/>
      <c r="E7" s="98"/>
      <c r="F7" s="108">
        <f>SUM(D8:D14)</f>
        <v>0.0559837963</v>
      </c>
      <c r="G7" s="98"/>
      <c r="H7" s="98"/>
    </row>
    <row r="8">
      <c r="A8" s="98"/>
      <c r="B8" s="98"/>
      <c r="C8" s="109" t="s">
        <v>382</v>
      </c>
      <c r="D8" s="110">
        <v>0.010844907407407407</v>
      </c>
      <c r="E8" s="98"/>
      <c r="F8" s="98"/>
      <c r="G8" s="98"/>
      <c r="H8" s="109" t="s">
        <v>1212</v>
      </c>
    </row>
    <row r="9">
      <c r="A9" s="98"/>
      <c r="B9" s="98"/>
      <c r="C9" s="109" t="s">
        <v>383</v>
      </c>
      <c r="D9" s="110">
        <v>0.014456018518518519</v>
      </c>
      <c r="E9" s="98"/>
      <c r="F9" s="98"/>
      <c r="G9" s="98"/>
      <c r="H9" s="109" t="s">
        <v>1213</v>
      </c>
    </row>
    <row r="10">
      <c r="A10" s="98"/>
      <c r="B10" s="98"/>
      <c r="C10" s="109" t="s">
        <v>384</v>
      </c>
      <c r="D10" s="110">
        <v>0.007337962962962963</v>
      </c>
      <c r="E10" s="98"/>
      <c r="F10" s="98"/>
      <c r="G10" s="98"/>
      <c r="H10" s="109" t="s">
        <v>1214</v>
      </c>
    </row>
    <row r="11">
      <c r="A11" s="98"/>
      <c r="B11" s="98"/>
      <c r="C11" s="109" t="s">
        <v>385</v>
      </c>
      <c r="D11" s="110">
        <v>0.005104166666666667</v>
      </c>
      <c r="E11" s="98"/>
      <c r="F11" s="98"/>
      <c r="G11" s="98"/>
      <c r="H11" s="109" t="s">
        <v>1215</v>
      </c>
    </row>
    <row r="12">
      <c r="A12" s="98"/>
      <c r="B12" s="98"/>
      <c r="C12" s="109" t="s">
        <v>386</v>
      </c>
      <c r="D12" s="110">
        <v>0.011458333333333333</v>
      </c>
      <c r="E12" s="98"/>
      <c r="F12" s="98"/>
      <c r="G12" s="98"/>
      <c r="H12" s="109" t="s">
        <v>1216</v>
      </c>
    </row>
    <row r="13">
      <c r="A13" s="98"/>
      <c r="B13" s="98"/>
      <c r="C13" s="109" t="s">
        <v>387</v>
      </c>
      <c r="D13" s="110">
        <v>0.0038773148148148148</v>
      </c>
      <c r="E13" s="98"/>
      <c r="F13" s="107"/>
      <c r="G13" s="98"/>
      <c r="H13" s="109" t="s">
        <v>1217</v>
      </c>
    </row>
    <row r="14">
      <c r="A14" s="98"/>
      <c r="B14" s="98"/>
      <c r="C14" s="109" t="s">
        <v>389</v>
      </c>
      <c r="D14" s="110">
        <v>0.002905092592592593</v>
      </c>
      <c r="E14" s="98"/>
      <c r="F14" s="98"/>
      <c r="G14" s="98"/>
      <c r="H14" s="109" t="s">
        <v>1218</v>
      </c>
    </row>
    <row r="15">
      <c r="A15" s="98"/>
      <c r="B15" s="109" t="s">
        <v>418</v>
      </c>
      <c r="C15" s="98"/>
      <c r="D15" s="107"/>
      <c r="E15" s="98"/>
      <c r="F15" s="108">
        <f>SUM(D16:D29)</f>
        <v>0.1836921296</v>
      </c>
      <c r="G15" s="98"/>
      <c r="H15" s="98"/>
    </row>
    <row r="16">
      <c r="A16" s="98"/>
      <c r="B16" s="98"/>
      <c r="C16" s="109" t="s">
        <v>419</v>
      </c>
      <c r="D16" s="110">
        <v>0.011550925925925926</v>
      </c>
      <c r="E16" s="98"/>
      <c r="F16" s="107"/>
      <c r="G16" s="98"/>
      <c r="H16" s="109" t="s">
        <v>1219</v>
      </c>
    </row>
    <row r="17">
      <c r="A17" s="98"/>
      <c r="B17" s="98"/>
      <c r="C17" s="109" t="s">
        <v>420</v>
      </c>
      <c r="D17" s="110">
        <v>0.015613425925925926</v>
      </c>
      <c r="E17" s="98"/>
      <c r="F17" s="107"/>
      <c r="G17" s="98"/>
      <c r="H17" s="109" t="s">
        <v>1220</v>
      </c>
    </row>
    <row r="18">
      <c r="A18" s="98"/>
      <c r="B18" s="98"/>
      <c r="C18" s="109" t="s">
        <v>421</v>
      </c>
      <c r="D18" s="110">
        <v>0.007638888888888889</v>
      </c>
      <c r="E18" s="98"/>
      <c r="F18" s="107"/>
      <c r="G18" s="98"/>
      <c r="H18" s="109" t="s">
        <v>1221</v>
      </c>
    </row>
    <row r="19">
      <c r="A19" s="98"/>
      <c r="B19" s="98"/>
      <c r="C19" s="109" t="s">
        <v>1005</v>
      </c>
      <c r="D19" s="110">
        <v>0.01207175925925926</v>
      </c>
      <c r="E19" s="98"/>
      <c r="F19" s="107"/>
      <c r="G19" s="98"/>
      <c r="H19" s="109" t="s">
        <v>1222</v>
      </c>
    </row>
    <row r="20">
      <c r="A20" s="98"/>
      <c r="B20" s="98"/>
      <c r="C20" s="109" t="s">
        <v>1006</v>
      </c>
      <c r="D20" s="110">
        <v>0.009837962962962963</v>
      </c>
      <c r="E20" s="98"/>
      <c r="F20" s="107"/>
      <c r="G20" s="98"/>
      <c r="H20" s="109" t="s">
        <v>1223</v>
      </c>
    </row>
    <row r="21">
      <c r="A21" s="98"/>
      <c r="B21" s="98"/>
      <c r="C21" s="109" t="s">
        <v>422</v>
      </c>
      <c r="D21" s="110">
        <v>0.014976851851851852</v>
      </c>
      <c r="E21" s="98"/>
      <c r="F21" s="107"/>
      <c r="G21" s="98"/>
      <c r="H21" s="109" t="s">
        <v>1224</v>
      </c>
    </row>
    <row r="22">
      <c r="A22" s="98"/>
      <c r="B22" s="98"/>
      <c r="C22" s="109" t="s">
        <v>423</v>
      </c>
      <c r="D22" s="110">
        <v>0.018483796296296297</v>
      </c>
      <c r="E22" s="98"/>
      <c r="F22" s="98"/>
      <c r="G22" s="98"/>
      <c r="H22" s="109" t="s">
        <v>1225</v>
      </c>
    </row>
    <row r="23">
      <c r="A23" s="98"/>
      <c r="B23" s="98"/>
      <c r="C23" s="109" t="s">
        <v>424</v>
      </c>
      <c r="D23" s="110">
        <v>0.019837962962962963</v>
      </c>
      <c r="E23" s="98"/>
      <c r="F23" s="98"/>
      <c r="G23" s="98"/>
      <c r="H23" s="109" t="s">
        <v>1226</v>
      </c>
    </row>
    <row r="24">
      <c r="A24" s="98"/>
      <c r="B24" s="98"/>
      <c r="C24" s="109" t="s">
        <v>425</v>
      </c>
      <c r="D24" s="110">
        <v>0.016203703703703703</v>
      </c>
      <c r="E24" s="98"/>
      <c r="F24" s="107"/>
      <c r="G24" s="98"/>
      <c r="H24" s="109" t="s">
        <v>1227</v>
      </c>
    </row>
    <row r="25">
      <c r="A25" s="98"/>
      <c r="B25" s="98"/>
      <c r="C25" s="109" t="s">
        <v>427</v>
      </c>
      <c r="D25" s="110">
        <v>0.01810185185185185</v>
      </c>
      <c r="E25" s="98"/>
      <c r="F25" s="107"/>
      <c r="G25" s="98"/>
      <c r="H25" s="109" t="s">
        <v>1228</v>
      </c>
    </row>
    <row r="26">
      <c r="A26" s="98"/>
      <c r="B26" s="98"/>
      <c r="C26" s="109" t="s">
        <v>1007</v>
      </c>
      <c r="D26" s="110">
        <v>0.0042361111111111115</v>
      </c>
      <c r="E26" s="98"/>
      <c r="F26" s="107"/>
      <c r="G26" s="98"/>
      <c r="H26" s="109" t="s">
        <v>1229</v>
      </c>
    </row>
    <row r="27">
      <c r="A27" s="98"/>
      <c r="B27" s="98"/>
      <c r="C27" s="109" t="s">
        <v>428</v>
      </c>
      <c r="D27" s="110">
        <v>0.01136574074074074</v>
      </c>
      <c r="E27" s="98"/>
      <c r="F27" s="107"/>
      <c r="G27" s="98"/>
      <c r="H27" s="109" t="s">
        <v>1230</v>
      </c>
    </row>
    <row r="28">
      <c r="A28" s="98"/>
      <c r="B28" s="98"/>
      <c r="C28" s="109" t="s">
        <v>429</v>
      </c>
      <c r="D28" s="110">
        <v>0.01511574074074074</v>
      </c>
      <c r="E28" s="98"/>
      <c r="F28" s="98"/>
      <c r="G28" s="98"/>
      <c r="H28" s="109" t="s">
        <v>1231</v>
      </c>
    </row>
    <row r="29">
      <c r="A29" s="98"/>
      <c r="B29" s="98"/>
      <c r="C29" s="109" t="s">
        <v>1232</v>
      </c>
      <c r="D29" s="110">
        <v>0.008657407407407407</v>
      </c>
      <c r="E29" s="98"/>
      <c r="F29" s="98"/>
      <c r="G29" s="98"/>
      <c r="H29" s="109" t="s">
        <v>1233</v>
      </c>
    </row>
    <row r="30">
      <c r="A30" s="98"/>
      <c r="B30" s="109" t="s">
        <v>1234</v>
      </c>
      <c r="C30" s="98"/>
      <c r="D30" s="107"/>
      <c r="E30" s="98"/>
      <c r="F30" s="108">
        <f>SUM(D31:D35)</f>
        <v>0.08427083333</v>
      </c>
      <c r="G30" s="98"/>
      <c r="H30" s="98"/>
    </row>
    <row r="31">
      <c r="A31" s="98"/>
      <c r="B31" s="98"/>
      <c r="C31" s="109" t="s">
        <v>1235</v>
      </c>
      <c r="D31" s="110">
        <v>0.023310185185185184</v>
      </c>
      <c r="E31" s="98"/>
      <c r="F31" s="107"/>
      <c r="G31" s="98"/>
      <c r="H31" s="109" t="s">
        <v>1236</v>
      </c>
    </row>
    <row r="32">
      <c r="A32" s="98"/>
      <c r="B32" s="98"/>
      <c r="C32" s="109" t="s">
        <v>1237</v>
      </c>
      <c r="D32" s="110">
        <v>0.02861111111111111</v>
      </c>
      <c r="E32" s="98"/>
      <c r="F32" s="107"/>
      <c r="G32" s="98"/>
      <c r="H32" s="109" t="s">
        <v>1238</v>
      </c>
    </row>
    <row r="33">
      <c r="A33" s="98"/>
      <c r="B33" s="98"/>
      <c r="C33" s="109" t="s">
        <v>366</v>
      </c>
      <c r="D33" s="110">
        <v>0.010092592592592592</v>
      </c>
      <c r="E33" s="98"/>
      <c r="F33" s="107"/>
      <c r="G33" s="98"/>
      <c r="H33" s="109" t="s">
        <v>1239</v>
      </c>
    </row>
    <row r="34">
      <c r="A34" s="98"/>
      <c r="B34" s="98"/>
      <c r="C34" s="109" t="s">
        <v>367</v>
      </c>
      <c r="D34" s="110">
        <v>0.013564814814814814</v>
      </c>
      <c r="E34" s="98"/>
      <c r="F34" s="107"/>
      <c r="G34" s="98"/>
      <c r="H34" s="109" t="s">
        <v>1240</v>
      </c>
    </row>
    <row r="35">
      <c r="A35" s="98"/>
      <c r="B35" s="98"/>
      <c r="C35" s="109" t="s">
        <v>542</v>
      </c>
      <c r="D35" s="110">
        <v>0.00869212962962963</v>
      </c>
      <c r="E35" s="98"/>
      <c r="F35" s="107"/>
      <c r="G35" s="98"/>
      <c r="H35" s="109" t="s">
        <v>1241</v>
      </c>
    </row>
    <row r="36">
      <c r="A36" s="98"/>
      <c r="B36" s="109" t="s">
        <v>392</v>
      </c>
      <c r="C36" s="98"/>
      <c r="D36" s="107"/>
      <c r="E36" s="98"/>
      <c r="F36" s="108">
        <f>SUM(D37:D38)</f>
        <v>0.03841435185</v>
      </c>
      <c r="G36" s="98"/>
      <c r="H36" s="98"/>
    </row>
    <row r="37">
      <c r="A37" s="98"/>
      <c r="B37" s="98"/>
      <c r="C37" s="109" t="s">
        <v>394</v>
      </c>
      <c r="D37" s="110">
        <v>0.025347222222222222</v>
      </c>
      <c r="E37" s="98"/>
      <c r="F37" s="98"/>
      <c r="G37" s="98"/>
      <c r="H37" s="109" t="s">
        <v>1242</v>
      </c>
    </row>
    <row r="38">
      <c r="A38" s="98"/>
      <c r="B38" s="98"/>
      <c r="C38" s="109" t="s">
        <v>396</v>
      </c>
      <c r="D38" s="110">
        <v>0.01306712962962963</v>
      </c>
      <c r="E38" s="98"/>
      <c r="F38" s="107"/>
      <c r="G38" s="98"/>
      <c r="H38" s="109" t="s">
        <v>1243</v>
      </c>
    </row>
    <row r="39">
      <c r="A39" s="98"/>
      <c r="B39" s="109" t="s">
        <v>397</v>
      </c>
      <c r="C39" s="98"/>
      <c r="D39" s="107"/>
      <c r="E39" s="98"/>
      <c r="F39" s="108">
        <f>SUM(D40:D41)</f>
        <v>0.03563657407</v>
      </c>
      <c r="G39" s="98"/>
      <c r="H39" s="98"/>
    </row>
    <row r="40">
      <c r="A40" s="98"/>
      <c r="B40" s="98"/>
      <c r="C40" s="109" t="s">
        <v>1001</v>
      </c>
      <c r="D40" s="110">
        <v>0.022164351851851852</v>
      </c>
      <c r="E40" s="98"/>
      <c r="F40" s="107"/>
      <c r="G40" s="98"/>
      <c r="H40" s="109" t="s">
        <v>1244</v>
      </c>
    </row>
    <row r="41">
      <c r="A41" s="98"/>
      <c r="B41" s="98"/>
      <c r="C41" s="109" t="s">
        <v>398</v>
      </c>
      <c r="D41" s="110">
        <v>0.013472222222222222</v>
      </c>
      <c r="E41" s="98"/>
      <c r="F41" s="98"/>
      <c r="G41" s="98"/>
      <c r="H41" s="111" t="s">
        <v>1245</v>
      </c>
    </row>
    <row r="42">
      <c r="A42" s="98"/>
      <c r="B42" s="109" t="s">
        <v>400</v>
      </c>
      <c r="C42" s="98"/>
      <c r="D42" s="107"/>
      <c r="E42" s="98"/>
      <c r="F42" s="108">
        <f>SUM(D43:D51)</f>
        <v>0.1562152778</v>
      </c>
      <c r="G42" s="98"/>
      <c r="H42" s="98"/>
    </row>
    <row r="43">
      <c r="A43" s="98"/>
      <c r="B43" s="98"/>
      <c r="C43" s="109" t="s">
        <v>1246</v>
      </c>
      <c r="D43" s="110">
        <v>0.021458333333333333</v>
      </c>
      <c r="E43" s="98"/>
      <c r="F43" s="98"/>
      <c r="G43" s="98"/>
      <c r="H43" s="111" t="s">
        <v>1247</v>
      </c>
    </row>
    <row r="44">
      <c r="A44" s="98"/>
      <c r="B44" s="98"/>
      <c r="C44" s="109" t="s">
        <v>1248</v>
      </c>
      <c r="D44" s="110">
        <v>0.013981481481481482</v>
      </c>
      <c r="E44" s="98"/>
      <c r="F44" s="98"/>
      <c r="G44" s="98"/>
      <c r="H44" s="111" t="s">
        <v>1249</v>
      </c>
    </row>
    <row r="45">
      <c r="A45" s="98"/>
      <c r="B45" s="98"/>
      <c r="C45" s="109" t="s">
        <v>1250</v>
      </c>
      <c r="D45" s="110">
        <v>0.018194444444444444</v>
      </c>
      <c r="E45" s="98"/>
      <c r="F45" s="98"/>
      <c r="G45" s="98"/>
      <c r="H45" s="111" t="s">
        <v>1251</v>
      </c>
    </row>
    <row r="46">
      <c r="A46" s="98"/>
      <c r="B46" s="98"/>
      <c r="C46" s="109" t="s">
        <v>403</v>
      </c>
      <c r="D46" s="110">
        <v>0.026643518518518518</v>
      </c>
      <c r="E46" s="98"/>
      <c r="F46" s="98"/>
      <c r="G46" s="98"/>
      <c r="H46" s="111" t="s">
        <v>1252</v>
      </c>
    </row>
    <row r="47">
      <c r="A47" s="98"/>
      <c r="B47" s="98"/>
      <c r="C47" s="109" t="s">
        <v>404</v>
      </c>
      <c r="D47" s="110">
        <v>0.010034722222222223</v>
      </c>
      <c r="E47" s="98"/>
      <c r="F47" s="107"/>
      <c r="G47" s="98"/>
      <c r="H47" s="111" t="s">
        <v>1253</v>
      </c>
    </row>
    <row r="48">
      <c r="A48" s="98"/>
      <c r="B48" s="98"/>
      <c r="C48" s="109" t="s">
        <v>1003</v>
      </c>
      <c r="D48" s="110">
        <v>0.013171296296296296</v>
      </c>
      <c r="E48" s="98"/>
      <c r="F48" s="98"/>
      <c r="G48" s="98"/>
      <c r="H48" s="111" t="s">
        <v>1254</v>
      </c>
    </row>
    <row r="49">
      <c r="A49" s="98"/>
      <c r="B49" s="98"/>
      <c r="C49" s="109" t="s">
        <v>406</v>
      </c>
      <c r="D49" s="110">
        <v>0.0175</v>
      </c>
      <c r="E49" s="98"/>
      <c r="F49" s="98"/>
      <c r="G49" s="98"/>
      <c r="H49" s="111" t="s">
        <v>1255</v>
      </c>
    </row>
    <row r="50">
      <c r="A50" s="98"/>
      <c r="B50" s="98"/>
      <c r="C50" s="109" t="s">
        <v>407</v>
      </c>
      <c r="D50" s="110">
        <v>0.016793981481481483</v>
      </c>
      <c r="E50" s="98"/>
      <c r="F50" s="107"/>
      <c r="G50" s="98"/>
      <c r="H50" s="111" t="s">
        <v>1256</v>
      </c>
    </row>
    <row r="51">
      <c r="A51" s="98"/>
      <c r="B51" s="98"/>
      <c r="C51" s="109" t="s">
        <v>408</v>
      </c>
      <c r="D51" s="110">
        <v>0.0184375</v>
      </c>
      <c r="E51" s="98"/>
      <c r="F51" s="107"/>
      <c r="G51" s="98"/>
      <c r="H51" s="111" t="s">
        <v>1257</v>
      </c>
    </row>
    <row r="52">
      <c r="A52" s="98"/>
      <c r="B52" s="109" t="s">
        <v>409</v>
      </c>
      <c r="C52" s="98"/>
      <c r="D52" s="107"/>
      <c r="E52" s="98"/>
      <c r="F52" s="108">
        <f>SUM(D53:D59)</f>
        <v>0.09208333333</v>
      </c>
      <c r="G52" s="98"/>
      <c r="H52" s="98"/>
    </row>
    <row r="53">
      <c r="A53" s="98"/>
      <c r="B53" s="98"/>
      <c r="C53" s="98" t="s">
        <v>410</v>
      </c>
      <c r="D53" s="110">
        <v>0.013518518518518518</v>
      </c>
      <c r="E53" s="98"/>
      <c r="F53" s="98"/>
      <c r="G53" s="98"/>
      <c r="H53" s="109" t="s">
        <v>1258</v>
      </c>
    </row>
    <row r="54">
      <c r="A54" s="98"/>
      <c r="B54" s="98"/>
      <c r="C54" s="98" t="s">
        <v>411</v>
      </c>
      <c r="D54" s="110">
        <v>0.00988425925925926</v>
      </c>
      <c r="E54" s="98"/>
      <c r="F54" s="98"/>
      <c r="G54" s="98"/>
      <c r="H54" s="109" t="s">
        <v>1259</v>
      </c>
    </row>
    <row r="55">
      <c r="A55" s="98"/>
      <c r="B55" s="98"/>
      <c r="C55" s="109" t="s">
        <v>412</v>
      </c>
      <c r="D55" s="110">
        <v>0.007268518518518519</v>
      </c>
      <c r="E55" s="98"/>
      <c r="F55" s="98"/>
      <c r="G55" s="98"/>
      <c r="H55" s="109" t="s">
        <v>1260</v>
      </c>
    </row>
    <row r="56">
      <c r="A56" s="98"/>
      <c r="B56" s="98"/>
      <c r="C56" s="109" t="s">
        <v>414</v>
      </c>
      <c r="D56" s="110">
        <v>0.025138888888888888</v>
      </c>
      <c r="E56" s="98"/>
      <c r="F56" s="98"/>
      <c r="G56" s="98"/>
      <c r="H56" s="109" t="s">
        <v>1261</v>
      </c>
    </row>
    <row r="57">
      <c r="A57" s="98"/>
      <c r="B57" s="98"/>
      <c r="C57" s="109" t="s">
        <v>415</v>
      </c>
      <c r="D57" s="110">
        <v>0.015543981481481482</v>
      </c>
      <c r="E57" s="98"/>
      <c r="F57" s="98"/>
      <c r="G57" s="98"/>
      <c r="H57" s="109" t="s">
        <v>1262</v>
      </c>
    </row>
    <row r="58">
      <c r="A58" s="98"/>
      <c r="B58" s="98"/>
      <c r="C58" s="109" t="s">
        <v>1263</v>
      </c>
      <c r="D58" s="110">
        <v>0.01355324074074074</v>
      </c>
      <c r="E58" s="98"/>
      <c r="F58" s="107"/>
      <c r="G58" s="98"/>
      <c r="H58" s="98" t="s">
        <v>1264</v>
      </c>
    </row>
    <row r="59">
      <c r="A59" s="98"/>
      <c r="B59" s="98"/>
      <c r="C59" s="109" t="s">
        <v>416</v>
      </c>
      <c r="D59" s="110">
        <v>0.007175925925925926</v>
      </c>
      <c r="E59" s="98"/>
      <c r="F59" s="107"/>
      <c r="G59" s="98"/>
      <c r="H59" s="98" t="s">
        <v>1265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67"/>
    <col customWidth="1" min="2" max="2" width="38.22"/>
    <col customWidth="1" min="3" max="3" width="30.11"/>
    <col customWidth="1" min="4" max="4" width="18.33"/>
    <col customWidth="1" min="8" max="8" width="160.11"/>
    <col customWidth="1" min="9" max="9" width="21.22"/>
  </cols>
  <sheetData>
    <row r="1">
      <c r="A1" s="94" t="s">
        <v>1266</v>
      </c>
      <c r="B1" s="94" t="s">
        <v>1202</v>
      </c>
      <c r="C1" s="95" t="s">
        <v>1203</v>
      </c>
      <c r="D1" s="96" t="s">
        <v>1204</v>
      </c>
      <c r="E1" s="97" t="s">
        <v>1205</v>
      </c>
      <c r="F1" s="97" t="s">
        <v>1206</v>
      </c>
      <c r="G1" s="98"/>
      <c r="H1" s="97" t="s">
        <v>1207</v>
      </c>
      <c r="I1" s="97" t="s">
        <v>1267</v>
      </c>
    </row>
    <row r="2">
      <c r="A2" s="99" t="s">
        <v>1208</v>
      </c>
      <c r="B2" s="100"/>
      <c r="C2" s="100"/>
      <c r="D2" s="101"/>
      <c r="E2" s="100"/>
      <c r="F2" s="102">
        <f>SUM(F3+F6)</f>
        <v>0.03694444444</v>
      </c>
      <c r="G2" s="100"/>
      <c r="H2" s="100"/>
      <c r="I2" s="100"/>
    </row>
    <row r="3">
      <c r="A3" s="103" t="s">
        <v>1209</v>
      </c>
      <c r="B3" s="104"/>
      <c r="C3" s="104"/>
      <c r="D3" s="105"/>
      <c r="E3" s="104"/>
      <c r="F3" s="106">
        <f>SUM(F4)</f>
        <v>0</v>
      </c>
      <c r="G3" s="104"/>
      <c r="H3" s="104"/>
      <c r="I3" s="104"/>
    </row>
    <row r="4">
      <c r="A4" s="98"/>
      <c r="B4" s="98" t="s">
        <v>1210</v>
      </c>
      <c r="C4" s="98"/>
      <c r="D4" s="107"/>
      <c r="E4" s="98"/>
      <c r="F4" s="108">
        <f>SUM(D5)</f>
        <v>0</v>
      </c>
      <c r="G4" s="98"/>
      <c r="H4" s="98"/>
      <c r="I4" s="98"/>
    </row>
    <row r="5">
      <c r="A5" s="98"/>
      <c r="B5" s="98"/>
      <c r="C5" s="109" t="s">
        <v>1211</v>
      </c>
      <c r="D5" s="107"/>
      <c r="E5" s="98"/>
      <c r="F5" s="107"/>
      <c r="G5" s="98"/>
      <c r="H5" s="98"/>
      <c r="I5" s="98"/>
    </row>
    <row r="6">
      <c r="A6" s="103"/>
      <c r="B6" s="104"/>
      <c r="C6" s="104"/>
      <c r="D6" s="105"/>
      <c r="E6" s="104"/>
      <c r="F6" s="106">
        <f>SUM(F7:F10)</f>
        <v>0.03694444444</v>
      </c>
      <c r="G6" s="104"/>
      <c r="H6" s="104"/>
      <c r="I6" s="112" t="s">
        <v>1268</v>
      </c>
    </row>
    <row r="7">
      <c r="A7" s="98"/>
      <c r="B7" s="109" t="s">
        <v>381</v>
      </c>
      <c r="C7" s="98"/>
      <c r="D7" s="107"/>
      <c r="E7" s="98"/>
      <c r="F7" s="108">
        <f>SUM(D8:D10)</f>
        <v>0.03694444444</v>
      </c>
      <c r="G7" s="98"/>
      <c r="H7" s="98"/>
      <c r="I7" s="98"/>
    </row>
    <row r="8">
      <c r="A8" s="98"/>
      <c r="B8" s="98"/>
      <c r="C8" s="109" t="s">
        <v>1269</v>
      </c>
      <c r="D8" s="110">
        <v>0.01074074074074074</v>
      </c>
      <c r="E8" s="98"/>
      <c r="F8" s="98"/>
      <c r="G8" s="98"/>
      <c r="H8" s="109" t="s">
        <v>1270</v>
      </c>
      <c r="I8" s="98"/>
    </row>
    <row r="9">
      <c r="A9" s="98"/>
      <c r="B9" s="98"/>
      <c r="C9" s="109" t="s">
        <v>1271</v>
      </c>
      <c r="D9" s="110">
        <v>0.017106481481481483</v>
      </c>
      <c r="E9" s="98"/>
      <c r="F9" s="98"/>
      <c r="G9" s="98"/>
      <c r="H9" s="109" t="s">
        <v>1272</v>
      </c>
      <c r="I9" s="98"/>
    </row>
    <row r="10">
      <c r="A10" s="98"/>
      <c r="B10" s="98"/>
      <c r="C10" s="109" t="s">
        <v>1273</v>
      </c>
      <c r="D10" s="110">
        <v>0.009097222222222222</v>
      </c>
      <c r="E10" s="98"/>
      <c r="F10" s="98"/>
      <c r="G10" s="98"/>
      <c r="H10" s="109" t="s">
        <v>1274</v>
      </c>
      <c r="I10" s="9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56"/>
    <col customWidth="1" min="2" max="2" width="17.44"/>
    <col customWidth="1" min="3" max="3" width="58.0"/>
    <col customWidth="1" min="4" max="4" width="19.0"/>
    <col customWidth="1" min="8" max="8" width="216.78"/>
    <col customWidth="1" min="9" max="9" width="30.78"/>
  </cols>
  <sheetData>
    <row r="1">
      <c r="A1" s="94" t="s">
        <v>1275</v>
      </c>
      <c r="B1" s="94" t="s">
        <v>1202</v>
      </c>
      <c r="C1" s="95" t="s">
        <v>1203</v>
      </c>
      <c r="D1" s="96" t="s">
        <v>1204</v>
      </c>
      <c r="E1" s="97" t="s">
        <v>1205</v>
      </c>
      <c r="F1" s="97" t="s">
        <v>1206</v>
      </c>
      <c r="G1" s="98"/>
      <c r="H1" s="97" t="s">
        <v>1207</v>
      </c>
      <c r="I1" s="97" t="s">
        <v>1267</v>
      </c>
      <c r="J1" s="98"/>
      <c r="K1" s="98"/>
      <c r="L1" s="98"/>
      <c r="M1" s="98"/>
      <c r="N1" s="98"/>
    </row>
    <row r="2">
      <c r="A2" s="99" t="s">
        <v>1208</v>
      </c>
      <c r="B2" s="100"/>
      <c r="C2" s="100"/>
      <c r="D2" s="101"/>
      <c r="E2" s="100"/>
      <c r="F2" s="102">
        <f>SUM(F3+F6)</f>
        <v>0.05702546296</v>
      </c>
      <c r="G2" s="100"/>
      <c r="H2" s="100"/>
      <c r="I2" s="100"/>
      <c r="J2" s="100"/>
      <c r="K2" s="100"/>
      <c r="L2" s="100"/>
      <c r="M2" s="100"/>
      <c r="N2" s="100"/>
    </row>
    <row r="3">
      <c r="A3" s="103" t="s">
        <v>1209</v>
      </c>
      <c r="B3" s="104"/>
      <c r="C3" s="104"/>
      <c r="D3" s="105"/>
      <c r="E3" s="104"/>
      <c r="F3" s="106">
        <f>SUM(F4)</f>
        <v>0</v>
      </c>
      <c r="G3" s="104"/>
      <c r="H3" s="104"/>
      <c r="I3" s="104"/>
      <c r="J3" s="104"/>
      <c r="K3" s="104"/>
      <c r="L3" s="104"/>
      <c r="M3" s="104"/>
      <c r="N3" s="104"/>
    </row>
    <row r="4">
      <c r="A4" s="98"/>
      <c r="B4" s="98" t="s">
        <v>1210</v>
      </c>
      <c r="C4" s="98"/>
      <c r="D4" s="107"/>
      <c r="E4" s="98"/>
      <c r="F4" s="108">
        <f>SUM(D5)</f>
        <v>0</v>
      </c>
      <c r="G4" s="98"/>
      <c r="H4" s="98"/>
      <c r="I4" s="98"/>
      <c r="J4" s="98"/>
      <c r="K4" s="98"/>
      <c r="L4" s="98"/>
      <c r="M4" s="98"/>
      <c r="N4" s="98"/>
    </row>
    <row r="5">
      <c r="A5" s="98"/>
      <c r="B5" s="98"/>
      <c r="C5" s="109" t="s">
        <v>1211</v>
      </c>
      <c r="D5" s="107"/>
      <c r="E5" s="98"/>
      <c r="F5" s="107"/>
      <c r="G5" s="98"/>
      <c r="H5" s="98"/>
      <c r="I5" s="98"/>
      <c r="J5" s="98"/>
      <c r="K5" s="98"/>
      <c r="L5" s="98"/>
      <c r="M5" s="98"/>
      <c r="N5" s="98"/>
    </row>
    <row r="6">
      <c r="A6" s="103"/>
      <c r="B6" s="104"/>
      <c r="C6" s="104"/>
      <c r="D6" s="105"/>
      <c r="E6" s="104"/>
      <c r="F6" s="106">
        <f>SUM(F7:F11)</f>
        <v>0.05702546296</v>
      </c>
      <c r="G6" s="104"/>
      <c r="H6" s="104"/>
      <c r="I6" s="104"/>
      <c r="J6" s="104"/>
      <c r="K6" s="104"/>
      <c r="L6" s="104"/>
      <c r="M6" s="104"/>
      <c r="N6" s="104"/>
    </row>
    <row r="7">
      <c r="A7" s="98"/>
      <c r="B7" s="109" t="s">
        <v>1276</v>
      </c>
      <c r="C7" s="98"/>
      <c r="D7" s="107"/>
      <c r="E7" s="98"/>
      <c r="F7" s="108">
        <f>SUM(D8:D11)</f>
        <v>0.05702546296</v>
      </c>
      <c r="G7" s="98"/>
      <c r="H7" s="98"/>
      <c r="I7" s="98"/>
      <c r="J7" s="98"/>
      <c r="K7" s="98"/>
      <c r="L7" s="98"/>
      <c r="M7" s="98"/>
      <c r="N7" s="98"/>
    </row>
    <row r="8">
      <c r="A8" s="98"/>
      <c r="B8" s="98"/>
      <c r="C8" s="109" t="s">
        <v>1277</v>
      </c>
      <c r="D8" s="110">
        <v>0.01699074074074074</v>
      </c>
      <c r="E8" s="98"/>
      <c r="F8" s="98"/>
      <c r="G8" s="98"/>
      <c r="H8" s="109" t="s">
        <v>1278</v>
      </c>
      <c r="I8" s="98"/>
      <c r="J8" s="98"/>
      <c r="K8" s="98"/>
      <c r="L8" s="98"/>
      <c r="M8" s="98"/>
      <c r="N8" s="98"/>
    </row>
    <row r="9">
      <c r="A9" s="98"/>
      <c r="B9" s="98"/>
      <c r="C9" s="109" t="s">
        <v>1279</v>
      </c>
      <c r="D9" s="110">
        <v>0.011331018518518518</v>
      </c>
      <c r="E9" s="98"/>
      <c r="F9" s="98"/>
      <c r="G9" s="98"/>
      <c r="H9" s="109" t="s">
        <v>1280</v>
      </c>
      <c r="I9" s="98"/>
      <c r="J9" s="98"/>
      <c r="K9" s="98"/>
      <c r="L9" s="98"/>
      <c r="M9" s="98"/>
      <c r="N9" s="98"/>
    </row>
    <row r="10">
      <c r="A10" s="98"/>
      <c r="B10" s="98"/>
      <c r="C10" s="109" t="s">
        <v>1281</v>
      </c>
      <c r="D10" s="110">
        <v>0.011018518518518518</v>
      </c>
      <c r="E10" s="98"/>
      <c r="F10" s="98"/>
      <c r="G10" s="98"/>
      <c r="H10" s="109" t="s">
        <v>1282</v>
      </c>
      <c r="I10" s="98"/>
      <c r="J10" s="98"/>
      <c r="K10" s="98"/>
      <c r="L10" s="98"/>
      <c r="M10" s="98"/>
      <c r="N10" s="98"/>
    </row>
    <row r="11">
      <c r="A11" s="98"/>
      <c r="B11" s="98"/>
      <c r="C11" s="109" t="s">
        <v>1283</v>
      </c>
      <c r="D11" s="110">
        <v>0.017685185185185186</v>
      </c>
      <c r="E11" s="98"/>
      <c r="F11" s="98"/>
      <c r="G11" s="98"/>
      <c r="H11" s="109" t="s">
        <v>1284</v>
      </c>
      <c r="I11" s="98"/>
      <c r="J11" s="98"/>
      <c r="K11" s="98"/>
      <c r="L11" s="98"/>
      <c r="M11" s="98"/>
      <c r="N11" s="9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9.22"/>
    <col customWidth="1" min="2" max="2" width="36.22"/>
    <col customWidth="1" min="3" max="3" width="41.89"/>
    <col customWidth="1" min="4" max="4" width="17.11"/>
    <col customWidth="1" min="7" max="7" width="33.56"/>
    <col customWidth="1" min="8" max="8" width="50.89"/>
    <col customWidth="1" min="9" max="9" width="40.22"/>
  </cols>
  <sheetData>
    <row r="1">
      <c r="A1" s="94" t="s">
        <v>1285</v>
      </c>
      <c r="B1" s="98"/>
      <c r="C1" s="95" t="s">
        <v>1203</v>
      </c>
      <c r="D1" s="96" t="s">
        <v>1204</v>
      </c>
      <c r="E1" s="97" t="s">
        <v>1205</v>
      </c>
      <c r="F1" s="97" t="s">
        <v>1206</v>
      </c>
      <c r="G1" s="98"/>
      <c r="H1" s="97" t="s">
        <v>1207</v>
      </c>
      <c r="I1" s="97" t="s">
        <v>1267</v>
      </c>
    </row>
    <row r="2">
      <c r="A2" s="99" t="s">
        <v>1286</v>
      </c>
      <c r="B2" s="100"/>
      <c r="C2" s="100"/>
      <c r="D2" s="101"/>
      <c r="E2" s="100"/>
      <c r="F2" s="102">
        <f>SUM(F3+F6+F34+F46+F50)</f>
        <v>0.6073611111</v>
      </c>
      <c r="G2" s="100"/>
      <c r="H2" s="100"/>
      <c r="I2" s="100"/>
    </row>
    <row r="3">
      <c r="A3" s="103" t="s">
        <v>1287</v>
      </c>
      <c r="B3" s="104"/>
      <c r="C3" s="104"/>
      <c r="D3" s="105"/>
      <c r="E3" s="104"/>
      <c r="F3" s="106">
        <f>SUM(F4)</f>
        <v>0</v>
      </c>
      <c r="G3" s="104"/>
      <c r="H3" s="104"/>
      <c r="I3" s="104"/>
    </row>
    <row r="4">
      <c r="A4" s="98"/>
      <c r="B4" s="98" t="s">
        <v>1210</v>
      </c>
      <c r="C4" s="98"/>
      <c r="D4" s="107"/>
      <c r="E4" s="98"/>
      <c r="F4" s="108">
        <f>SUM(D5)</f>
        <v>0</v>
      </c>
      <c r="G4" s="98"/>
      <c r="H4" s="98"/>
      <c r="I4" s="98"/>
    </row>
    <row r="5">
      <c r="A5" s="98"/>
      <c r="B5" s="98"/>
      <c r="C5" s="109" t="s">
        <v>1288</v>
      </c>
      <c r="D5" s="107"/>
      <c r="E5" s="98"/>
      <c r="F5" s="107"/>
      <c r="G5" s="98"/>
      <c r="H5" s="98"/>
      <c r="I5" s="98"/>
    </row>
    <row r="6">
      <c r="A6" s="103" t="s">
        <v>1289</v>
      </c>
      <c r="B6" s="104"/>
      <c r="C6" s="104"/>
      <c r="D6" s="105"/>
      <c r="E6" s="104"/>
      <c r="F6" s="106">
        <f>SUM(F7:F33)</f>
        <v>0.2440277778</v>
      </c>
      <c r="G6" s="113" t="s">
        <v>1290</v>
      </c>
      <c r="H6" s="103"/>
      <c r="I6" s="103"/>
    </row>
    <row r="7">
      <c r="A7" s="98"/>
      <c r="B7" s="109" t="s">
        <v>1291</v>
      </c>
      <c r="C7" s="98"/>
      <c r="D7" s="107"/>
      <c r="E7" s="98"/>
      <c r="F7" s="108">
        <f>SUM(D8:D11)</f>
        <v>0.08344907407</v>
      </c>
      <c r="G7" s="98"/>
      <c r="H7" s="98"/>
      <c r="I7" s="98"/>
    </row>
    <row r="8">
      <c r="A8" s="98"/>
      <c r="B8" s="98"/>
      <c r="C8" s="109" t="s">
        <v>1292</v>
      </c>
      <c r="D8" s="110">
        <v>0.026296296296296297</v>
      </c>
      <c r="E8" s="98"/>
      <c r="F8" s="98"/>
      <c r="G8" s="114" t="s">
        <v>1293</v>
      </c>
      <c r="H8" s="94" t="s">
        <v>1294</v>
      </c>
      <c r="I8" s="98"/>
    </row>
    <row r="9">
      <c r="A9" s="98"/>
      <c r="B9" s="98"/>
      <c r="C9" s="109" t="s">
        <v>1295</v>
      </c>
      <c r="D9" s="110">
        <v>0.0225</v>
      </c>
      <c r="E9" s="98"/>
      <c r="F9" s="98"/>
      <c r="G9" s="98"/>
      <c r="H9" s="94" t="s">
        <v>1294</v>
      </c>
      <c r="I9" s="98"/>
    </row>
    <row r="10">
      <c r="A10" s="98"/>
      <c r="B10" s="98"/>
      <c r="C10" s="109" t="s">
        <v>1296</v>
      </c>
      <c r="D10" s="110">
        <v>0.02068287037037037</v>
      </c>
      <c r="E10" s="98"/>
      <c r="F10" s="107"/>
      <c r="G10" s="98"/>
      <c r="H10" s="94" t="s">
        <v>1294</v>
      </c>
      <c r="I10" s="98"/>
    </row>
    <row r="11">
      <c r="A11" s="98"/>
      <c r="B11" s="98"/>
      <c r="C11" s="109" t="s">
        <v>1297</v>
      </c>
      <c r="D11" s="110">
        <v>0.013969907407407407</v>
      </c>
      <c r="E11" s="98"/>
      <c r="F11" s="107"/>
      <c r="G11" s="98"/>
      <c r="H11" s="109" t="s">
        <v>1294</v>
      </c>
      <c r="I11" s="98"/>
    </row>
    <row r="12">
      <c r="A12" s="98"/>
      <c r="B12" s="109" t="s">
        <v>1298</v>
      </c>
      <c r="C12" s="98"/>
      <c r="D12" s="107"/>
      <c r="E12" s="98"/>
      <c r="F12" s="108">
        <f>SUM(D13:D20)</f>
        <v>0.06385416667</v>
      </c>
      <c r="G12" s="98"/>
      <c r="H12" s="98"/>
      <c r="I12" s="98"/>
    </row>
    <row r="13">
      <c r="A13" s="98"/>
      <c r="B13" s="98"/>
      <c r="C13" s="109" t="s">
        <v>1299</v>
      </c>
      <c r="D13" s="110">
        <v>7.986111111111112E-4</v>
      </c>
      <c r="E13" s="98"/>
      <c r="F13" s="98"/>
      <c r="G13" s="98"/>
      <c r="H13" s="109" t="s">
        <v>1294</v>
      </c>
      <c r="I13" s="98"/>
    </row>
    <row r="14">
      <c r="A14" s="98"/>
      <c r="B14" s="98"/>
      <c r="C14" s="109" t="s">
        <v>1300</v>
      </c>
      <c r="D14" s="110">
        <v>0.004930555555555555</v>
      </c>
      <c r="E14" s="98"/>
      <c r="F14" s="98"/>
      <c r="G14" s="98"/>
      <c r="H14" s="109" t="s">
        <v>1294</v>
      </c>
      <c r="I14" s="98"/>
    </row>
    <row r="15">
      <c r="A15" s="98"/>
      <c r="B15" s="98"/>
      <c r="C15" s="109" t="s">
        <v>1301</v>
      </c>
      <c r="D15" s="110">
        <v>0.007847222222222222</v>
      </c>
      <c r="E15" s="98"/>
      <c r="F15" s="98"/>
      <c r="G15" s="98"/>
      <c r="H15" s="109" t="s">
        <v>1294</v>
      </c>
      <c r="I15" s="98"/>
    </row>
    <row r="16">
      <c r="A16" s="98"/>
      <c r="B16" s="98"/>
      <c r="C16" s="109" t="s">
        <v>1302</v>
      </c>
      <c r="D16" s="110">
        <v>0.008136574074074074</v>
      </c>
      <c r="E16" s="98"/>
      <c r="F16" s="98"/>
      <c r="G16" s="98"/>
      <c r="H16" s="109" t="s">
        <v>1294</v>
      </c>
      <c r="I16" s="98"/>
    </row>
    <row r="17">
      <c r="A17" s="98"/>
      <c r="B17" s="98"/>
      <c r="C17" s="109" t="s">
        <v>1303</v>
      </c>
      <c r="D17" s="110">
        <v>0.001412037037037037</v>
      </c>
      <c r="E17" s="98"/>
      <c r="F17" s="107"/>
      <c r="G17" s="98"/>
      <c r="H17" s="109" t="s">
        <v>1294</v>
      </c>
      <c r="I17" s="98"/>
    </row>
    <row r="18">
      <c r="A18" s="98"/>
      <c r="B18" s="98"/>
      <c r="C18" s="109" t="s">
        <v>1304</v>
      </c>
      <c r="D18" s="110">
        <v>0.009872685185185186</v>
      </c>
      <c r="E18" s="98"/>
      <c r="F18" s="98"/>
      <c r="G18" s="98"/>
      <c r="H18" s="109" t="s">
        <v>1294</v>
      </c>
      <c r="I18" s="98"/>
    </row>
    <row r="19">
      <c r="A19" s="98"/>
      <c r="B19" s="98"/>
      <c r="C19" s="109" t="s">
        <v>1305</v>
      </c>
      <c r="D19" s="110">
        <v>0.004733796296296297</v>
      </c>
      <c r="E19" s="98"/>
      <c r="F19" s="98"/>
      <c r="G19" s="98"/>
      <c r="H19" s="109" t="s">
        <v>1294</v>
      </c>
      <c r="I19" s="98"/>
    </row>
    <row r="20">
      <c r="A20" s="98"/>
      <c r="B20" s="98"/>
      <c r="C20" s="109" t="s">
        <v>1306</v>
      </c>
      <c r="D20" s="110">
        <v>0.026122685185185186</v>
      </c>
      <c r="E20" s="98"/>
      <c r="F20" s="107"/>
      <c r="G20" s="98"/>
      <c r="H20" s="109" t="s">
        <v>1294</v>
      </c>
      <c r="I20" s="98"/>
    </row>
    <row r="21">
      <c r="A21" s="98"/>
      <c r="B21" s="109" t="s">
        <v>1307</v>
      </c>
      <c r="C21" s="98"/>
      <c r="D21" s="107"/>
      <c r="E21" s="98"/>
      <c r="F21" s="108">
        <f>SUM(D22:D30)</f>
        <v>0.04454861111</v>
      </c>
      <c r="G21" s="98"/>
      <c r="H21" s="98"/>
      <c r="I21" s="98"/>
    </row>
    <row r="22">
      <c r="A22" s="98"/>
      <c r="B22" s="98"/>
      <c r="C22" s="109" t="s">
        <v>1308</v>
      </c>
      <c r="D22" s="110">
        <v>0.002766203703703704</v>
      </c>
      <c r="E22" s="98"/>
      <c r="F22" s="98"/>
      <c r="G22" s="98"/>
      <c r="H22" s="94" t="s">
        <v>1309</v>
      </c>
      <c r="I22" s="98"/>
    </row>
    <row r="23">
      <c r="A23" s="98"/>
      <c r="B23" s="98"/>
      <c r="C23" s="109" t="s">
        <v>1310</v>
      </c>
      <c r="D23" s="110">
        <v>0.0032407407407407406</v>
      </c>
      <c r="E23" s="98"/>
      <c r="F23" s="98"/>
      <c r="G23" s="98"/>
      <c r="H23" s="94" t="s">
        <v>1309</v>
      </c>
      <c r="I23" s="98"/>
    </row>
    <row r="24">
      <c r="A24" s="98"/>
      <c r="B24" s="98"/>
      <c r="C24" s="109" t="s">
        <v>1311</v>
      </c>
      <c r="D24" s="110">
        <v>0.00625</v>
      </c>
      <c r="E24" s="98"/>
      <c r="F24" s="98"/>
      <c r="G24" s="98"/>
      <c r="H24" s="94" t="s">
        <v>1309</v>
      </c>
      <c r="I24" s="98"/>
    </row>
    <row r="25">
      <c r="A25" s="98"/>
      <c r="B25" s="98"/>
      <c r="C25" s="109" t="s">
        <v>1312</v>
      </c>
      <c r="D25" s="110">
        <v>0.009467592592592593</v>
      </c>
      <c r="E25" s="98"/>
      <c r="F25" s="98"/>
      <c r="G25" s="109" t="s">
        <v>1313</v>
      </c>
      <c r="H25" s="94" t="s">
        <v>1309</v>
      </c>
      <c r="I25" s="98"/>
    </row>
    <row r="26">
      <c r="A26" s="98"/>
      <c r="B26" s="98"/>
      <c r="C26" s="109" t="s">
        <v>1314</v>
      </c>
      <c r="D26" s="110">
        <v>0.008414351851851852</v>
      </c>
      <c r="E26" s="98"/>
      <c r="F26" s="98"/>
      <c r="G26" s="98"/>
      <c r="H26" s="94" t="s">
        <v>1309</v>
      </c>
      <c r="I26" s="98"/>
    </row>
    <row r="27">
      <c r="A27" s="98"/>
      <c r="B27" s="98"/>
      <c r="C27" s="109" t="s">
        <v>1315</v>
      </c>
      <c r="D27" s="110">
        <v>0.003576388888888889</v>
      </c>
      <c r="E27" s="98"/>
      <c r="F27" s="107"/>
      <c r="G27" s="98"/>
      <c r="H27" s="94" t="s">
        <v>1309</v>
      </c>
      <c r="I27" s="98"/>
    </row>
    <row r="28">
      <c r="A28" s="98"/>
      <c r="B28" s="98"/>
      <c r="C28" s="109" t="s">
        <v>1316</v>
      </c>
      <c r="D28" s="110">
        <v>6.828703703703704E-4</v>
      </c>
      <c r="E28" s="98"/>
      <c r="F28" s="98"/>
      <c r="G28" s="98"/>
      <c r="H28" s="94" t="s">
        <v>1309</v>
      </c>
      <c r="I28" s="98"/>
    </row>
    <row r="29">
      <c r="A29" s="98"/>
      <c r="B29" s="98"/>
      <c r="C29" s="109" t="s">
        <v>1317</v>
      </c>
      <c r="D29" s="110">
        <v>0.002395833333333333</v>
      </c>
      <c r="E29" s="98"/>
      <c r="F29" s="98"/>
      <c r="G29" s="98"/>
      <c r="H29" s="94" t="s">
        <v>1309</v>
      </c>
      <c r="I29" s="98"/>
    </row>
    <row r="30">
      <c r="A30" s="98"/>
      <c r="B30" s="98"/>
      <c r="C30" s="109" t="s">
        <v>1318</v>
      </c>
      <c r="D30" s="115">
        <v>0.0077546296296296295</v>
      </c>
      <c r="E30" s="98"/>
      <c r="F30" s="107"/>
      <c r="G30" s="98"/>
      <c r="H30" s="94" t="s">
        <v>1319</v>
      </c>
      <c r="I30" s="98"/>
    </row>
    <row r="31">
      <c r="A31" s="98"/>
      <c r="B31" s="109" t="s">
        <v>1320</v>
      </c>
      <c r="C31" s="98"/>
      <c r="D31" s="107"/>
      <c r="E31" s="98"/>
      <c r="F31" s="108">
        <f>SUM(D32:D34)</f>
        <v>0.05217592593</v>
      </c>
      <c r="G31" s="98"/>
      <c r="H31" s="98"/>
      <c r="I31" s="98"/>
    </row>
    <row r="32">
      <c r="A32" s="98"/>
      <c r="B32" s="98"/>
      <c r="C32" s="109" t="s">
        <v>1321</v>
      </c>
      <c r="D32" s="110">
        <v>0.026898148148148147</v>
      </c>
      <c r="E32" s="98"/>
      <c r="F32" s="98"/>
      <c r="G32" s="98"/>
      <c r="H32" s="94" t="s">
        <v>1322</v>
      </c>
      <c r="I32" s="98"/>
    </row>
    <row r="33">
      <c r="A33" s="98"/>
      <c r="B33" s="98"/>
      <c r="C33" s="109" t="s">
        <v>1323</v>
      </c>
      <c r="D33" s="110">
        <v>0.025277777777777777</v>
      </c>
      <c r="E33" s="98"/>
      <c r="F33" s="98"/>
      <c r="G33" s="98"/>
      <c r="H33" s="94" t="s">
        <v>1324</v>
      </c>
      <c r="I33" s="98"/>
    </row>
    <row r="34">
      <c r="A34" s="103" t="s">
        <v>1325</v>
      </c>
      <c r="B34" s="104"/>
      <c r="C34" s="104"/>
      <c r="D34" s="105"/>
      <c r="E34" s="104"/>
      <c r="F34" s="106">
        <f>SUM(F35:F45)</f>
        <v>0.09105324074</v>
      </c>
      <c r="G34" s="104"/>
      <c r="H34" s="104"/>
      <c r="I34" s="104"/>
    </row>
    <row r="35">
      <c r="A35" s="98"/>
      <c r="B35" s="109" t="s">
        <v>1325</v>
      </c>
      <c r="C35" s="98"/>
      <c r="D35" s="107"/>
      <c r="E35" s="98"/>
      <c r="F35" s="108">
        <f>SUM(D36:D41)</f>
        <v>0.06325231481</v>
      </c>
      <c r="G35" s="98"/>
      <c r="H35" s="98"/>
      <c r="I35" s="98"/>
    </row>
    <row r="36">
      <c r="A36" s="98"/>
      <c r="B36" s="98"/>
      <c r="C36" s="109" t="s">
        <v>1326</v>
      </c>
      <c r="D36" s="110">
        <v>0.010636574074074074</v>
      </c>
      <c r="E36" s="98"/>
      <c r="F36" s="98"/>
      <c r="G36" s="98"/>
      <c r="H36" s="94" t="s">
        <v>1309</v>
      </c>
      <c r="I36" s="98"/>
    </row>
    <row r="37">
      <c r="A37" s="98"/>
      <c r="B37" s="98"/>
      <c r="C37" s="109" t="s">
        <v>1327</v>
      </c>
      <c r="D37" s="110">
        <v>0.010914351851851852</v>
      </c>
      <c r="E37" s="98"/>
      <c r="F37" s="98"/>
      <c r="G37" s="98"/>
      <c r="H37" s="94" t="s">
        <v>1309</v>
      </c>
      <c r="I37" s="98"/>
    </row>
    <row r="38">
      <c r="A38" s="98"/>
      <c r="B38" s="98"/>
      <c r="C38" s="109" t="s">
        <v>1328</v>
      </c>
      <c r="D38" s="110">
        <v>0.009733796296296296</v>
      </c>
      <c r="E38" s="98"/>
      <c r="F38" s="98"/>
      <c r="G38" s="98"/>
      <c r="H38" s="94" t="s">
        <v>1309</v>
      </c>
      <c r="I38" s="98"/>
    </row>
    <row r="39">
      <c r="A39" s="98"/>
      <c r="B39" s="98"/>
      <c r="C39" s="109" t="s">
        <v>1329</v>
      </c>
      <c r="D39" s="110">
        <v>0.011215277777777777</v>
      </c>
      <c r="E39" s="98"/>
      <c r="F39" s="107"/>
      <c r="G39" s="98"/>
      <c r="H39" s="94" t="s">
        <v>1309</v>
      </c>
      <c r="I39" s="98"/>
    </row>
    <row r="40">
      <c r="A40" s="98"/>
      <c r="B40" s="98"/>
      <c r="C40" s="109" t="s">
        <v>1330</v>
      </c>
      <c r="D40" s="110">
        <v>0.011643518518518518</v>
      </c>
      <c r="E40" s="98"/>
      <c r="F40" s="107"/>
      <c r="G40" s="98"/>
      <c r="H40" s="94" t="s">
        <v>1309</v>
      </c>
      <c r="I40" s="98"/>
    </row>
    <row r="41">
      <c r="A41" s="98"/>
      <c r="B41" s="98"/>
      <c r="C41" s="109" t="s">
        <v>1331</v>
      </c>
      <c r="D41" s="110">
        <v>0.009108796296296297</v>
      </c>
      <c r="E41" s="98"/>
      <c r="F41" s="107"/>
      <c r="G41" s="98"/>
      <c r="H41" s="94" t="s">
        <v>1309</v>
      </c>
      <c r="I41" s="98"/>
    </row>
    <row r="42">
      <c r="A42" s="98"/>
      <c r="B42" s="109" t="s">
        <v>1332</v>
      </c>
      <c r="C42" s="98"/>
      <c r="D42" s="107"/>
      <c r="E42" s="98"/>
      <c r="F42" s="108">
        <f>SUM(D43:D45)</f>
        <v>0.02780092593</v>
      </c>
      <c r="G42" s="98"/>
      <c r="H42" s="98"/>
      <c r="I42" s="98"/>
    </row>
    <row r="43">
      <c r="A43" s="98"/>
      <c r="B43" s="98"/>
      <c r="C43" s="109" t="s">
        <v>1333</v>
      </c>
      <c r="D43" s="110">
        <v>0.010335648148148148</v>
      </c>
      <c r="E43" s="98"/>
      <c r="F43" s="98"/>
      <c r="G43" s="98"/>
      <c r="H43" s="94" t="s">
        <v>1309</v>
      </c>
      <c r="I43" s="98"/>
    </row>
    <row r="44">
      <c r="A44" s="98"/>
      <c r="B44" s="98"/>
      <c r="C44" s="109" t="s">
        <v>1334</v>
      </c>
      <c r="D44" s="110">
        <v>0.010648148148148148</v>
      </c>
      <c r="E44" s="98"/>
      <c r="F44" s="98"/>
      <c r="G44" s="98"/>
      <c r="H44" s="94" t="s">
        <v>1309</v>
      </c>
      <c r="I44" s="98"/>
    </row>
    <row r="45">
      <c r="A45" s="98"/>
      <c r="B45" s="98"/>
      <c r="C45" s="109" t="s">
        <v>1335</v>
      </c>
      <c r="D45" s="110">
        <v>0.00681712962962963</v>
      </c>
      <c r="E45" s="98"/>
      <c r="F45" s="98"/>
      <c r="G45" s="98"/>
      <c r="H45" s="94" t="s">
        <v>1309</v>
      </c>
      <c r="I45" s="98"/>
    </row>
    <row r="46">
      <c r="A46" s="103" t="s">
        <v>1336</v>
      </c>
      <c r="B46" s="104"/>
      <c r="C46" s="104"/>
      <c r="D46" s="105"/>
      <c r="E46" s="104"/>
      <c r="F46" s="106">
        <f>SUM(F47:F49)</f>
        <v>0.05775462963</v>
      </c>
      <c r="G46" s="104"/>
      <c r="H46" s="104"/>
      <c r="I46" s="104"/>
    </row>
    <row r="47">
      <c r="A47" s="98"/>
      <c r="B47" s="109" t="s">
        <v>1337</v>
      </c>
      <c r="C47" s="98"/>
      <c r="D47" s="107"/>
      <c r="E47" s="98"/>
      <c r="F47" s="108">
        <f>SUM(D48:D49)</f>
        <v>0.05775462963</v>
      </c>
      <c r="G47" s="98"/>
      <c r="H47" s="98"/>
      <c r="I47" s="98"/>
    </row>
    <row r="48">
      <c r="A48" s="98"/>
      <c r="B48" s="98"/>
      <c r="C48" s="109" t="s">
        <v>1338</v>
      </c>
      <c r="D48" s="110">
        <v>0.025405092592592594</v>
      </c>
      <c r="E48" s="98"/>
      <c r="F48" s="98"/>
      <c r="G48" s="98"/>
      <c r="H48" s="109" t="s">
        <v>1294</v>
      </c>
      <c r="I48" s="98"/>
    </row>
    <row r="49">
      <c r="A49" s="98"/>
      <c r="B49" s="98"/>
      <c r="C49" s="109" t="s">
        <v>1339</v>
      </c>
      <c r="D49" s="110">
        <v>0.03234953703703704</v>
      </c>
      <c r="E49" s="98"/>
      <c r="F49" s="98"/>
      <c r="G49" s="98"/>
      <c r="H49" s="109" t="s">
        <v>1294</v>
      </c>
      <c r="I49" s="98"/>
    </row>
    <row r="50">
      <c r="A50" s="103" t="s">
        <v>1340</v>
      </c>
      <c r="B50" s="104"/>
      <c r="C50" s="104"/>
      <c r="D50" s="105"/>
      <c r="E50" s="104"/>
      <c r="F50" s="106">
        <f>SUM(F51:F70)</f>
        <v>0.214525463</v>
      </c>
      <c r="G50" s="104"/>
      <c r="H50" s="104"/>
      <c r="I50" s="104"/>
    </row>
    <row r="51">
      <c r="A51" s="98"/>
      <c r="B51" s="109" t="s">
        <v>1341</v>
      </c>
      <c r="C51" s="98"/>
      <c r="D51" s="107"/>
      <c r="E51" s="98"/>
      <c r="F51" s="108">
        <f>SUM(D52:Z60)</f>
        <v>0.03652777778</v>
      </c>
      <c r="G51" s="98"/>
      <c r="H51" s="98"/>
      <c r="I51" s="98"/>
    </row>
    <row r="52">
      <c r="A52" s="98"/>
      <c r="B52" s="98"/>
      <c r="C52" s="109" t="s">
        <v>1342</v>
      </c>
      <c r="D52" s="110">
        <v>0.0033333333333333335</v>
      </c>
      <c r="E52" s="98"/>
      <c r="F52" s="98"/>
      <c r="G52" s="98"/>
      <c r="H52" s="94" t="s">
        <v>1309</v>
      </c>
      <c r="I52" s="98"/>
    </row>
    <row r="53">
      <c r="A53" s="98"/>
      <c r="B53" s="98"/>
      <c r="C53" s="109" t="s">
        <v>1310</v>
      </c>
      <c r="D53" s="110">
        <v>0.00962962962962963</v>
      </c>
      <c r="E53" s="98"/>
      <c r="F53" s="98"/>
      <c r="G53" s="98"/>
      <c r="H53" s="94" t="s">
        <v>1309</v>
      </c>
      <c r="I53" s="98"/>
    </row>
    <row r="54">
      <c r="A54" s="98"/>
      <c r="B54" s="98"/>
      <c r="C54" s="109" t="s">
        <v>1343</v>
      </c>
      <c r="D54" s="110">
        <v>0.0021643518518518518</v>
      </c>
      <c r="E54" s="98"/>
      <c r="F54" s="98"/>
      <c r="G54" s="98"/>
      <c r="H54" s="94" t="s">
        <v>1309</v>
      </c>
      <c r="I54" s="98"/>
    </row>
    <row r="55">
      <c r="A55" s="98"/>
      <c r="B55" s="98"/>
      <c r="C55" s="109" t="s">
        <v>1344</v>
      </c>
      <c r="D55" s="110">
        <v>0.0011805555555555556</v>
      </c>
      <c r="E55" s="98"/>
      <c r="F55" s="98"/>
      <c r="G55" s="98"/>
      <c r="H55" s="94" t="s">
        <v>1309</v>
      </c>
      <c r="I55" s="98"/>
    </row>
    <row r="56">
      <c r="A56" s="98"/>
      <c r="B56" s="98"/>
      <c r="C56" s="109" t="s">
        <v>1307</v>
      </c>
      <c r="D56" s="110">
        <v>0.0025810185185185185</v>
      </c>
      <c r="E56" s="98"/>
      <c r="F56" s="98"/>
      <c r="G56" s="98"/>
      <c r="H56" s="94" t="s">
        <v>1309</v>
      </c>
      <c r="I56" s="98"/>
    </row>
    <row r="57">
      <c r="A57" s="98"/>
      <c r="B57" s="98"/>
      <c r="C57" s="109" t="s">
        <v>1345</v>
      </c>
      <c r="D57" s="110">
        <v>0.007789351851851852</v>
      </c>
      <c r="E57" s="98"/>
      <c r="F57" s="98"/>
      <c r="G57" s="98"/>
      <c r="H57" s="94" t="s">
        <v>1309</v>
      </c>
      <c r="I57" s="98"/>
    </row>
    <row r="58">
      <c r="A58" s="98"/>
      <c r="B58" s="98"/>
      <c r="C58" s="109" t="s">
        <v>1346</v>
      </c>
      <c r="D58" s="110">
        <v>0.004594907407407408</v>
      </c>
      <c r="E58" s="98"/>
      <c r="F58" s="98"/>
      <c r="G58" s="98"/>
      <c r="H58" s="94" t="s">
        <v>1309</v>
      </c>
      <c r="I58" s="98"/>
    </row>
    <row r="59">
      <c r="A59" s="98"/>
      <c r="B59" s="98"/>
      <c r="C59" s="109" t="s">
        <v>1347</v>
      </c>
      <c r="D59" s="110">
        <v>0.003958333333333334</v>
      </c>
      <c r="E59" s="98"/>
      <c r="F59" s="98"/>
      <c r="G59" s="98"/>
      <c r="H59" s="94" t="s">
        <v>1309</v>
      </c>
      <c r="I59" s="98"/>
    </row>
    <row r="60">
      <c r="A60" s="98"/>
      <c r="B60" s="98"/>
      <c r="C60" s="109" t="s">
        <v>1348</v>
      </c>
      <c r="D60" s="110">
        <v>0.0012962962962962963</v>
      </c>
      <c r="E60" s="98"/>
      <c r="F60" s="98"/>
      <c r="G60" s="98"/>
      <c r="H60" s="94" t="s">
        <v>1309</v>
      </c>
      <c r="I60" s="98"/>
    </row>
    <row r="61">
      <c r="A61" s="98"/>
      <c r="B61" s="109" t="s">
        <v>1349</v>
      </c>
      <c r="C61" s="98"/>
      <c r="D61" s="107"/>
      <c r="E61" s="98"/>
      <c r="F61" s="108">
        <f>SUM(D62:D65)</f>
        <v>0.1159953704</v>
      </c>
      <c r="G61" s="98"/>
      <c r="H61" s="98"/>
      <c r="I61" s="98"/>
    </row>
    <row r="62">
      <c r="A62" s="98"/>
      <c r="B62" s="98"/>
      <c r="C62" s="109" t="s">
        <v>1350</v>
      </c>
      <c r="D62" s="110">
        <v>0.06633101851851853</v>
      </c>
      <c r="E62" s="98"/>
      <c r="F62" s="98"/>
      <c r="G62" s="98"/>
      <c r="H62" s="109" t="s">
        <v>1294</v>
      </c>
      <c r="I62" s="98"/>
    </row>
    <row r="63">
      <c r="A63" s="98"/>
      <c r="B63" s="98"/>
      <c r="C63" s="109" t="s">
        <v>1351</v>
      </c>
      <c r="D63" s="110">
        <v>0.020543981481481483</v>
      </c>
      <c r="E63" s="98"/>
      <c r="F63" s="98"/>
      <c r="G63" s="98"/>
      <c r="H63" s="109" t="s">
        <v>1294</v>
      </c>
      <c r="I63" s="98"/>
    </row>
    <row r="64">
      <c r="A64" s="98"/>
      <c r="B64" s="98"/>
      <c r="C64" s="109" t="s">
        <v>1352</v>
      </c>
      <c r="D64" s="110">
        <v>0.016805555555555556</v>
      </c>
      <c r="E64" s="98"/>
      <c r="F64" s="98"/>
      <c r="G64" s="98"/>
      <c r="H64" s="109" t="s">
        <v>1294</v>
      </c>
      <c r="I64" s="98"/>
    </row>
    <row r="65">
      <c r="A65" s="98"/>
      <c r="B65" s="98"/>
      <c r="C65" s="109" t="s">
        <v>1353</v>
      </c>
      <c r="D65" s="110">
        <v>0.012314814814814815</v>
      </c>
      <c r="E65" s="98"/>
      <c r="F65" s="98"/>
      <c r="G65" s="98"/>
      <c r="H65" s="109" t="s">
        <v>1294</v>
      </c>
      <c r="I65" s="98"/>
    </row>
    <row r="66">
      <c r="A66" s="98"/>
      <c r="B66" s="109" t="s">
        <v>1354</v>
      </c>
      <c r="C66" s="98"/>
      <c r="D66" s="107"/>
      <c r="E66" s="98"/>
      <c r="F66" s="108">
        <f>SUM(D67)</f>
        <v>0.06200231481</v>
      </c>
      <c r="G66" s="98"/>
      <c r="H66" s="98"/>
      <c r="I66" s="98"/>
    </row>
    <row r="67">
      <c r="A67" s="98"/>
      <c r="B67" s="98"/>
      <c r="C67" s="109" t="s">
        <v>1355</v>
      </c>
      <c r="D67" s="110">
        <v>0.062002314814814816</v>
      </c>
      <c r="E67" s="98"/>
      <c r="F67" s="98"/>
      <c r="G67" s="98"/>
      <c r="H67" s="109" t="s">
        <v>1356</v>
      </c>
      <c r="I67" s="98"/>
    </row>
    <row r="68">
      <c r="A68" s="98"/>
      <c r="B68" s="98"/>
      <c r="C68" s="98"/>
      <c r="D68" s="107"/>
      <c r="E68" s="98"/>
      <c r="F68" s="98"/>
      <c r="G68" s="98"/>
      <c r="H68" s="98"/>
      <c r="I68" s="98"/>
    </row>
    <row r="69">
      <c r="A69" s="98"/>
      <c r="B69" s="98"/>
      <c r="C69" s="98"/>
      <c r="D69" s="98"/>
      <c r="E69" s="98"/>
      <c r="F69" s="98"/>
      <c r="G69" s="98"/>
      <c r="H69" s="98"/>
      <c r="I69" s="98"/>
    </row>
    <row r="70">
      <c r="A70" s="98"/>
      <c r="B70" s="98"/>
      <c r="C70" s="98"/>
      <c r="D70" s="98"/>
      <c r="E70" s="98"/>
      <c r="F70" s="98"/>
      <c r="G70" s="98"/>
      <c r="H70" s="98"/>
      <c r="I70" s="98"/>
    </row>
  </sheetData>
  <drawing r:id="rId1"/>
</worksheet>
</file>